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ohnholland-my.sharepoint.com/personal/efloresmendoza_jhg_com_au/Documents/2024/140_Erick/01_database/01.-COST ACCOUNTING/"/>
    </mc:Choice>
  </mc:AlternateContent>
  <xr:revisionPtr revIDLastSave="1043" documentId="13_ncr:1_{1F019B40-F556-4919-BE42-808DEC67FF45}" xr6:coauthVersionLast="47" xr6:coauthVersionMax="47" xr10:uidLastSave="{5935DE45-2236-479E-B75A-3682BC611B59}"/>
  <bookViews>
    <workbookView xWindow="-110" yWindow="-110" windowWidth="19420" windowHeight="11500" tabRatio="764" firstSheet="4" activeTab="4" xr2:uid="{00000000-000D-0000-FFFF-FFFF00000000}"/>
  </bookViews>
  <sheets>
    <sheet name="RO_0" sheetId="8" r:id="rId1"/>
    <sheet name="Cost category" sheetId="6" r:id="rId2"/>
    <sheet name="CBSS" sheetId="4" r:id="rId3"/>
    <sheet name="Budget" sheetId="1" r:id="rId4"/>
    <sheet name="Budget Cost" sheetId="7" r:id="rId5"/>
    <sheet name="Estructura de Control" sheetId="3" r:id="rId6"/>
    <sheet name="CV reconciliation" sheetId="5" r:id="rId7"/>
    <sheet name="Budgett" sheetId="2" r:id="rId8"/>
    <sheet name="P6" sheetId="9" r:id="rId9"/>
    <sheet name="Activtiy Progress" sheetId="11" r:id="rId10"/>
    <sheet name="Activtiy Progress_2" sheetId="14" r:id="rId11"/>
    <sheet name="EVM" sheetId="13" r:id="rId12"/>
    <sheet name="EAC" sheetId="12" r:id="rId13"/>
  </sheets>
  <calcPr calcId="191028"/>
  <pivotCaches>
    <pivotCache cacheId="0" r:id="rId14"/>
    <pivotCache cacheId="1" r:id="rId15"/>
    <pivotCache cacheId="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4" l="1"/>
  <c r="I7" i="14"/>
  <c r="M15" i="14"/>
  <c r="L15" i="14" s="1"/>
  <c r="L12" i="14"/>
  <c r="M8" i="14"/>
  <c r="L8" i="14"/>
  <c r="I5" i="14"/>
  <c r="I4" i="14"/>
  <c r="I3" i="14"/>
  <c r="M2" i="14"/>
  <c r="I5" i="13"/>
  <c r="I6" i="13" s="1"/>
  <c r="I4" i="13"/>
  <c r="I3" i="13"/>
  <c r="C37" i="8"/>
  <c r="C38" i="8" s="1"/>
  <c r="K17" i="13"/>
  <c r="L17" i="13"/>
  <c r="J17" i="13"/>
  <c r="I17" i="13"/>
  <c r="D35" i="8"/>
  <c r="B30" i="8"/>
  <c r="C30" i="8"/>
  <c r="D32" i="8"/>
  <c r="D33" i="8"/>
  <c r="D34" i="8"/>
  <c r="D31" i="8"/>
  <c r="D23" i="8"/>
  <c r="D26" i="8"/>
  <c r="D30" i="8"/>
  <c r="F24" i="8"/>
  <c r="S17" i="8"/>
  <c r="J16" i="8"/>
  <c r="J15" i="8"/>
  <c r="J14" i="8"/>
  <c r="J13" i="8"/>
  <c r="J12" i="8"/>
  <c r="J11" i="8"/>
  <c r="J4" i="8"/>
  <c r="J3" i="8"/>
  <c r="K1" i="8"/>
  <c r="J24" i="8"/>
  <c r="B25" i="8"/>
  <c r="B23" i="8" s="1"/>
  <c r="D24" i="8"/>
  <c r="D25" i="8" s="1"/>
  <c r="C25" i="8"/>
  <c r="C23" i="8" s="1"/>
  <c r="L12" i="11"/>
  <c r="M2" i="11"/>
  <c r="I4" i="11"/>
  <c r="I5" i="11"/>
  <c r="I3" i="11"/>
  <c r="M15" i="11"/>
  <c r="L15" i="11" s="1"/>
  <c r="M8" i="11"/>
  <c r="L8" i="11" s="1"/>
  <c r="I8" i="12"/>
  <c r="I7" i="12"/>
  <c r="I10" i="12"/>
  <c r="I9" i="12"/>
  <c r="I6" i="12"/>
  <c r="I12" i="12"/>
  <c r="I11" i="12"/>
  <c r="I13" i="12"/>
  <c r="F13" i="12"/>
  <c r="I4" i="12"/>
  <c r="I5" i="12"/>
  <c r="I3" i="12"/>
  <c r="E5" i="8"/>
  <c r="J36" i="8"/>
  <c r="K36" i="8" s="1"/>
  <c r="J35" i="8"/>
  <c r="K35" i="8" s="1"/>
  <c r="J34" i="8"/>
  <c r="K34" i="8" s="1"/>
  <c r="J33" i="8"/>
  <c r="K33" i="8" s="1"/>
  <c r="J32" i="8"/>
  <c r="K32" i="8" s="1"/>
  <c r="J31" i="8"/>
  <c r="K31" i="8" s="1"/>
  <c r="M30" i="8"/>
  <c r="M37" i="8" s="1"/>
  <c r="M38" i="8" s="1"/>
  <c r="I30" i="8"/>
  <c r="H30" i="8"/>
  <c r="G30" i="8"/>
  <c r="F30" i="8"/>
  <c r="J29" i="8"/>
  <c r="K29" i="8" s="1"/>
  <c r="J28" i="8"/>
  <c r="K28" i="8" s="1"/>
  <c r="J27" i="8"/>
  <c r="K27" i="8" s="1"/>
  <c r="J26" i="8"/>
  <c r="K26" i="8" s="1"/>
  <c r="I25" i="8"/>
  <c r="I23" i="8" s="1"/>
  <c r="H25" i="8"/>
  <c r="H23" i="8" s="1"/>
  <c r="G25" i="8"/>
  <c r="G23" i="8" s="1"/>
  <c r="G37" i="8" s="1"/>
  <c r="G38" i="8" s="1"/>
  <c r="F25" i="8"/>
  <c r="K24" i="8"/>
  <c r="K4" i="7"/>
  <c r="N4" i="7" s="1"/>
  <c r="W4" i="7" s="1"/>
  <c r="I6" i="7"/>
  <c r="I5" i="7"/>
  <c r="L5" i="7" s="1"/>
  <c r="O5" i="7" s="1"/>
  <c r="X5" i="7" s="1"/>
  <c r="I4" i="7"/>
  <c r="L4" i="7" s="1"/>
  <c r="I20" i="7"/>
  <c r="L20" i="7" s="1"/>
  <c r="O20" i="7" s="1"/>
  <c r="X20" i="7" s="1"/>
  <c r="I19" i="7"/>
  <c r="L19" i="7" s="1"/>
  <c r="O19" i="7" s="1"/>
  <c r="X19" i="7" s="1"/>
  <c r="I18" i="7"/>
  <c r="L18" i="7" s="1"/>
  <c r="O18" i="7" s="1"/>
  <c r="X18" i="7" s="1"/>
  <c r="I16" i="7"/>
  <c r="L16" i="7" s="1"/>
  <c r="O16" i="7" s="1"/>
  <c r="X16" i="7" s="1"/>
  <c r="L14" i="7"/>
  <c r="I13" i="7"/>
  <c r="L13" i="7" s="1"/>
  <c r="O13" i="7" s="1"/>
  <c r="X13" i="7" s="1"/>
  <c r="I12" i="7"/>
  <c r="L12" i="7" s="1"/>
  <c r="O12" i="7" s="1"/>
  <c r="X12" i="7" s="1"/>
  <c r="I11" i="7"/>
  <c r="L11" i="7" s="1"/>
  <c r="O11" i="7" s="1"/>
  <c r="X11" i="7" s="1"/>
  <c r="I9" i="7"/>
  <c r="L9" i="7" s="1"/>
  <c r="O9" i="7" s="1"/>
  <c r="X9" i="7" s="1"/>
  <c r="I8" i="7"/>
  <c r="L8" i="7" s="1"/>
  <c r="O8" i="7" s="1"/>
  <c r="X8" i="7" s="1"/>
  <c r="K20" i="7"/>
  <c r="N20" i="7" s="1"/>
  <c r="W20" i="7" s="1"/>
  <c r="J20" i="7"/>
  <c r="M20" i="7" s="1"/>
  <c r="V20" i="7" s="1"/>
  <c r="K19" i="7"/>
  <c r="N19" i="7" s="1"/>
  <c r="W19" i="7" s="1"/>
  <c r="J19" i="7"/>
  <c r="M19" i="7" s="1"/>
  <c r="V19" i="7" s="1"/>
  <c r="K18" i="7"/>
  <c r="N18" i="7" s="1"/>
  <c r="W18" i="7" s="1"/>
  <c r="J18" i="7"/>
  <c r="M18" i="7" s="1"/>
  <c r="V18" i="7" s="1"/>
  <c r="L17" i="7"/>
  <c r="K17" i="7"/>
  <c r="J17" i="7"/>
  <c r="K16" i="7"/>
  <c r="N16" i="7" s="1"/>
  <c r="W16" i="7" s="1"/>
  <c r="J16" i="7"/>
  <c r="M16" i="7" s="1"/>
  <c r="V16" i="7" s="1"/>
  <c r="K14" i="7"/>
  <c r="J14" i="7"/>
  <c r="K13" i="7"/>
  <c r="N13" i="7" s="1"/>
  <c r="W13" i="7" s="1"/>
  <c r="J13" i="7"/>
  <c r="M13" i="7" s="1"/>
  <c r="V13" i="7" s="1"/>
  <c r="K12" i="7"/>
  <c r="N12" i="7" s="1"/>
  <c r="W12" i="7" s="1"/>
  <c r="J12" i="7"/>
  <c r="M12" i="7" s="1"/>
  <c r="V12" i="7" s="1"/>
  <c r="K11" i="7"/>
  <c r="N11" i="7" s="1"/>
  <c r="W11" i="7" s="1"/>
  <c r="J11" i="7"/>
  <c r="M11" i="7" s="1"/>
  <c r="V11" i="7" s="1"/>
  <c r="K9" i="7"/>
  <c r="N9" i="7" s="1"/>
  <c r="W9" i="7" s="1"/>
  <c r="J9" i="7"/>
  <c r="M9" i="7" s="1"/>
  <c r="V9" i="7" s="1"/>
  <c r="K8" i="7"/>
  <c r="N8" i="7" s="1"/>
  <c r="W8" i="7" s="1"/>
  <c r="J8" i="7"/>
  <c r="M8" i="7" s="1"/>
  <c r="V8" i="7" s="1"/>
  <c r="L7" i="7"/>
  <c r="K7" i="7"/>
  <c r="J7" i="7"/>
  <c r="L6" i="7"/>
  <c r="O6" i="7" s="1"/>
  <c r="X6" i="7" s="1"/>
  <c r="K6" i="7"/>
  <c r="N6" i="7" s="1"/>
  <c r="W6" i="7" s="1"/>
  <c r="J6" i="7"/>
  <c r="M6" i="7" s="1"/>
  <c r="V6" i="7" s="1"/>
  <c r="K5" i="7"/>
  <c r="N5" i="7" s="1"/>
  <c r="W5" i="7" s="1"/>
  <c r="J5" i="7"/>
  <c r="M5" i="7" s="1"/>
  <c r="V5" i="7" s="1"/>
  <c r="J4" i="7"/>
  <c r="D20" i="7"/>
  <c r="T20" i="7" s="1"/>
  <c r="D19" i="7"/>
  <c r="T19" i="7" s="1"/>
  <c r="D18" i="7"/>
  <c r="T18" i="7" s="1"/>
  <c r="D16" i="7"/>
  <c r="T16" i="7" s="1"/>
  <c r="D13" i="7"/>
  <c r="T13" i="7" s="1"/>
  <c r="D12" i="7"/>
  <c r="T12" i="7" s="1"/>
  <c r="D11" i="7"/>
  <c r="T11" i="7" s="1"/>
  <c r="D9" i="7"/>
  <c r="T9" i="7" s="1"/>
  <c r="D8" i="7"/>
  <c r="T8" i="7" s="1"/>
  <c r="D6" i="7"/>
  <c r="T6" i="7" s="1"/>
  <c r="D5" i="7"/>
  <c r="T5" i="7" s="1"/>
  <c r="D4" i="7"/>
  <c r="T4" i="7" s="1"/>
  <c r="M17" i="8"/>
  <c r="M18" i="8" s="1"/>
  <c r="J6" i="8"/>
  <c r="K6" i="8" s="1"/>
  <c r="J7" i="8"/>
  <c r="K7" i="8" s="1"/>
  <c r="J8" i="8"/>
  <c r="K8" i="8" s="1"/>
  <c r="J9" i="8"/>
  <c r="K9" i="8" s="1"/>
  <c r="K15" i="8"/>
  <c r="K16" i="8"/>
  <c r="G5" i="8"/>
  <c r="G3" i="8" s="1"/>
  <c r="H5" i="8"/>
  <c r="I5" i="8"/>
  <c r="F5" i="8"/>
  <c r="F3" i="8" s="1"/>
  <c r="Y26" i="3"/>
  <c r="Y27" i="3"/>
  <c r="Y28" i="3"/>
  <c r="Y29" i="3"/>
  <c r="Y30" i="3"/>
  <c r="Y31" i="3"/>
  <c r="Y32" i="3"/>
  <c r="Y33" i="3"/>
  <c r="Y34" i="3"/>
  <c r="Y35" i="3"/>
  <c r="Y36" i="3"/>
  <c r="Y25" i="3"/>
  <c r="X37" i="3"/>
  <c r="X39" i="3" s="1"/>
  <c r="X41" i="3" s="1"/>
  <c r="W37" i="3"/>
  <c r="W38" i="3" s="1"/>
  <c r="W39" i="3" s="1"/>
  <c r="W41" i="3" s="1"/>
  <c r="Y41" i="3" s="1"/>
  <c r="Z41" i="3" s="1"/>
  <c r="C3" i="5"/>
  <c r="G8" i="3"/>
  <c r="D19" i="5"/>
  <c r="Q46" i="3"/>
  <c r="P46" i="3"/>
  <c r="O46" i="3"/>
  <c r="Q45" i="3"/>
  <c r="P45" i="3"/>
  <c r="O45" i="3"/>
  <c r="Q44" i="3"/>
  <c r="P44" i="3"/>
  <c r="O44" i="3"/>
  <c r="Q43" i="3"/>
  <c r="P43" i="3"/>
  <c r="O43" i="3"/>
  <c r="M46" i="3"/>
  <c r="M45" i="3"/>
  <c r="M44" i="3"/>
  <c r="M43" i="3"/>
  <c r="G46" i="3"/>
  <c r="G45" i="3"/>
  <c r="G44" i="3"/>
  <c r="G43" i="3"/>
  <c r="L47" i="3"/>
  <c r="D10" i="5" s="1"/>
  <c r="K47" i="3"/>
  <c r="D9" i="5" s="1"/>
  <c r="J47" i="3"/>
  <c r="D8" i="5" s="1"/>
  <c r="F47" i="3"/>
  <c r="C10" i="5" s="1"/>
  <c r="E47" i="3"/>
  <c r="C9" i="5" s="1"/>
  <c r="D47" i="3"/>
  <c r="C8" i="5" s="1"/>
  <c r="J2" i="14" l="1"/>
  <c r="K2" i="14" s="1"/>
  <c r="L2" i="14" s="1"/>
  <c r="J2" i="11"/>
  <c r="K2" i="11" s="1"/>
  <c r="L2" i="11" s="1"/>
  <c r="K4" i="8"/>
  <c r="I3" i="8"/>
  <c r="H3" i="8"/>
  <c r="J25" i="8"/>
  <c r="K25" i="8" s="1"/>
  <c r="J5" i="8"/>
  <c r="E3" i="8"/>
  <c r="K3" i="8"/>
  <c r="I37" i="8"/>
  <c r="I38" i="8" s="1"/>
  <c r="H37" i="8"/>
  <c r="H38" i="8" s="1"/>
  <c r="K5" i="8"/>
  <c r="K30" i="8"/>
  <c r="F23" i="8"/>
  <c r="J23" i="8" s="1"/>
  <c r="J30" i="8"/>
  <c r="M4" i="7"/>
  <c r="V4" i="7" s="1"/>
  <c r="V22" i="7" s="1"/>
  <c r="O4" i="7"/>
  <c r="X4" i="7" s="1"/>
  <c r="X22" i="7" s="1"/>
  <c r="Y37" i="3"/>
  <c r="R43" i="3"/>
  <c r="P47" i="3"/>
  <c r="Q47" i="3"/>
  <c r="R46" i="3"/>
  <c r="T22" i="7"/>
  <c r="W22" i="7"/>
  <c r="D22" i="7"/>
  <c r="N22" i="7"/>
  <c r="D12" i="5"/>
  <c r="D13" i="5" s="1"/>
  <c r="E10" i="5"/>
  <c r="E9" i="5"/>
  <c r="C12" i="5"/>
  <c r="C13" i="5" s="1"/>
  <c r="E8" i="5"/>
  <c r="O47" i="3"/>
  <c r="R44" i="3"/>
  <c r="M47" i="3"/>
  <c r="R45" i="3"/>
  <c r="G47" i="3"/>
  <c r="F1" i="8" l="1"/>
  <c r="G1" i="8"/>
  <c r="H1" i="8"/>
  <c r="E1" i="8"/>
  <c r="F37" i="8"/>
  <c r="F38" i="8" s="1"/>
  <c r="O22" i="7"/>
  <c r="M22" i="7"/>
  <c r="P22" i="7" s="1"/>
  <c r="D20" i="5"/>
  <c r="D21" i="5" s="1"/>
  <c r="D15" i="5"/>
  <c r="D17" i="5" s="1"/>
  <c r="E12" i="5"/>
  <c r="E13" i="5" s="1"/>
  <c r="R47" i="3"/>
  <c r="E11" i="8" l="1"/>
  <c r="E12" i="8"/>
  <c r="E13" i="8"/>
  <c r="E14" i="8"/>
  <c r="I1" i="8"/>
  <c r="H11" i="8"/>
  <c r="H12" i="8"/>
  <c r="H13" i="8"/>
  <c r="H14" i="8"/>
  <c r="G11" i="8"/>
  <c r="G12" i="8"/>
  <c r="G13" i="8"/>
  <c r="G14" i="8"/>
  <c r="F11" i="8"/>
  <c r="F12" i="8"/>
  <c r="F13" i="8"/>
  <c r="F14" i="8"/>
  <c r="E10" i="8"/>
  <c r="H10" i="8"/>
  <c r="H17" i="8" s="1"/>
  <c r="H18" i="8" s="1"/>
  <c r="G10" i="8"/>
  <c r="G17" i="8" s="1"/>
  <c r="G18" i="8" s="1"/>
  <c r="J37" i="8"/>
  <c r="J38" i="8" s="1"/>
  <c r="K23" i="8"/>
  <c r="K37" i="8" s="1"/>
  <c r="K38" i="8" s="1"/>
  <c r="F22" i="1"/>
  <c r="F21" i="1"/>
  <c r="F20" i="1"/>
  <c r="F18" i="1"/>
  <c r="F15" i="1"/>
  <c r="F14" i="1"/>
  <c r="F13" i="1"/>
  <c r="F11" i="1"/>
  <c r="F10" i="1"/>
  <c r="F8" i="1"/>
  <c r="F7" i="1"/>
  <c r="F6" i="1"/>
  <c r="E17" i="8" l="1"/>
  <c r="E18" i="8" s="1"/>
  <c r="I11" i="8"/>
  <c r="I12" i="8"/>
  <c r="K12" i="8" s="1"/>
  <c r="I13" i="8"/>
  <c r="K13" i="8" s="1"/>
  <c r="I14" i="8"/>
  <c r="K14" i="8" s="1"/>
  <c r="S11" i="8"/>
  <c r="F10" i="8"/>
  <c r="F24" i="1"/>
  <c r="F17" i="8" l="1"/>
  <c r="F18" i="8" s="1"/>
  <c r="I10" i="8"/>
  <c r="J10" i="8"/>
  <c r="J17" i="8" s="1"/>
  <c r="J18" i="8" s="1"/>
  <c r="K11" i="8"/>
  <c r="K10" i="8" s="1"/>
  <c r="K17" i="8" s="1"/>
  <c r="K18" i="8" s="1"/>
  <c r="I17" i="8" l="1"/>
  <c r="I18" i="8" s="1"/>
  <c r="S10" i="8"/>
</calcChain>
</file>

<file path=xl/sharedStrings.xml><?xml version="1.0" encoding="utf-8"?>
<sst xmlns="http://schemas.openxmlformats.org/spreadsheetml/2006/main" count="589" uniqueCount="227">
  <si>
    <t>Concept</t>
  </si>
  <si>
    <t>Current Month 
(To go-1)</t>
  </si>
  <si>
    <t>Current Month
Real</t>
  </si>
  <si>
    <t>Cumulative 
to date</t>
  </si>
  <si>
    <t>To go 
Month 1</t>
  </si>
  <si>
    <t>To go 
Month 2</t>
  </si>
  <si>
    <t>To go 
Month 3</t>
  </si>
  <si>
    <t>To go 
Month 4</t>
  </si>
  <si>
    <t>To go 
Month 5</t>
  </si>
  <si>
    <t>Current Remaining</t>
  </si>
  <si>
    <t>At completion 
Current</t>
  </si>
  <si>
    <t>At completion 
Previous</t>
  </si>
  <si>
    <t>At completion 
Target</t>
  </si>
  <si>
    <t>EARN REVENUE</t>
  </si>
  <si>
    <t>Earn value Plus work in progrees</t>
  </si>
  <si>
    <t>Profit + overheads (12%)</t>
  </si>
  <si>
    <t>Additional Claims</t>
  </si>
  <si>
    <t>Claims to other projects</t>
  </si>
  <si>
    <t>Claims to third parties</t>
  </si>
  <si>
    <t>Claims to subcontractos</t>
  </si>
  <si>
    <t>COST</t>
  </si>
  <si>
    <t>Materials</t>
  </si>
  <si>
    <t>Labor</t>
  </si>
  <si>
    <t>Subcontractor</t>
  </si>
  <si>
    <t>Plant</t>
  </si>
  <si>
    <t>Overhead and indirects</t>
  </si>
  <si>
    <t>Margen ('Earn revenue - Cost)</t>
  </si>
  <si>
    <t>%Margen (Margen / Earn Revenue)</t>
  </si>
  <si>
    <t>Earn value</t>
  </si>
  <si>
    <t>Profit ('Earn revenue - Cost)</t>
  </si>
  <si>
    <t>%Profit (Profit / Earn Revenue)</t>
  </si>
  <si>
    <t>Cost Category</t>
  </si>
  <si>
    <t>Description</t>
  </si>
  <si>
    <t>Labour</t>
  </si>
  <si>
    <t>Material</t>
  </si>
  <si>
    <t>Equipment</t>
  </si>
  <si>
    <t>Code</t>
  </si>
  <si>
    <t>Cost account</t>
  </si>
  <si>
    <t>C-100</t>
  </si>
  <si>
    <t>Cost account 1</t>
  </si>
  <si>
    <t>C-200</t>
  </si>
  <si>
    <t>Cost account 2</t>
  </si>
  <si>
    <t>C-300</t>
  </si>
  <si>
    <t>Cost account 3</t>
  </si>
  <si>
    <t>C-400</t>
  </si>
  <si>
    <t>Cost account 4</t>
  </si>
  <si>
    <t>BUDGET</t>
  </si>
  <si>
    <t>Activity</t>
  </si>
  <si>
    <t>Activity title</t>
  </si>
  <si>
    <t>Cantidad</t>
  </si>
  <si>
    <t>Price</t>
  </si>
  <si>
    <t>Cost</t>
  </si>
  <si>
    <t>Duration</t>
  </si>
  <si>
    <t>WBS 1</t>
  </si>
  <si>
    <t>PROVISIONALES</t>
  </si>
  <si>
    <t>Activity 1</t>
  </si>
  <si>
    <t>CARTEL PARA LA OBRA DE 3.60X2.40M.</t>
  </si>
  <si>
    <t>Activity 2</t>
  </si>
  <si>
    <t>ALQUILER DE VIVIENDA PARA OFICINA Y ALMACÉN</t>
  </si>
  <si>
    <t>Activity 3</t>
  </si>
  <si>
    <t xml:space="preserve">MOVILIZACION Y DESMOVILIZACION DE EQUIPO_x000D_
</t>
  </si>
  <si>
    <t>WBS 2</t>
  </si>
  <si>
    <t>OBRAS PRELIMINARES</t>
  </si>
  <si>
    <t>Activity 4</t>
  </si>
  <si>
    <t>LIMPIEZA DE TERRENO MANUAL</t>
  </si>
  <si>
    <t>Activity 5</t>
  </si>
  <si>
    <t>TRAZO Y REPLANTEO INICIALES DEL PROYECTO</t>
  </si>
  <si>
    <t>WBS 3</t>
  </si>
  <si>
    <t>MOVIMIENTO DE TIERRAS</t>
  </si>
  <si>
    <t>Activity 6</t>
  </si>
  <si>
    <t>EXCAVACION MASIVA CON MAQUINA</t>
  </si>
  <si>
    <t>Activity 7</t>
  </si>
  <si>
    <t>RELLENO COMPACTADO CON MATERIAL PROPIO</t>
  </si>
  <si>
    <t>Activity 8</t>
  </si>
  <si>
    <t>RELLENO COMPACTADO CON MATERIAL DE PRESTAMO</t>
  </si>
  <si>
    <t>WBS 4</t>
  </si>
  <si>
    <t>CONCRETO SIMPLE</t>
  </si>
  <si>
    <t>WBS 4.1</t>
  </si>
  <si>
    <t>SOLADO PARA ZAPATAS</t>
  </si>
  <si>
    <t>Activity 9</t>
  </si>
  <si>
    <t>SOLADO DE CONCRETO PARA ZAPATAS MEZCLA 1:12 (e=2")</t>
  </si>
  <si>
    <t>MUROS DE CONTENCION</t>
  </si>
  <si>
    <t>Activity 10</t>
  </si>
  <si>
    <t xml:space="preserve">ENCOFRADO Y DESENCOFRADO NORMAL PARA MUROS DE CONTENCION_x000D_
</t>
  </si>
  <si>
    <t>Activity 11</t>
  </si>
  <si>
    <t>ENCOFRADO Y DESENCOFRADO NORMAL EN ZAPATAS DE MURO</t>
  </si>
  <si>
    <t>Activity 12</t>
  </si>
  <si>
    <t>CONCRETO CICLOPEO 30%PM PARA MUROS f'c=140 kg/m2</t>
  </si>
  <si>
    <t>Code Of Accounts</t>
  </si>
  <si>
    <t>Cost per Unit</t>
  </si>
  <si>
    <t>Cost per Quantity</t>
  </si>
  <si>
    <t>Activity Name</t>
  </si>
  <si>
    <t>Planned Start</t>
  </si>
  <si>
    <t>Planned Finish</t>
  </si>
  <si>
    <t>Progress</t>
  </si>
  <si>
    <t>Cost planned due to the actual progress</t>
  </si>
  <si>
    <t>Unit pctg Labour</t>
  </si>
  <si>
    <t>Unit pctg Mat</t>
  </si>
  <si>
    <t>Unit pctg Eq.</t>
  </si>
  <si>
    <t>unit cost Labour</t>
  </si>
  <si>
    <t>unit cost Mat</t>
  </si>
  <si>
    <t>unit cost Eq.</t>
  </si>
  <si>
    <t>subtotal Labour</t>
  </si>
  <si>
    <t>subtotal Mat</t>
  </si>
  <si>
    <t>subtotal Eq.</t>
  </si>
  <si>
    <t>%</t>
  </si>
  <si>
    <t>EV</t>
  </si>
  <si>
    <t>Mat</t>
  </si>
  <si>
    <t>Eq.</t>
  </si>
  <si>
    <t>WBS 4.2</t>
  </si>
  <si>
    <t>Code CA</t>
  </si>
  <si>
    <t>LABOUR C</t>
  </si>
  <si>
    <t>MATERIAL C</t>
  </si>
  <si>
    <t>EQUIPMENT C</t>
  </si>
  <si>
    <t>Total general</t>
  </si>
  <si>
    <t>Suma de Labour</t>
  </si>
  <si>
    <t>Suma de Mat</t>
  </si>
  <si>
    <t>Suma de Eq.</t>
  </si>
  <si>
    <t>Category</t>
  </si>
  <si>
    <t>AC</t>
  </si>
  <si>
    <t>CV</t>
  </si>
  <si>
    <t>Profit</t>
  </si>
  <si>
    <t>Subtotal</t>
  </si>
  <si>
    <t>Overhead</t>
  </si>
  <si>
    <t>Subtotal 2</t>
  </si>
  <si>
    <t>Another concepts to claim</t>
  </si>
  <si>
    <t>GAP</t>
  </si>
  <si>
    <t>Total</t>
  </si>
  <si>
    <t>Subtotal 1</t>
  </si>
  <si>
    <t>Description CA</t>
  </si>
  <si>
    <t>Support Gap</t>
  </si>
  <si>
    <t>Actions to implement</t>
  </si>
  <si>
    <t>Explanation one</t>
  </si>
  <si>
    <t>Actions to implement one.</t>
  </si>
  <si>
    <t>Explanation two</t>
  </si>
  <si>
    <t>Actions to implement two.</t>
  </si>
  <si>
    <t>Explanation three</t>
  </si>
  <si>
    <t>Actions to implement three.</t>
  </si>
  <si>
    <t>Explanation four</t>
  </si>
  <si>
    <t>Actions to implement four.</t>
  </si>
  <si>
    <t>Valuation</t>
  </si>
  <si>
    <t>Request for payment</t>
  </si>
  <si>
    <t>Accruals</t>
  </si>
  <si>
    <t>Budgeted Cost</t>
  </si>
  <si>
    <t>Actual Cost</t>
  </si>
  <si>
    <t>Gap</t>
  </si>
  <si>
    <t>GG =0.1*CD</t>
  </si>
  <si>
    <t>SUB TOTAL</t>
  </si>
  <si>
    <t>EV'</t>
  </si>
  <si>
    <t>CPI</t>
  </si>
  <si>
    <t>Suma de Cost</t>
  </si>
  <si>
    <t>(en blanco)</t>
  </si>
  <si>
    <t>WBS</t>
  </si>
  <si>
    <t>Activity ID</t>
  </si>
  <si>
    <t>COA</t>
  </si>
  <si>
    <t>Original Duration</t>
  </si>
  <si>
    <t>Budget</t>
  </si>
  <si>
    <t>RO_01  RO_Sample</t>
  </si>
  <si>
    <t xml:space="preserve">  RO_01.1  WBS 1</t>
  </si>
  <si>
    <t xml:space="preserve">    RO_01.1</t>
  </si>
  <si>
    <t>A1000</t>
  </si>
  <si>
    <t>A1010</t>
  </si>
  <si>
    <t>A1020</t>
  </si>
  <si>
    <t xml:space="preserve">  RO_01.2  WBS 2</t>
  </si>
  <si>
    <t xml:space="preserve">    RO_01.2</t>
  </si>
  <si>
    <t>A1030</t>
  </si>
  <si>
    <t>A1040</t>
  </si>
  <si>
    <t xml:space="preserve">  RO_01.3  WBS 3</t>
  </si>
  <si>
    <t xml:space="preserve">    RO_01.3</t>
  </si>
  <si>
    <t>A1050</t>
  </si>
  <si>
    <t>A1060</t>
  </si>
  <si>
    <t>A1070</t>
  </si>
  <si>
    <t xml:space="preserve">  RO_01.4  WBS4</t>
  </si>
  <si>
    <t xml:space="preserve">    RO_01.4.1  WBS 4.1</t>
  </si>
  <si>
    <t xml:space="preserve">      RO_01.4.1</t>
  </si>
  <si>
    <t>A1080</t>
  </si>
  <si>
    <t xml:space="preserve">    RO_01.4.2  WBS 4. 2</t>
  </si>
  <si>
    <t xml:space="preserve">      RO_01.4.2</t>
  </si>
  <si>
    <t>A1090</t>
  </si>
  <si>
    <t>A1100</t>
  </si>
  <si>
    <t>A1110</t>
  </si>
  <si>
    <t>Unit</t>
  </si>
  <si>
    <t>Quantity</t>
  </si>
  <si>
    <t>Start</t>
  </si>
  <si>
    <t>Finish</t>
  </si>
  <si>
    <t>Actual qty</t>
  </si>
  <si>
    <t>EV (Cost account)</t>
  </si>
  <si>
    <t>ETC</t>
  </si>
  <si>
    <t>EAC</t>
  </si>
  <si>
    <t>m2</t>
  </si>
  <si>
    <t>m3</t>
  </si>
  <si>
    <t>Period</t>
  </si>
  <si>
    <t>Variable</t>
  </si>
  <si>
    <t>Value</t>
  </si>
  <si>
    <t>PV</t>
  </si>
  <si>
    <t>PV cum</t>
  </si>
  <si>
    <t>may-26</t>
  </si>
  <si>
    <t>jun-26</t>
  </si>
  <si>
    <t>jul-26</t>
  </si>
  <si>
    <t>aug-26</t>
  </si>
  <si>
    <t>sep-26</t>
  </si>
  <si>
    <t>CA</t>
  </si>
  <si>
    <t>CA2</t>
  </si>
  <si>
    <t>SV</t>
  </si>
  <si>
    <t>SPI</t>
  </si>
  <si>
    <t>Resource name</t>
  </si>
  <si>
    <t>Type</t>
  </si>
  <si>
    <t>Qty to date</t>
  </si>
  <si>
    <t>Unit rate TD</t>
  </si>
  <si>
    <t>Cost to date</t>
  </si>
  <si>
    <t>Qty to Complete</t>
  </si>
  <si>
    <t>Unit rate TC</t>
  </si>
  <si>
    <t>Cost to compelte</t>
  </si>
  <si>
    <t>Resource 1</t>
  </si>
  <si>
    <t>HH</t>
  </si>
  <si>
    <t>Resource 2</t>
  </si>
  <si>
    <t>Resource 3</t>
  </si>
  <si>
    <t>Resource 4</t>
  </si>
  <si>
    <t>Resource 5</t>
  </si>
  <si>
    <t>Resource 6</t>
  </si>
  <si>
    <t>ea</t>
  </si>
  <si>
    <t>Resource 7</t>
  </si>
  <si>
    <t>Resource 8</t>
  </si>
  <si>
    <t>Resource 9</t>
  </si>
  <si>
    <t>Day</t>
  </si>
  <si>
    <t>Resource 10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</si>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</sst>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&quot;S/&quot;\ * #,##0.00_-;\-&quot;S/&quot;\ * #,##0.00_-;_-&quot;S/&quot;\ * &quot;-&quot;??_-;_-@_-"/>
    <numFmt numFmtId="168" formatCode="#,##0.0"/>
    <numFmt numFmtId="169" formatCode="_-* #,##0_-;\-* #,##0_-;_-* &quot;-&quot;??_-;_-@_-"/>
    <numFmt numFmtId="170" formatCode="_ * #,##0_ ;_ * \-#,##0_ ;_ * &quot;-&quot;_ ;_ @_ "/>
    <numFmt numFmtId="171" formatCode="_ &quot;S/.&quot;\ * #,##0.00_ ;_ &quot;S/.&quot;\ * \-#,##0.00_ ;_ &quot;S/.&quot;\ * &quot;-&quot;??_ ;_ @_ "/>
    <numFmt numFmtId="172" formatCode="_ * #,##0.00_ ;_ * \-#,##0.00_ ;_ * &quot;-&quot;??_ ;_ @_ "/>
    <numFmt numFmtId="173" formatCode="#,##0\ &quot;€&quot;;[Red]\-#,##0\ &quot;€&quot;"/>
    <numFmt numFmtId="174" formatCode="_-* #,##0.00\ &quot;€&quot;_-;\-* #,##0.00\ &quot;€&quot;_-;_-* &quot;-&quot;??\ &quot;€&quot;_-;_-@_-"/>
    <numFmt numFmtId="175" formatCode="_-* #,##0.00\ _€_-;\-* #,##0.00\ _€_-;_-* &quot;-&quot;??\ _€_-;_-@_-"/>
    <numFmt numFmtId="176" formatCode="0.0"/>
    <numFmt numFmtId="177" formatCode="_([$€-2]\ * #,##0.00_);_([$€-2]\ * \(#,##0.00\);_([$€-2]\ * &quot;-&quot;??_)"/>
    <numFmt numFmtId="178" formatCode="_-* #,##0\ _€_-;\-* #,##0\ _€_-;_-* &quot;-&quot;??\ _€_-;_-@_-"/>
    <numFmt numFmtId="179" formatCode="_ &quot;S.&quot;\ * #,##0.00_ ;_ &quot;S.&quot;\ * \-#,##0.00_ ;_ &quot;S.&quot;\ * &quot;-&quot;??_ ;_ @_ "/>
    <numFmt numFmtId="180" formatCode="_-[$€-2]* #,##0.00_-;\-[$€-2]* #,##0.00_-;_-[$€-2]* &quot;-&quot;??_-"/>
    <numFmt numFmtId="181" formatCode="&quot;N$&quot;\ #,##0;&quot;N$&quot;\ \-#,##0"/>
    <numFmt numFmtId="182" formatCode="&quot;S/&quot;#,##0;&quot;S/&quot;\-#,##0"/>
    <numFmt numFmtId="183" formatCode="&quot;N$&quot;\ #,##0.00;&quot;N$&quot;\ \-#,##0.00"/>
    <numFmt numFmtId="184" formatCode="_(&quot;S/.&quot;\ * #,##0.00_);_(&quot;S/.&quot;\ * \(#,##0.00\);_(&quot;S/.&quot;\ * &quot;-&quot;??_);_(@_)"/>
    <numFmt numFmtId="185" formatCode="_([$€]* #,##0.00_);_([$€]* \(#,##0.00\);_([$€]* &quot;-&quot;??_);_(@_)"/>
    <numFmt numFmtId="186" formatCode="_-* #,##0.00\ _P_t_s_-;\-* #,##0.00\ _P_t_s_-;_-* &quot;-&quot;??\ _P_t_s_-;_-@_-"/>
    <numFmt numFmtId="187" formatCode="0.0000000"/>
    <numFmt numFmtId="188" formatCode="0.00000000"/>
    <numFmt numFmtId="189" formatCode="_ * #,##0.000_ ;_ * \-#,##0.000_ ;_ * &quot;-&quot;??_ ;_ @_ "/>
    <numFmt numFmtId="190" formatCode="#,##0.0000"/>
    <numFmt numFmtId="191" formatCode="#,##0.00_ ;[Red]\-#,##0.00\ "/>
    <numFmt numFmtId="192" formatCode="&quot;$&quot;#.00"/>
    <numFmt numFmtId="193" formatCode="&quot;$&quot;#,##0\ ;\(&quot;$&quot;#,##0\)"/>
    <numFmt numFmtId="194" formatCode="_-* #,##0.00\ [$€]_-;\-* #,##0.00\ [$€]_-;_-* &quot;-&quot;??\ [$€]_-;_-@_-"/>
    <numFmt numFmtId="195" formatCode="_([$€]\ * #,##0.00_);_([$€]\ * \(#,##0.00\);_([$€]\ * &quot;-&quot;??_);_(@_)"/>
    <numFmt numFmtId="196" formatCode="_(&quot;B&quot;* #,##0_);_(&quot;B&quot;* \(#,##0\);_(&quot;B&quot;* &quot;-&quot;_);_(@_)"/>
    <numFmt numFmtId="197" formatCode="#,#00"/>
    <numFmt numFmtId="198" formatCode="#.##000"/>
    <numFmt numFmtId="199" formatCode="#.00"/>
    <numFmt numFmtId="200" formatCode="_ &quot;$&quot;\ * #,##0.00_ ;_ &quot;$&quot;\ * \-#,##0.00_ ;_ &quot;$&quot;\ * &quot;-&quot;??_ ;_ @_ "/>
    <numFmt numFmtId="201" formatCode="#,##0;[Red]\(#,##0\)"/>
    <numFmt numFmtId="202" formatCode="[$$-409]#,##0.00"/>
    <numFmt numFmtId="203" formatCode="_-[$$-409]* #,##0.000000_ ;_-[$$-409]* \-#,##0.000000\ ;_-[$$-409]* &quot;-&quot;??_ ;_-@_ "/>
    <numFmt numFmtId="204" formatCode="_ * #,##0.0000_ ;_ * \-#,##0.0000_ ;_ * &quot;-&quot;??_ ;_ @_ "/>
    <numFmt numFmtId="205" formatCode="_ * #,##0_ ;_ * \-#,##0_ ;_ * &quot;-&quot;??_ ;_ @_ "/>
    <numFmt numFmtId="206" formatCode="#,##0.00;#,##0.00"/>
    <numFmt numFmtId="207" formatCode="#,##0.000000"/>
    <numFmt numFmtId="208" formatCode="dd/mm/yy"/>
    <numFmt numFmtId="209" formatCode="0.000"/>
    <numFmt numFmtId="210" formatCode="&quot;S.&quot;\ #,##0.00_);[Red]\(&quot;S.&quot;\ #,##0.00\)"/>
    <numFmt numFmtId="211" formatCode="&quot;S/.&quot;#,##0;[Red]&quot;S/.&quot;\-#,##0"/>
    <numFmt numFmtId="212" formatCode="#,##0.0000_);\-#,##0.0000"/>
    <numFmt numFmtId="213" formatCode="&quot;S.&quot;\ #,##0.00_);\(&quot;S.&quot;\ #,##0.00\)"/>
    <numFmt numFmtId="214" formatCode="_-&quot;$&quot;\ * #,##0.00_-;\-&quot;$&quot;\ * #,##0.00_-;_-&quot;$&quot;\ * &quot;-&quot;??_-;_-@_-"/>
    <numFmt numFmtId="215" formatCode="#,##0.00_ ;\-#,##0.00\ "/>
    <numFmt numFmtId="216" formatCode="_-[$$-240A]\ * #,##0.00_ ;_-[$$-240A]\ * \-#,##0.00\ ;_-[$$-240A]\ * &quot;-&quot;??_ ;_-@_ "/>
    <numFmt numFmtId="217" formatCode="_-* #,##0\ \-;\-* #,##0\ _-;_-* &quot;-&quot;\ _-;_-@_-"/>
    <numFmt numFmtId="218" formatCode="\$#,#00"/>
    <numFmt numFmtId="219" formatCode="0.00_)"/>
    <numFmt numFmtId="220" formatCode="%#.00"/>
    <numFmt numFmtId="221" formatCode="&quot;S/&quot;\ #,##0.00"/>
    <numFmt numFmtId="222" formatCode="#,##0;\(#,##0\)"/>
    <numFmt numFmtId="223" formatCode="_-&quot;S/&quot;\ * #,##0_-;\-&quot;S/&quot;\ * #,##0_-;_-&quot;S/&quot;\ * &quot;-&quot;??_-;_-@_-"/>
    <numFmt numFmtId="224" formatCode="_([$$-409]* #,##0.00_);_([$$-409]* \(#,##0.00\);_([$$-409]* &quot;-&quot;??_);_(@_)"/>
    <numFmt numFmtId="225" formatCode="_([$$-409]* #,##0_);_([$$-409]* \(#,##0\);_([$$-409]* &quot;-&quot;??_);_(@_)"/>
    <numFmt numFmtId="226" formatCode="_(* #,##0_);_(* \(#,##0\);_(* &quot;-&quot;??_);_(@_)"/>
  </numFmts>
  <fonts count="8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name val="Times New Roman"/>
      <family val="1"/>
    </font>
    <font>
      <sz val="9"/>
      <color indexed="10"/>
      <name val="Geneva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8"/>
      <name val="Arial"/>
      <family val="2"/>
    </font>
    <font>
      <i/>
      <sz val="12"/>
      <name val="Arial"/>
      <family val="2"/>
    </font>
    <font>
      <sz val="12"/>
      <name val="Times New Roman"/>
      <family val="1"/>
    </font>
    <font>
      <sz val="18"/>
      <name val="Times New Roman"/>
      <family val="1"/>
    </font>
    <font>
      <sz val="8"/>
      <name val="Times New Roman"/>
      <family val="1"/>
    </font>
    <font>
      <i/>
      <sz val="12"/>
      <name val="Times New Roman"/>
      <family val="1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theme="1"/>
      <name val="Arial Narrow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indexed="10"/>
      <name val="Geneva"/>
      <family val="2"/>
    </font>
    <font>
      <sz val="10"/>
      <name val="Helv"/>
      <charset val="204"/>
    </font>
    <font>
      <sz val="10"/>
      <name val="Courier"/>
      <family val="3"/>
    </font>
    <font>
      <sz val="1"/>
      <color indexed="8"/>
      <name val="Courier"/>
      <family val="3"/>
    </font>
    <font>
      <sz val="10"/>
      <color indexed="24"/>
      <name val="Arial"/>
      <family val="2"/>
    </font>
    <font>
      <sz val="10"/>
      <name val="BERNHARD"/>
    </font>
    <font>
      <sz val="10"/>
      <name val="Helv"/>
    </font>
    <font>
      <b/>
      <sz val="1"/>
      <color indexed="8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u/>
      <sz val="10"/>
      <color indexed="14"/>
      <name val="MS Sans Serif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u/>
      <sz val="9"/>
      <color indexed="12"/>
      <name val="Times New Roman"/>
      <family val="1"/>
    </font>
    <font>
      <u/>
      <sz val="10"/>
      <color indexed="12"/>
      <name val="MS Sans Serif"/>
      <family val="2"/>
    </font>
    <font>
      <u/>
      <sz val="10"/>
      <color indexed="12"/>
      <name val="Arial"/>
      <family val="2"/>
    </font>
    <font>
      <sz val="6.35"/>
      <color indexed="8"/>
      <name val="Arial Narrow"/>
      <family val="2"/>
    </font>
    <font>
      <sz val="12"/>
      <name val="Helv"/>
    </font>
    <font>
      <b/>
      <i/>
      <sz val="16"/>
      <name val="Helv"/>
      <family val="2"/>
    </font>
    <font>
      <sz val="8"/>
      <name val="Helv"/>
    </font>
    <font>
      <sz val="12"/>
      <name val="Univers (WN)"/>
    </font>
    <font>
      <b/>
      <sz val="11.5"/>
      <color rgb="FF0000CC"/>
      <name val="Arial Narrow"/>
      <family val="2"/>
    </font>
    <font>
      <b/>
      <sz val="10"/>
      <color rgb="FF0000CC"/>
      <name val="Arial Narrow"/>
      <family val="2"/>
    </font>
    <font>
      <b/>
      <sz val="11.5"/>
      <color rgb="FFFF0000"/>
      <name val="Arial Narrow"/>
      <family val="2"/>
    </font>
    <font>
      <b/>
      <sz val="10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Arial Narrow"/>
      <family val="2"/>
    </font>
    <font>
      <b/>
      <sz val="9"/>
      <color theme="0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8"/>
      <name val="Arial Narrow"/>
      <family val="2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839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5" fillId="0" borderId="0">
      <alignment vertical="center"/>
    </xf>
    <xf numFmtId="172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7" fillId="0" borderId="0">
      <alignment vertical="top"/>
    </xf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4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7" borderId="6" applyNumberFormat="0" applyAlignment="0" applyProtection="0"/>
    <xf numFmtId="0" fontId="6" fillId="0" borderId="0"/>
    <xf numFmtId="0" fontId="12" fillId="18" borderId="7" applyNumberFormat="0" applyAlignment="0" applyProtection="0"/>
    <xf numFmtId="0" fontId="13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9" fillId="19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15" fillId="13" borderId="6" applyNumberFormat="0" applyAlignment="0" applyProtection="0"/>
    <xf numFmtId="177" fontId="6" fillId="0" borderId="0" applyFont="0" applyFill="0" applyBorder="0" applyAlignment="0" applyProtection="0"/>
    <xf numFmtId="0" fontId="16" fillId="23" borderId="0" applyNumberFormat="0" applyBorder="0" applyAlignment="0" applyProtection="0"/>
    <xf numFmtId="0" fontId="17" fillId="13" borderId="0" applyNumberFormat="0" applyBorder="0" applyAlignment="0" applyProtection="0"/>
    <xf numFmtId="0" fontId="6" fillId="0" borderId="0"/>
    <xf numFmtId="0" fontId="5" fillId="0" borderId="0"/>
    <xf numFmtId="0" fontId="1" fillId="0" borderId="0"/>
    <xf numFmtId="0" fontId="6" fillId="0" borderId="0"/>
    <xf numFmtId="0" fontId="6" fillId="0" borderId="0"/>
    <xf numFmtId="0" fontId="18" fillId="10" borderId="9" applyNumberFormat="0" applyFont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17" borderId="10" applyNumberFormat="0" applyAlignment="0" applyProtection="0"/>
    <xf numFmtId="0" fontId="1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14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14" applyNumberFormat="0" applyFill="0" applyAlignment="0" applyProtection="0"/>
    <xf numFmtId="178" fontId="6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6" fillId="0" borderId="0"/>
    <xf numFmtId="0" fontId="25" fillId="0" borderId="0"/>
    <xf numFmtId="0" fontId="6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179" fontId="8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/>
    <xf numFmtId="0" fontId="1" fillId="0" borderId="0"/>
    <xf numFmtId="0" fontId="6" fillId="0" borderId="0"/>
    <xf numFmtId="0" fontId="26" fillId="0" borderId="0"/>
    <xf numFmtId="172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1" fillId="0" borderId="0"/>
    <xf numFmtId="172" fontId="5" fillId="0" borderId="0" applyFont="0" applyFill="0" applyBorder="0" applyAlignment="0" applyProtection="0"/>
    <xf numFmtId="0" fontId="5" fillId="0" borderId="0">
      <alignment vertical="center"/>
    </xf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0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3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0" fontId="27" fillId="0" borderId="0" applyProtection="0"/>
    <xf numFmtId="0" fontId="28" fillId="0" borderId="0" applyProtection="0"/>
    <xf numFmtId="0" fontId="29" fillId="0" borderId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7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4" fontId="27" fillId="0" borderId="0" applyProtection="0"/>
    <xf numFmtId="2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43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3" fontId="27" fillId="0" borderId="0" applyProtection="0"/>
    <xf numFmtId="3" fontId="6" fillId="0" borderId="0" applyFont="0" applyFill="0" applyBorder="0" applyAlignment="0" applyProtection="0"/>
    <xf numFmtId="0" fontId="6" fillId="0" borderId="15" applyNumberFormat="0" applyFont="0" applyFill="0" applyAlignment="0" applyProtection="0"/>
    <xf numFmtId="172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5" fillId="0" borderId="0" applyFont="0" applyFill="0" applyBorder="0" applyAlignment="0" applyProtection="0"/>
    <xf numFmtId="17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>
      <alignment vertical="top"/>
    </xf>
    <xf numFmtId="9" fontId="6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0" fontId="5" fillId="0" borderId="0">
      <alignment vertical="center"/>
    </xf>
    <xf numFmtId="172" fontId="5" fillId="0" borderId="0" applyFont="0" applyFill="0" applyBorder="0" applyAlignment="0" applyProtection="0"/>
    <xf numFmtId="0" fontId="1" fillId="0" borderId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5" fillId="0" borderId="0">
      <alignment vertical="center"/>
    </xf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2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10" borderId="9" applyNumberFormat="0" applyFont="0" applyAlignment="0" applyProtection="0"/>
    <xf numFmtId="0" fontId="18" fillId="10" borderId="9" applyNumberFormat="0" applyFont="0" applyAlignment="0" applyProtection="0"/>
    <xf numFmtId="0" fontId="18" fillId="10" borderId="9" applyNumberFormat="0" applyFont="0" applyAlignment="0" applyProtection="0"/>
    <xf numFmtId="0" fontId="18" fillId="10" borderId="9" applyNumberFormat="0" applyFont="0" applyAlignment="0" applyProtection="0"/>
    <xf numFmtId="0" fontId="18" fillId="10" borderId="9" applyNumberFormat="0" applyFont="0" applyAlignment="0" applyProtection="0"/>
    <xf numFmtId="0" fontId="18" fillId="10" borderId="9" applyNumberFormat="0" applyFont="0" applyAlignment="0" applyProtection="0"/>
    <xf numFmtId="0" fontId="18" fillId="10" borderId="9" applyNumberFormat="0" applyFont="0" applyAlignment="0" applyProtection="0"/>
    <xf numFmtId="0" fontId="18" fillId="10" borderId="9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172" fontId="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171" fontId="5" fillId="0" borderId="0" applyFont="0" applyFill="0" applyBorder="0" applyAlignment="0" applyProtection="0"/>
    <xf numFmtId="0" fontId="6" fillId="0" borderId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>
      <alignment vertical="top"/>
    </xf>
    <xf numFmtId="172" fontId="7" fillId="0" borderId="0" applyFont="0" applyFill="0" applyBorder="0" applyAlignment="0" applyProtection="0">
      <alignment vertical="top"/>
    </xf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8" fillId="26" borderId="0" applyNumberFormat="0" applyBorder="0" applyAlignment="0" applyProtection="0"/>
    <xf numFmtId="0" fontId="6" fillId="0" borderId="0"/>
    <xf numFmtId="172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72" fontId="1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  <xf numFmtId="0" fontId="6" fillId="0" borderId="0"/>
    <xf numFmtId="0" fontId="8" fillId="24" borderId="0" applyNumberFormat="0" applyBorder="0" applyAlignment="0" applyProtection="0"/>
    <xf numFmtId="0" fontId="8" fillId="14" borderId="0" applyNumberFormat="0" applyBorder="0" applyAlignment="0" applyProtection="0"/>
    <xf numFmtId="0" fontId="8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12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23" borderId="0" applyNumberFormat="0" applyBorder="0" applyAlignment="0" applyProtection="0"/>
    <xf numFmtId="0" fontId="8" fillId="8" borderId="0" applyNumberFormat="0" applyBorder="0" applyAlignment="0" applyProtection="0"/>
    <xf numFmtId="0" fontId="8" fillId="16" borderId="0" applyNumberFormat="0" applyBorder="0" applyAlignment="0" applyProtection="0"/>
    <xf numFmtId="0" fontId="9" fillId="28" borderId="0" applyNumberFormat="0" applyBorder="0" applyAlignment="0" applyProtection="0"/>
    <xf numFmtId="0" fontId="9" fillId="9" borderId="0" applyNumberFormat="0" applyBorder="0" applyAlignment="0" applyProtection="0"/>
    <xf numFmtId="0" fontId="9" fillId="27" borderId="0" applyNumberFormat="0" applyBorder="0" applyAlignment="0" applyProtection="0"/>
    <xf numFmtId="0" fontId="8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21" borderId="0" applyNumberFormat="0" applyBorder="0" applyAlignment="0" applyProtection="0"/>
    <xf numFmtId="0" fontId="9" fillId="30" borderId="0" applyNumberFormat="0" applyBorder="0" applyAlignment="0" applyProtection="0"/>
    <xf numFmtId="0" fontId="10" fillId="25" borderId="0" applyNumberFormat="0" applyBorder="0" applyAlignment="0" applyProtection="0"/>
    <xf numFmtId="0" fontId="30" fillId="11" borderId="6" applyNumberFormat="0" applyAlignment="0" applyProtection="0"/>
    <xf numFmtId="0" fontId="26" fillId="0" borderId="0"/>
    <xf numFmtId="0" fontId="12" fillId="18" borderId="7" applyNumberFormat="0" applyAlignment="0" applyProtection="0"/>
    <xf numFmtId="0" fontId="31" fillId="0" borderId="16" applyNumberFormat="0" applyFill="0" applyAlignment="0" applyProtection="0"/>
    <xf numFmtId="0" fontId="32" fillId="0" borderId="0" applyNumberFormat="0" applyFill="0" applyBorder="0" applyAlignment="0" applyProtection="0"/>
    <xf numFmtId="0" fontId="9" fillId="31" borderId="0" applyNumberFormat="0" applyBorder="0" applyAlignment="0" applyProtection="0"/>
    <xf numFmtId="0" fontId="9" fillId="22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21" borderId="0" applyNumberFormat="0" applyBorder="0" applyAlignment="0" applyProtection="0"/>
    <xf numFmtId="0" fontId="9" fillId="15" borderId="0" applyNumberFormat="0" applyBorder="0" applyAlignment="0" applyProtection="0"/>
    <xf numFmtId="0" fontId="15" fillId="26" borderId="6" applyNumberFormat="0" applyAlignment="0" applyProtection="0"/>
    <xf numFmtId="185" fontId="6" fillId="0" borderId="0" applyFont="0" applyFill="0" applyBorder="0" applyAlignment="0" applyProtection="0"/>
    <xf numFmtId="0" fontId="33" fillId="0" borderId="0" applyProtection="0"/>
    <xf numFmtId="0" fontId="5" fillId="0" borderId="0" applyProtection="0"/>
    <xf numFmtId="0" fontId="34" fillId="0" borderId="0" applyProtection="0"/>
    <xf numFmtId="0" fontId="35" fillId="0" borderId="0" applyProtection="0"/>
    <xf numFmtId="0" fontId="36" fillId="0" borderId="0" applyProtection="0"/>
    <xf numFmtId="0" fontId="37" fillId="0" borderId="0" applyProtection="0"/>
    <xf numFmtId="0" fontId="38" fillId="0" borderId="0" applyProtection="0"/>
    <xf numFmtId="0" fontId="16" fillId="14" borderId="0" applyNumberFormat="0" applyBorder="0" applyAlignment="0" applyProtection="0"/>
    <xf numFmtId="0" fontId="39" fillId="13" borderId="0" applyNumberFormat="0" applyBorder="0" applyAlignment="0" applyProtection="0"/>
    <xf numFmtId="0" fontId="6" fillId="10" borderId="9" applyNumberFormat="0" applyFont="0" applyAlignment="0" applyProtection="0"/>
    <xf numFmtId="0" fontId="19" fillId="11" borderId="10" applyNumberFormat="0" applyAlignment="0" applyProtection="0"/>
    <xf numFmtId="0" fontId="1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32" fillId="0" borderId="19" applyNumberFormat="0" applyFill="0" applyAlignment="0" applyProtection="0"/>
    <xf numFmtId="0" fontId="24" fillId="0" borderId="20" applyNumberFormat="0" applyFill="0" applyAlignment="0" applyProtection="0"/>
    <xf numFmtId="186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8" fillId="0" borderId="0"/>
    <xf numFmtId="0" fontId="5" fillId="0" borderId="0"/>
    <xf numFmtId="0" fontId="8" fillId="0" borderId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2" fillId="18" borderId="7" applyNumberFormat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87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88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1" fillId="17" borderId="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6" fillId="0" borderId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7" fillId="0" borderId="0"/>
    <xf numFmtId="0" fontId="26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0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1" fillId="0" borderId="0"/>
    <xf numFmtId="0" fontId="7" fillId="0" borderId="0">
      <alignment vertical="top"/>
    </xf>
    <xf numFmtId="0" fontId="1" fillId="0" borderId="0"/>
    <xf numFmtId="0" fontId="7" fillId="0" borderId="0">
      <alignment vertical="top"/>
    </xf>
    <xf numFmtId="172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8" fillId="0" borderId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30" fillId="11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172" fontId="1" fillId="0" borderId="0" applyFont="0" applyFill="0" applyBorder="0" applyAlignment="0" applyProtection="0"/>
    <xf numFmtId="0" fontId="11" fillId="17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26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0" fontId="15" fillId="13" borderId="6" applyNumberFormat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1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1" borderId="10" applyNumberFormat="0" applyAlignment="0" applyProtection="0"/>
    <xf numFmtId="0" fontId="19" fillId="11" borderId="10" applyNumberFormat="0" applyAlignment="0" applyProtection="0"/>
    <xf numFmtId="0" fontId="19" fillId="11" borderId="10" applyNumberFormat="0" applyAlignment="0" applyProtection="0"/>
    <xf numFmtId="0" fontId="19" fillId="11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19" fillId="17" borderId="10" applyNumberFormat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20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172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2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>
      <alignment vertical="center"/>
    </xf>
    <xf numFmtId="172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1" fontId="1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5" fillId="0" borderId="0" applyFont="0" applyFill="0" applyBorder="0" applyAlignment="0" applyProtection="0"/>
    <xf numFmtId="179" fontId="8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172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171" fontId="1" fillId="0" borderId="0" applyFont="0" applyFill="0" applyBorder="0" applyAlignment="0" applyProtection="0"/>
    <xf numFmtId="0" fontId="5" fillId="0" borderId="0">
      <alignment vertical="center"/>
    </xf>
    <xf numFmtId="172" fontId="1" fillId="0" borderId="0" applyFont="0" applyFill="0" applyBorder="0" applyAlignment="0" applyProtection="0"/>
    <xf numFmtId="178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172" fontId="5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5" fillId="0" borderId="0">
      <alignment vertical="center"/>
    </xf>
    <xf numFmtId="180" fontId="6" fillId="0" borderId="0" applyFont="0" applyFill="0" applyBorder="0" applyAlignment="0" applyProtection="0"/>
    <xf numFmtId="0" fontId="6" fillId="0" borderId="0"/>
    <xf numFmtId="175" fontId="1" fillId="0" borderId="0" applyFont="0" applyFill="0" applyBorder="0" applyAlignment="0" applyProtection="0"/>
    <xf numFmtId="0" fontId="5" fillId="0" borderId="0">
      <alignment vertical="center"/>
    </xf>
    <xf numFmtId="172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" fillId="0" borderId="0">
      <alignment vertical="center"/>
    </xf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180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8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8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5" fillId="0" borderId="0">
      <alignment vertical="center"/>
    </xf>
    <xf numFmtId="0" fontId="7" fillId="0" borderId="0">
      <alignment vertical="top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8" fillId="10" borderId="9" applyNumberFormat="0" applyFont="0" applyAlignment="0" applyProtection="0"/>
    <xf numFmtId="0" fontId="18" fillId="10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5" fillId="0" borderId="0">
      <alignment vertical="center"/>
    </xf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>
      <alignment vertical="center"/>
    </xf>
    <xf numFmtId="172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8" fillId="23" borderId="0" applyNumberFormat="0" applyBorder="0" applyAlignment="0" applyProtection="0"/>
    <xf numFmtId="0" fontId="26" fillId="0" borderId="0"/>
    <xf numFmtId="186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8" fillId="26" borderId="0" applyNumberFormat="0" applyBorder="0" applyAlignment="0" applyProtection="0"/>
    <xf numFmtId="172" fontId="6" fillId="0" borderId="0" applyFont="0" applyFill="0" applyBorder="0" applyAlignment="0" applyProtection="0"/>
    <xf numFmtId="0" fontId="8" fillId="0" borderId="0"/>
    <xf numFmtId="0" fontId="6" fillId="0" borderId="0"/>
    <xf numFmtId="0" fontId="1" fillId="0" borderId="0"/>
    <xf numFmtId="172" fontId="1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" fillId="0" borderId="0">
      <alignment vertical="center"/>
    </xf>
    <xf numFmtId="172" fontId="5" fillId="0" borderId="0" applyFont="0" applyFill="0" applyBorder="0" applyAlignment="0" applyProtection="0"/>
    <xf numFmtId="0" fontId="8" fillId="11" borderId="0" applyNumberFormat="0" applyBorder="0" applyAlignment="0" applyProtection="0"/>
    <xf numFmtId="0" fontId="5" fillId="0" borderId="0"/>
    <xf numFmtId="9" fontId="6" fillId="0" borderId="0" applyFont="0" applyFill="0" applyBorder="0" applyAlignment="0" applyProtection="0"/>
    <xf numFmtId="0" fontId="7" fillId="0" borderId="0">
      <alignment vertical="top"/>
    </xf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>
      <alignment vertical="center"/>
    </xf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7" fillId="0" borderId="0">
      <alignment vertical="top"/>
    </xf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44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5" fillId="0" borderId="0">
      <alignment vertical="center"/>
    </xf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>
      <alignment vertical="center"/>
    </xf>
    <xf numFmtId="172" fontId="6" fillId="0" borderId="0" applyFont="0" applyFill="0" applyBorder="0" applyAlignment="0" applyProtection="0"/>
    <xf numFmtId="0" fontId="1" fillId="0" borderId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0" fillId="0" borderId="23" applyNumberFormat="0" applyFont="0" applyFill="0" applyAlignment="0" applyProtection="0"/>
    <xf numFmtId="0" fontId="8" fillId="24" borderId="0" applyNumberFormat="0" applyBorder="0" applyAlignment="0" applyProtection="0"/>
    <xf numFmtId="0" fontId="30" fillId="11" borderId="6" applyNumberFormat="0" applyAlignment="0" applyProtection="0"/>
    <xf numFmtId="0" fontId="19" fillId="11" borderId="10" applyNumberFormat="0" applyAlignment="0" applyProtection="0"/>
    <xf numFmtId="0" fontId="6" fillId="0" borderId="0"/>
    <xf numFmtId="172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1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219" fontId="64" fillId="0" borderId="0"/>
    <xf numFmtId="0" fontId="18" fillId="0" borderId="0"/>
    <xf numFmtId="0" fontId="7" fillId="0" borderId="0"/>
    <xf numFmtId="43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172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6" fillId="0" borderId="0"/>
    <xf numFmtId="214" fontId="6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6" fillId="0" borderId="0"/>
    <xf numFmtId="0" fontId="7" fillId="0" borderId="0">
      <alignment vertical="top"/>
    </xf>
    <xf numFmtId="9" fontId="6" fillId="0" borderId="0" applyFont="0" applyFill="0" applyBorder="0" applyAlignment="0" applyProtection="0"/>
    <xf numFmtId="0" fontId="19" fillId="11" borderId="10" applyNumberFormat="0" applyAlignment="0" applyProtection="0"/>
    <xf numFmtId="0" fontId="6" fillId="0" borderId="0"/>
    <xf numFmtId="0" fontId="8" fillId="0" borderId="0"/>
    <xf numFmtId="172" fontId="6" fillId="0" borderId="0" applyFont="0" applyFill="0" applyBorder="0" applyAlignment="0" applyProtection="0"/>
    <xf numFmtId="0" fontId="5" fillId="0" borderId="0">
      <alignment vertical="center"/>
    </xf>
    <xf numFmtId="0" fontId="1" fillId="0" borderId="0"/>
    <xf numFmtId="0" fontId="6" fillId="0" borderId="0"/>
    <xf numFmtId="0" fontId="5" fillId="0" borderId="0">
      <alignment vertical="center"/>
    </xf>
    <xf numFmtId="0" fontId="6" fillId="0" borderId="0"/>
    <xf numFmtId="0" fontId="8" fillId="10" borderId="9" applyNumberFormat="0" applyFont="0" applyAlignment="0" applyProtection="0"/>
    <xf numFmtId="0" fontId="2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8" fillId="27" borderId="0" applyNumberFormat="0" applyBorder="0" applyAlignment="0" applyProtection="0"/>
    <xf numFmtId="0" fontId="8" fillId="16" borderId="0" applyNumberFormat="0" applyBorder="0" applyAlignment="0" applyProtection="0"/>
    <xf numFmtId="0" fontId="29" fillId="0" borderId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15" fillId="26" borderId="6" applyNumberFormat="0" applyAlignment="0" applyProtection="0"/>
    <xf numFmtId="0" fontId="26" fillId="0" borderId="0"/>
    <xf numFmtId="43" fontId="6" fillId="0" borderId="0" applyFont="0" applyFill="0" applyBorder="0" applyAlignment="0" applyProtection="0"/>
    <xf numFmtId="0" fontId="29" fillId="0" borderId="0" applyProtection="0"/>
    <xf numFmtId="0" fontId="6" fillId="0" borderId="0"/>
    <xf numFmtId="43" fontId="6" fillId="0" borderId="0" applyFont="0" applyFill="0" applyBorder="0" applyAlignment="0" applyProtection="0"/>
    <xf numFmtId="0" fontId="6" fillId="10" borderId="9" applyNumberFormat="0" applyFont="0" applyAlignment="0" applyProtection="0"/>
    <xf numFmtId="0" fontId="34" fillId="0" borderId="0" applyProtection="0"/>
    <xf numFmtId="0" fontId="6" fillId="0" borderId="0"/>
    <xf numFmtId="0" fontId="8" fillId="14" borderId="0" applyNumberFormat="0" applyBorder="0" applyAlignment="0" applyProtection="0"/>
    <xf numFmtId="0" fontId="1" fillId="0" borderId="0"/>
    <xf numFmtId="0" fontId="6" fillId="0" borderId="0"/>
    <xf numFmtId="43" fontId="6" fillId="0" borderId="0" applyFont="0" applyFill="0" applyBorder="0" applyAlignment="0" applyProtection="0"/>
    <xf numFmtId="0" fontId="33" fillId="0" borderId="0" applyProtection="0"/>
    <xf numFmtId="0" fontId="19" fillId="11" borderId="10" applyNumberFormat="0" applyAlignment="0" applyProtection="0"/>
    <xf numFmtId="9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/>
    <xf numFmtId="43" fontId="6" fillId="0" borderId="0" applyFont="0" applyFill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196" fontId="6" fillId="0" borderId="4" applyFill="0" applyBorder="0">
      <protection locked="0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9" fillId="30" borderId="0" applyNumberFormat="0" applyBorder="0" applyAlignment="0" applyProtection="0"/>
    <xf numFmtId="0" fontId="16" fillId="14" borderId="0" applyNumberFormat="0" applyBorder="0" applyAlignment="0" applyProtection="0"/>
    <xf numFmtId="0" fontId="30" fillId="11" borderId="6" applyNumberFormat="0" applyAlignment="0" applyProtection="0"/>
    <xf numFmtId="0" fontId="51" fillId="0" borderId="0"/>
    <xf numFmtId="0" fontId="27" fillId="0" borderId="0" applyProtection="0"/>
    <xf numFmtId="0" fontId="27" fillId="0" borderId="0" applyProtection="0"/>
    <xf numFmtId="0" fontId="26" fillId="0" borderId="0"/>
    <xf numFmtId="2" fontId="50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25" borderId="0" applyNumberFormat="0" applyBorder="0" applyAlignment="0" applyProtection="0"/>
    <xf numFmtId="0" fontId="5" fillId="0" borderId="0">
      <alignment vertical="center"/>
    </xf>
    <xf numFmtId="0" fontId="6" fillId="0" borderId="0"/>
    <xf numFmtId="0" fontId="18" fillId="0" borderId="0" applyNumberFormat="0" applyFont="0" applyFill="0" applyBorder="0" applyProtection="0">
      <alignment vertical="center"/>
    </xf>
    <xf numFmtId="172" fontId="6" fillId="0" borderId="0" applyFont="0" applyFill="0" applyBorder="0" applyAlignment="0" applyProtection="0"/>
    <xf numFmtId="0" fontId="8" fillId="16" borderId="0" applyNumberFormat="0" applyBorder="0" applyAlignment="0" applyProtection="0"/>
    <xf numFmtId="0" fontId="5" fillId="0" borderId="0">
      <alignment vertical="center"/>
    </xf>
    <xf numFmtId="43" fontId="6" fillId="0" borderId="0" applyFont="0" applyFill="0" applyBorder="0" applyAlignment="0" applyProtection="0"/>
    <xf numFmtId="0" fontId="24" fillId="0" borderId="20" applyNumberFormat="0" applyFill="0" applyAlignment="0" applyProtection="0"/>
    <xf numFmtId="211" fontId="6" fillId="0" borderId="0" applyFont="0" applyFill="0" applyBorder="0" applyAlignment="0" applyProtection="0"/>
    <xf numFmtId="0" fontId="6" fillId="0" borderId="0"/>
    <xf numFmtId="0" fontId="5" fillId="0" borderId="0">
      <alignment vertical="center"/>
    </xf>
    <xf numFmtId="0" fontId="8" fillId="27" borderId="0" applyNumberFormat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9" fillId="30" borderId="0" applyNumberFormat="0" applyBorder="0" applyAlignment="0" applyProtection="0"/>
    <xf numFmtId="0" fontId="5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6" fillId="0" borderId="0"/>
    <xf numFmtId="0" fontId="45" fillId="0" borderId="0"/>
    <xf numFmtId="0" fontId="18" fillId="0" borderId="0"/>
    <xf numFmtId="0" fontId="1" fillId="0" borderId="0"/>
    <xf numFmtId="0" fontId="45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8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10" fontId="27" fillId="0" borderId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0" fillId="0" borderId="23" applyNumberFormat="0" applyFont="0" applyFill="0" applyAlignment="0" applyProtection="0"/>
    <xf numFmtId="0" fontId="24" fillId="0" borderId="20" applyNumberForma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21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/>
    <xf numFmtId="9" fontId="6" fillId="0" borderId="0" applyFont="0" applyFill="0" applyBorder="0" applyAlignment="0" applyProtection="0"/>
    <xf numFmtId="0" fontId="19" fillId="11" borderId="10" applyNumberFormat="0" applyAlignment="0" applyProtection="0"/>
    <xf numFmtId="9" fontId="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0" fillId="0" borderId="23" applyNumberFormat="0" applyFont="0" applyFill="0" applyAlignment="0" applyProtection="0"/>
    <xf numFmtId="0" fontId="5" fillId="0" borderId="0">
      <alignment vertical="center"/>
    </xf>
    <xf numFmtId="43" fontId="6" fillId="0" borderId="0" applyFont="0" applyFill="0" applyBorder="0" applyAlignment="0" applyProtection="0"/>
    <xf numFmtId="0" fontId="39" fillId="1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18" fillId="0" borderId="0"/>
    <xf numFmtId="0" fontId="1" fillId="0" borderId="0"/>
    <xf numFmtId="0" fontId="18" fillId="0" borderId="0"/>
    <xf numFmtId="0" fontId="6" fillId="0" borderId="0"/>
    <xf numFmtId="0" fontId="6" fillId="0" borderId="0"/>
    <xf numFmtId="0" fontId="45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8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0" fillId="0" borderId="0" applyNumberFormat="0" applyFill="0" applyBorder="0" applyAlignment="0" applyProtection="0"/>
    <xf numFmtId="172" fontId="69" fillId="0" borderId="21">
      <alignment horizontal="left" wrapText="1"/>
    </xf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24" fillId="0" borderId="20" applyNumberForma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6" fillId="0" borderId="0"/>
    <xf numFmtId="165" fontId="6" fillId="0" borderId="0" applyFont="0" applyFill="0" applyBorder="0" applyAlignment="0" applyProtection="0"/>
    <xf numFmtId="192" fontId="49" fillId="0" borderId="0">
      <protection locked="0"/>
    </xf>
    <xf numFmtId="0" fontId="7" fillId="0" borderId="0"/>
    <xf numFmtId="0" fontId="7" fillId="0" borderId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195" fontId="6" fillId="0" borderId="0" applyFont="0" applyFill="0" applyBorder="0" applyAlignment="0" applyProtection="0"/>
    <xf numFmtId="0" fontId="33" fillId="0" borderId="0" applyProtection="0"/>
    <xf numFmtId="0" fontId="34" fillId="0" borderId="0" applyProtection="0"/>
    <xf numFmtId="0" fontId="37" fillId="0" borderId="0" applyProtection="0"/>
    <xf numFmtId="0" fontId="37" fillId="0" borderId="0" applyProtection="0"/>
    <xf numFmtId="2" fontId="50" fillId="0" borderId="0" applyFont="0" applyFill="0" applyBorder="0" applyAlignment="0" applyProtection="0"/>
    <xf numFmtId="0" fontId="29" fillId="0" borderId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9" fontId="8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50" fillId="0" borderId="23" applyNumberFormat="0" applyFont="0" applyFill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15" borderId="0" applyNumberFormat="0" applyBorder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27" fillId="0" borderId="0" applyProtection="0"/>
    <xf numFmtId="0" fontId="38" fillId="0" borderId="0" applyProtection="0"/>
    <xf numFmtId="0" fontId="6" fillId="0" borderId="0"/>
    <xf numFmtId="0" fontId="5" fillId="0" borderId="0">
      <alignment vertical="center"/>
    </xf>
    <xf numFmtId="0" fontId="24" fillId="0" borderId="20" applyNumberFormat="0" applyFill="0" applyAlignment="0" applyProtection="0"/>
    <xf numFmtId="0" fontId="7" fillId="0" borderId="0"/>
    <xf numFmtId="0" fontId="9" fillId="21" borderId="0" applyNumberFormat="0" applyBorder="0" applyAlignment="0" applyProtection="0"/>
    <xf numFmtId="0" fontId="9" fillId="29" borderId="0" applyNumberFormat="0" applyBorder="0" applyAlignment="0" applyProtection="0"/>
    <xf numFmtId="0" fontId="9" fillId="21" borderId="0" applyNumberFormat="0" applyBorder="0" applyAlignment="0" applyProtection="0"/>
    <xf numFmtId="193" fontId="50" fillId="0" borderId="0" applyFont="0" applyFill="0" applyBorder="0" applyAlignment="0" applyProtection="0"/>
    <xf numFmtId="0" fontId="9" fillId="32" borderId="0" applyNumberFormat="0" applyBorder="0" applyAlignment="0" applyProtection="0"/>
    <xf numFmtId="19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0" fillId="11" borderId="6" applyNumberFormat="0" applyAlignment="0" applyProtection="0"/>
    <xf numFmtId="0" fontId="27" fillId="0" borderId="0" applyProtection="0"/>
    <xf numFmtId="0" fontId="26" fillId="0" borderId="0"/>
    <xf numFmtId="18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7" fillId="0" borderId="0"/>
    <xf numFmtId="0" fontId="9" fillId="9" borderId="0" applyNumberFormat="0" applyBorder="0" applyAlignment="0" applyProtection="0"/>
    <xf numFmtId="9" fontId="8" fillId="0" borderId="0" applyFont="0" applyFill="0" applyBorder="0" applyAlignment="0" applyProtection="0"/>
    <xf numFmtId="0" fontId="41" fillId="0" borderId="17" applyNumberFormat="0" applyFill="0" applyAlignment="0" applyProtection="0"/>
    <xf numFmtId="0" fontId="6" fillId="0" borderId="0"/>
    <xf numFmtId="0" fontId="6" fillId="0" borderId="0"/>
    <xf numFmtId="214" fontId="6" fillId="0" borderId="0" applyFont="0" applyFill="0" applyBorder="0" applyAlignment="0" applyProtection="0"/>
    <xf numFmtId="0" fontId="6" fillId="0" borderId="0"/>
    <xf numFmtId="0" fontId="6" fillId="0" borderId="0"/>
    <xf numFmtId="0" fontId="24" fillId="0" borderId="20" applyNumberFormat="0" applyFill="0" applyAlignment="0" applyProtection="0"/>
    <xf numFmtId="43" fontId="6" fillId="0" borderId="0" applyFont="0" applyFill="0" applyBorder="0" applyAlignment="0" applyProtection="0"/>
    <xf numFmtId="0" fontId="1" fillId="0" borderId="0"/>
    <xf numFmtId="0" fontId="6" fillId="0" borderId="0"/>
    <xf numFmtId="0" fontId="8" fillId="0" borderId="0"/>
    <xf numFmtId="0" fontId="6" fillId="0" borderId="0"/>
    <xf numFmtId="9" fontId="6" fillId="0" borderId="0" applyFont="0" applyFill="0" applyBorder="0" applyAlignment="0" applyProtection="0"/>
    <xf numFmtId="0" fontId="50" fillId="0" borderId="23" applyNumberFormat="0" applyFont="0" applyFill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6" fillId="0" borderId="0"/>
    <xf numFmtId="0" fontId="8" fillId="10" borderId="9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16" borderId="0" applyNumberFormat="0" applyBorder="0" applyAlignment="0" applyProtection="0"/>
    <xf numFmtId="0" fontId="29" fillId="0" borderId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9" fillId="9" borderId="0" applyNumberFormat="0" applyBorder="0" applyAlignment="0" applyProtection="0"/>
    <xf numFmtId="0" fontId="9" fillId="30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2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15" borderId="0" applyNumberFormat="0" applyBorder="0" applyAlignment="0" applyProtection="0"/>
    <xf numFmtId="0" fontId="16" fillId="14" borderId="0" applyNumberFormat="0" applyBorder="0" applyAlignment="0" applyProtection="0"/>
    <xf numFmtId="0" fontId="10" fillId="25" borderId="0" applyNumberFormat="0" applyBorder="0" applyAlignment="0" applyProtection="0"/>
    <xf numFmtId="0" fontId="51" fillId="0" borderId="0"/>
    <xf numFmtId="0" fontId="51" fillId="0" borderId="0"/>
    <xf numFmtId="0" fontId="27" fillId="0" borderId="0" applyProtection="0"/>
    <xf numFmtId="0" fontId="27" fillId="0" borderId="0" applyProtection="0"/>
    <xf numFmtId="0" fontId="32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19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66" fontId="44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0" fontId="19" fillId="11" borderId="10" applyNumberFormat="0" applyAlignment="0" applyProtection="0"/>
    <xf numFmtId="0" fontId="8" fillId="25" borderId="0" applyNumberFormat="0" applyBorder="0" applyAlignment="0" applyProtection="0"/>
    <xf numFmtId="0" fontId="6" fillId="0" borderId="0"/>
    <xf numFmtId="0" fontId="45" fillId="0" borderId="0"/>
    <xf numFmtId="0" fontId="8" fillId="24" borderId="0" applyNumberFormat="0" applyBorder="0" applyAlignment="0" applyProtection="0"/>
    <xf numFmtId="0" fontId="7" fillId="0" borderId="0"/>
    <xf numFmtId="0" fontId="1" fillId="0" borderId="0"/>
    <xf numFmtId="43" fontId="6" fillId="0" borderId="0" applyFont="0" applyFill="0" applyBorder="0" applyAlignment="0" applyProtection="0"/>
    <xf numFmtId="0" fontId="6" fillId="0" borderId="0"/>
    <xf numFmtId="0" fontId="8" fillId="10" borderId="9" applyNumberFormat="0" applyFont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23" applyNumberFormat="0" applyFont="0" applyFill="0" applyAlignment="0" applyProtection="0"/>
    <xf numFmtId="43" fontId="6" fillId="0" borderId="0" applyFont="0" applyFill="0" applyBorder="0" applyAlignment="0" applyProtection="0"/>
    <xf numFmtId="0" fontId="7" fillId="0" borderId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0" fontId="7" fillId="0" borderId="0"/>
    <xf numFmtId="0" fontId="8" fillId="14" borderId="0" applyNumberFormat="0" applyBorder="0" applyAlignment="0" applyProtection="0"/>
    <xf numFmtId="0" fontId="8" fillId="0" borderId="0"/>
    <xf numFmtId="0" fontId="6" fillId="0" borderId="0"/>
    <xf numFmtId="0" fontId="6" fillId="0" borderId="0"/>
    <xf numFmtId="0" fontId="36" fillId="0" borderId="0" applyProtection="0"/>
    <xf numFmtId="0" fontId="5" fillId="0" borderId="0" applyProtection="0"/>
    <xf numFmtId="0" fontId="6" fillId="10" borderId="9" applyNumberFormat="0" applyFont="0" applyAlignment="0" applyProtection="0"/>
    <xf numFmtId="0" fontId="5" fillId="0" borderId="0">
      <alignment vertical="center"/>
    </xf>
    <xf numFmtId="0" fontId="1" fillId="0" borderId="0"/>
    <xf numFmtId="0" fontId="45" fillId="0" borderId="0"/>
    <xf numFmtId="9" fontId="8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24" fillId="0" borderId="20" applyNumberFormat="0" applyFill="0" applyAlignment="0" applyProtection="0"/>
    <xf numFmtId="0" fontId="1" fillId="0" borderId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9" fillId="11" borderId="10" applyNumberFormat="0" applyAlignment="0" applyProtection="0"/>
    <xf numFmtId="0" fontId="66" fillId="0" borderId="0"/>
    <xf numFmtId="172" fontId="67" fillId="0" borderId="21">
      <alignment horizontal="left" wrapText="1" indent="1"/>
    </xf>
    <xf numFmtId="0" fontId="34" fillId="0" borderId="0" applyProtection="0"/>
    <xf numFmtId="3" fontId="50" fillId="0" borderId="0" applyFont="0" applyFill="0" applyBorder="0" applyAlignment="0" applyProtection="0"/>
    <xf numFmtId="0" fontId="6" fillId="0" borderId="0"/>
    <xf numFmtId="0" fontId="18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19" fillId="11" borderId="10" applyNumberFormat="0" applyAlignment="0" applyProtection="0"/>
    <xf numFmtId="0" fontId="5" fillId="0" borderId="0">
      <alignment vertical="center"/>
    </xf>
    <xf numFmtId="0" fontId="6" fillId="0" borderId="0"/>
    <xf numFmtId="0" fontId="1" fillId="0" borderId="0"/>
    <xf numFmtId="0" fontId="18" fillId="0" borderId="0"/>
    <xf numFmtId="0" fontId="18" fillId="0" borderId="0"/>
    <xf numFmtId="0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>
      <alignment vertical="center"/>
    </xf>
    <xf numFmtId="43" fontId="6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6" fillId="0" borderId="0"/>
    <xf numFmtId="0" fontId="8" fillId="10" borderId="9" applyNumberFormat="0" applyFont="0" applyAlignment="0" applyProtection="0"/>
    <xf numFmtId="0" fontId="50" fillId="0" borderId="23" applyNumberFormat="0" applyFont="0" applyFill="0" applyAlignment="0" applyProtection="0"/>
    <xf numFmtId="0" fontId="6" fillId="0" borderId="0"/>
    <xf numFmtId="0" fontId="8" fillId="0" borderId="0"/>
    <xf numFmtId="0" fontId="40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50" fillId="0" borderId="23" applyNumberFormat="0" applyFont="0" applyFill="0" applyAlignment="0" applyProtection="0"/>
    <xf numFmtId="0" fontId="39" fillId="13" borderId="0" applyNumberFormat="0" applyBorder="0" applyAlignment="0" applyProtection="0"/>
    <xf numFmtId="0" fontId="5" fillId="0" borderId="0">
      <alignment vertical="center"/>
    </xf>
    <xf numFmtId="0" fontId="19" fillId="11" borderId="10" applyNumberFormat="0" applyAlignment="0" applyProtection="0"/>
    <xf numFmtId="0" fontId="45" fillId="0" borderId="0"/>
    <xf numFmtId="0" fontId="6" fillId="0" borderId="0"/>
    <xf numFmtId="0" fontId="5" fillId="0" borderId="0">
      <alignment vertical="center"/>
    </xf>
    <xf numFmtId="0" fontId="8" fillId="0" borderId="0"/>
    <xf numFmtId="0" fontId="8" fillId="10" borderId="9" applyNumberFormat="0" applyFont="0" applyAlignment="0" applyProtection="0"/>
    <xf numFmtId="0" fontId="4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8" fillId="0" borderId="0"/>
    <xf numFmtId="0" fontId="6" fillId="0" borderId="0"/>
    <xf numFmtId="0" fontId="5" fillId="0" borderId="0">
      <alignment vertical="center"/>
    </xf>
    <xf numFmtId="0" fontId="6" fillId="0" borderId="0"/>
    <xf numFmtId="0" fontId="8" fillId="0" borderId="0"/>
    <xf numFmtId="0" fontId="6" fillId="0" borderId="0"/>
    <xf numFmtId="0" fontId="18" fillId="0" borderId="0"/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0" fontId="6" fillId="10" borderId="9" applyNumberFormat="0" applyFont="0" applyAlignment="0" applyProtection="0"/>
    <xf numFmtId="0" fontId="19" fillId="11" borderId="10" applyNumberFormat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4" fillId="0" borderId="20" applyNumberFormat="0" applyFill="0" applyAlignment="0" applyProtection="0"/>
    <xf numFmtId="0" fontId="40" fillId="0" borderId="0" applyNumberFormat="0" applyFill="0" applyBorder="0" applyAlignment="0" applyProtection="0"/>
    <xf numFmtId="0" fontId="6" fillId="0" borderId="0"/>
    <xf numFmtId="214" fontId="6" fillId="0" borderId="0" applyFont="0" applyFill="0" applyBorder="0" applyAlignment="0" applyProtection="0"/>
    <xf numFmtId="0" fontId="45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8" fillId="10" borderId="9" applyNumberFormat="0" applyFont="0" applyAlignment="0" applyProtection="0"/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19" fillId="11" borderId="1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32" fillId="0" borderId="19" applyNumberForma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43" fontId="6" fillId="0" borderId="0" applyFont="0" applyFill="0" applyBorder="0" applyAlignment="0" applyProtection="0"/>
    <xf numFmtId="0" fontId="6" fillId="0" borderId="0"/>
    <xf numFmtId="0" fontId="7" fillId="0" borderId="0"/>
    <xf numFmtId="0" fontId="5" fillId="0" borderId="0">
      <alignment vertical="center"/>
    </xf>
    <xf numFmtId="0" fontId="7" fillId="0" borderId="0"/>
    <xf numFmtId="0" fontId="7" fillId="0" borderId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8" fillId="0" borderId="0"/>
    <xf numFmtId="0" fontId="18" fillId="0" borderId="0"/>
    <xf numFmtId="0" fontId="8" fillId="10" borderId="9" applyNumberFormat="0" applyFont="0" applyAlignment="0" applyProtection="0"/>
    <xf numFmtId="0" fontId="7" fillId="0" borderId="0">
      <alignment vertical="top"/>
    </xf>
    <xf numFmtId="0" fontId="6" fillId="0" borderId="0"/>
    <xf numFmtId="0" fontId="8" fillId="10" borderId="9" applyNumberFormat="0" applyFont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8" fillId="10" borderId="9" applyNumberFormat="0" applyFont="0" applyAlignment="0" applyProtection="0"/>
    <xf numFmtId="0" fontId="19" fillId="11" borderId="10" applyNumberFormat="0" applyAlignment="0" applyProtection="0"/>
    <xf numFmtId="0" fontId="30" fillId="11" borderId="6" applyNumberFormat="0" applyAlignment="0" applyProtection="0"/>
    <xf numFmtId="0" fontId="1" fillId="0" borderId="0"/>
    <xf numFmtId="9" fontId="8" fillId="0" borderId="0" applyFont="0" applyFill="0" applyBorder="0" applyAlignment="0" applyProtection="0"/>
    <xf numFmtId="0" fontId="6" fillId="0" borderId="0"/>
    <xf numFmtId="0" fontId="8" fillId="26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16" borderId="0" applyNumberFormat="0" applyBorder="0" applyAlignment="0" applyProtection="0"/>
    <xf numFmtId="0" fontId="9" fillId="29" borderId="0" applyNumberFormat="0" applyBorder="0" applyAlignment="0" applyProtection="0"/>
    <xf numFmtId="0" fontId="9" fillId="21" borderId="0" applyNumberFormat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33" fillId="0" borderId="0" applyProtection="0"/>
    <xf numFmtId="0" fontId="5" fillId="0" borderId="0" applyProtection="0"/>
    <xf numFmtId="0" fontId="34" fillId="0" borderId="0" applyProtection="0"/>
    <xf numFmtId="0" fontId="35" fillId="0" borderId="0" applyProtection="0"/>
    <xf numFmtId="0" fontId="36" fillId="0" borderId="0" applyProtection="0"/>
    <xf numFmtId="0" fontId="37" fillId="0" borderId="0" applyProtection="0"/>
    <xf numFmtId="0" fontId="38" fillId="0" borderId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50" fillId="0" borderId="0" applyFont="0" applyFill="0" applyBorder="0" applyAlignment="0" applyProtection="0"/>
    <xf numFmtId="0" fontId="41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2" fillId="0" borderId="19" applyNumberFormat="0" applyFill="0" applyAlignment="0" applyProtection="0"/>
    <xf numFmtId="0" fontId="28" fillId="0" borderId="0" applyProtection="0"/>
    <xf numFmtId="0" fontId="53" fillId="0" borderId="0">
      <protection locked="0"/>
    </xf>
    <xf numFmtId="0" fontId="16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5" fillId="0" borderId="0">
      <alignment vertical="center"/>
    </xf>
    <xf numFmtId="0" fontId="18" fillId="0" borderId="0"/>
    <xf numFmtId="0" fontId="8" fillId="26" borderId="0" applyNumberFormat="0" applyBorder="0" applyAlignment="0" applyProtection="0"/>
    <xf numFmtId="0" fontId="8" fillId="8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20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" fillId="25" borderId="0" applyNumberFormat="0" applyBorder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" fontId="49" fillId="0" borderId="0">
      <protection locked="0"/>
    </xf>
    <xf numFmtId="3" fontId="50" fillId="0" borderId="0" applyFon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" fillId="2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15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0" fillId="0" borderId="0" applyNumberFormat="0" applyFill="0" applyBorder="0" applyAlignment="0" applyProtection="0"/>
    <xf numFmtId="0" fontId="33" fillId="0" borderId="0" applyProtection="0"/>
    <xf numFmtId="0" fontId="5" fillId="0" borderId="0" applyProtection="0"/>
    <xf numFmtId="0" fontId="5" fillId="0" borderId="0" applyProtection="0"/>
    <xf numFmtId="0" fontId="34" fillId="0" borderId="0" applyProtection="0"/>
    <xf numFmtId="0" fontId="35" fillId="0" borderId="0" applyNumberFormat="0" applyFont="0" applyFill="0" applyBorder="0" applyAlignment="0" applyProtection="0"/>
    <xf numFmtId="0" fontId="35" fillId="0" borderId="0" applyProtection="0"/>
    <xf numFmtId="0" fontId="36" fillId="0" borderId="0" applyProtection="0"/>
    <xf numFmtId="2" fontId="6" fillId="0" borderId="0" applyFont="0" applyFill="0" applyBorder="0" applyAlignment="0" applyProtection="0"/>
    <xf numFmtId="0" fontId="10" fillId="25" borderId="0" applyNumberFormat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32" fillId="0" borderId="19" applyNumberFormat="0" applyFill="0" applyAlignment="0" applyProtection="0"/>
    <xf numFmtId="0" fontId="53" fillId="0" borderId="0">
      <protection locked="0"/>
    </xf>
    <xf numFmtId="0" fontId="28" fillId="0" borderId="0" applyProtection="0"/>
    <xf numFmtId="0" fontId="29" fillId="0" borderId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6" fillId="10" borderId="9" applyNumberFormat="0" applyFont="0" applyAlignment="0" applyProtection="0"/>
    <xf numFmtId="0" fontId="19" fillId="11" borderId="10" applyNumberFormat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6" fillId="0" borderId="0"/>
    <xf numFmtId="0" fontId="18" fillId="0" borderId="0"/>
    <xf numFmtId="0" fontId="8" fillId="8" borderId="0" applyNumberFormat="0" applyBorder="0" applyAlignment="0" applyProtection="0"/>
    <xf numFmtId="0" fontId="5" fillId="0" borderId="0" applyProtection="0"/>
    <xf numFmtId="0" fontId="57" fillId="0" borderId="0" applyNumberFormat="0" applyFill="0" applyBorder="0" applyAlignment="0" applyProtection="0"/>
    <xf numFmtId="18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50" fillId="0" borderId="0" applyFont="0" applyFill="0" applyBorder="0" applyAlignment="0" applyProtection="0"/>
    <xf numFmtId="0" fontId="5" fillId="0" borderId="0">
      <alignment vertical="center"/>
    </xf>
    <xf numFmtId="0" fontId="19" fillId="11" borderId="10" applyNumberFormat="0" applyAlignment="0" applyProtection="0"/>
    <xf numFmtId="43" fontId="6" fillId="0" borderId="0" applyFont="0" applyFill="0" applyBorder="0" applyAlignment="0" applyProtection="0"/>
    <xf numFmtId="0" fontId="24" fillId="0" borderId="20" applyNumberFormat="0" applyFill="0" applyAlignment="0" applyProtection="0"/>
    <xf numFmtId="0" fontId="6" fillId="0" borderId="0"/>
    <xf numFmtId="0" fontId="8" fillId="0" borderId="0"/>
    <xf numFmtId="0" fontId="9" fillId="9" borderId="0" applyNumberFormat="0" applyBorder="0" applyAlignment="0" applyProtection="0"/>
    <xf numFmtId="0" fontId="9" fillId="27" borderId="0" applyNumberFormat="0" applyBorder="0" applyAlignment="0" applyProtection="0"/>
    <xf numFmtId="0" fontId="57" fillId="0" borderId="0" applyNumberFormat="0" applyFill="0" applyBorder="0" applyAlignment="0" applyProtection="0"/>
    <xf numFmtId="172" fontId="6" fillId="0" borderId="0" applyFont="0" applyFill="0" applyBorder="0" applyAlignment="0" applyProtection="0"/>
    <xf numFmtId="0" fontId="6" fillId="0" borderId="0"/>
    <xf numFmtId="0" fontId="8" fillId="14" borderId="0" applyNumberFormat="0" applyBorder="0" applyAlignment="0" applyProtection="0"/>
    <xf numFmtId="0" fontId="9" fillId="31" borderId="0" applyNumberFormat="0" applyBorder="0" applyAlignment="0" applyProtection="0"/>
    <xf numFmtId="0" fontId="16" fillId="14" borderId="0" applyNumberFormat="0" applyBorder="0" applyAlignment="0" applyProtection="0"/>
    <xf numFmtId="0" fontId="27" fillId="0" borderId="0" applyProtection="0"/>
    <xf numFmtId="0" fontId="26" fillId="0" borderId="0"/>
    <xf numFmtId="43" fontId="6" fillId="0" borderId="0" applyFont="0" applyFill="0" applyBorder="0" applyAlignment="0" applyProtection="0"/>
    <xf numFmtId="0" fontId="5" fillId="0" borderId="0">
      <alignment vertical="center"/>
    </xf>
    <xf numFmtId="214" fontId="6" fillId="0" borderId="0" applyFont="0" applyFill="0" applyBorder="0" applyAlignment="0" applyProtection="0"/>
    <xf numFmtId="0" fontId="6" fillId="0" borderId="0"/>
    <xf numFmtId="0" fontId="6" fillId="0" borderId="0"/>
    <xf numFmtId="0" fontId="1" fillId="0" borderId="0"/>
    <xf numFmtId="0" fontId="1" fillId="0" borderId="0"/>
    <xf numFmtId="0" fontId="5" fillId="0" borderId="0">
      <alignment vertical="center"/>
    </xf>
    <xf numFmtId="172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8" fillId="0" borderId="0"/>
    <xf numFmtId="0" fontId="6" fillId="10" borderId="9" applyNumberFormat="0" applyFont="0" applyAlignment="0" applyProtection="0"/>
    <xf numFmtId="0" fontId="6" fillId="0" borderId="0"/>
    <xf numFmtId="0" fontId="24" fillId="0" borderId="20" applyNumberFormat="0" applyFill="0" applyAlignment="0" applyProtection="0"/>
    <xf numFmtId="0" fontId="1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8" fillId="10" borderId="9" applyNumberFormat="0" applyFont="0" applyAlignment="0" applyProtection="0"/>
    <xf numFmtId="0" fontId="6" fillId="10" borderId="9" applyNumberFormat="0" applyFont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50" fillId="0" borderId="23" applyNumberFormat="0" applyFont="0" applyFill="0" applyAlignment="0" applyProtection="0"/>
    <xf numFmtId="166" fontId="6" fillId="0" borderId="0" applyFont="0" applyFill="0" applyBorder="0" applyAlignment="0" applyProtection="0"/>
    <xf numFmtId="0" fontId="5" fillId="0" borderId="0">
      <alignment vertical="center"/>
    </xf>
    <xf numFmtId="43" fontId="6" fillId="0" borderId="0" applyFont="0" applyFill="0" applyBorder="0" applyAlignment="0" applyProtection="0"/>
    <xf numFmtId="0" fontId="48" fillId="0" borderId="0"/>
    <xf numFmtId="43" fontId="6" fillId="0" borderId="0" applyFont="0" applyFill="0" applyBorder="0" applyAlignment="0" applyProtection="0"/>
    <xf numFmtId="0" fontId="1" fillId="0" borderId="0"/>
    <xf numFmtId="0" fontId="6" fillId="0" borderId="0"/>
    <xf numFmtId="0" fontId="18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19" fillId="11" borderId="1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68" fillId="0" borderId="21">
      <alignment horizontal="left" wrapText="1" indent="1"/>
    </xf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6" fontId="8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8" fontId="49" fillId="0" borderId="0">
      <protection locked="0"/>
    </xf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0" fontId="19" fillId="17" borderId="10" applyNumberFormat="0" applyAlignment="0" applyProtection="0"/>
    <xf numFmtId="0" fontId="19" fillId="11" borderId="10" applyNumberFormat="0" applyAlignment="0" applyProtection="0"/>
    <xf numFmtId="0" fontId="19" fillId="11" borderId="10" applyNumberFormat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2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54" fillId="0" borderId="0">
      <protection locked="0"/>
    </xf>
    <xf numFmtId="0" fontId="42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32" fillId="0" borderId="19" applyNumberFormat="0" applyFill="0" applyAlignment="0" applyProtection="0"/>
    <xf numFmtId="0" fontId="28" fillId="0" borderId="0" applyProtection="0"/>
    <xf numFmtId="0" fontId="29" fillId="0" borderId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7" fillId="0" borderId="0"/>
    <xf numFmtId="0" fontId="5" fillId="0" borderId="0">
      <alignment vertical="center"/>
    </xf>
    <xf numFmtId="9" fontId="6" fillId="0" borderId="0" applyFont="0" applyFill="0" applyBorder="0" applyAlignment="0" applyProtection="0"/>
    <xf numFmtId="0" fontId="24" fillId="0" borderId="20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10" borderId="9" applyNumberFormat="0" applyFont="0" applyAlignment="0" applyProtection="0"/>
    <xf numFmtId="0" fontId="42" fillId="0" borderId="18" applyNumberFormat="0" applyFill="0" applyAlignment="0" applyProtection="0"/>
    <xf numFmtId="0" fontId="8" fillId="0" borderId="0"/>
    <xf numFmtId="9" fontId="8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33" fillId="0" borderId="0" applyProtection="0"/>
    <xf numFmtId="0" fontId="5" fillId="0" borderId="0" applyProtection="0"/>
    <xf numFmtId="172" fontId="8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8" fillId="0" borderId="0"/>
    <xf numFmtId="0" fontId="8" fillId="0" borderId="0"/>
    <xf numFmtId="0" fontId="6" fillId="0" borderId="0"/>
    <xf numFmtId="0" fontId="8" fillId="10" borderId="9" applyNumberFormat="0" applyFont="0" applyAlignment="0" applyProtection="0"/>
    <xf numFmtId="0" fontId="19" fillId="11" borderId="10" applyNumberFormat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4" fillId="0" borderId="20" applyNumberFormat="0" applyFill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8" fillId="0" borderId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8" fillId="0" borderId="0"/>
    <xf numFmtId="0" fontId="8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8" fillId="10" borderId="9" applyNumberFormat="0" applyFont="0" applyAlignment="0" applyProtection="0"/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10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9" fillId="11" borderId="10" applyNumberFormat="0" applyAlignment="0" applyProtection="0"/>
    <xf numFmtId="0" fontId="40" fillId="0" borderId="0" applyNumberFormat="0" applyFill="0" applyBorder="0" applyAlignment="0" applyProtection="0"/>
    <xf numFmtId="0" fontId="42" fillId="0" borderId="18" applyNumberFormat="0" applyFill="0" applyAlignment="0" applyProtection="0"/>
    <xf numFmtId="0" fontId="24" fillId="0" borderId="20" applyNumberForma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164" fontId="6" fillId="0" borderId="0" applyFont="0" applyFill="0" applyBorder="0" applyAlignment="0" applyProtection="0"/>
    <xf numFmtId="0" fontId="6" fillId="0" borderId="0"/>
    <xf numFmtId="217" fontId="63" fillId="0" borderId="22" applyFont="0" applyBorder="0" applyAlignment="0"/>
    <xf numFmtId="0" fontId="6" fillId="10" borderId="9" applyNumberFormat="0" applyFont="0" applyAlignment="0" applyProtection="0"/>
    <xf numFmtId="0" fontId="34" fillId="0" borderId="0" applyProtection="0"/>
    <xf numFmtId="0" fontId="6" fillId="0" borderId="0"/>
    <xf numFmtId="0" fontId="6" fillId="0" borderId="0"/>
    <xf numFmtId="0" fontId="18" fillId="0" borderId="0"/>
    <xf numFmtId="0" fontId="6" fillId="0" borderId="0"/>
    <xf numFmtId="0" fontId="18" fillId="0" borderId="0"/>
    <xf numFmtId="43" fontId="6" fillId="0" borderId="0" applyFont="0" applyFill="0" applyBorder="0" applyAlignment="0" applyProtection="0"/>
    <xf numFmtId="0" fontId="6" fillId="0" borderId="0"/>
    <xf numFmtId="0" fontId="18" fillId="0" borderId="0"/>
    <xf numFmtId="0" fontId="6" fillId="0" borderId="0"/>
    <xf numFmtId="0" fontId="6" fillId="0" borderId="0"/>
    <xf numFmtId="214" fontId="6" fillId="0" borderId="0" applyFont="0" applyFill="0" applyBorder="0" applyAlignment="0" applyProtection="0"/>
    <xf numFmtId="0" fontId="8" fillId="10" borderId="9" applyNumberFormat="0" applyFont="0" applyAlignment="0" applyProtection="0"/>
    <xf numFmtId="0" fontId="5" fillId="0" borderId="0">
      <alignment vertical="center"/>
    </xf>
    <xf numFmtId="0" fontId="6" fillId="0" borderId="0"/>
    <xf numFmtId="0" fontId="40" fillId="0" borderId="0" applyNumberFormat="0" applyFill="0" applyBorder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9" fillId="22" borderId="0" applyNumberFormat="0" applyBorder="0" applyAlignment="0" applyProtection="0"/>
    <xf numFmtId="0" fontId="7" fillId="0" borderId="0"/>
    <xf numFmtId="0" fontId="6" fillId="0" borderId="0"/>
    <xf numFmtId="0" fontId="7" fillId="0" borderId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5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8" fillId="8" borderId="0" applyNumberFormat="0" applyBorder="0" applyAlignment="0" applyProtection="0"/>
    <xf numFmtId="0" fontId="8" fillId="16" borderId="0" applyNumberFormat="0" applyBorder="0" applyAlignment="0" applyProtection="0"/>
    <xf numFmtId="0" fontId="6" fillId="0" borderId="0"/>
    <xf numFmtId="0" fontId="40" fillId="0" borderId="0" applyNumberFormat="0" applyFill="0" applyBorder="0" applyAlignment="0" applyProtection="0"/>
    <xf numFmtId="9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5" fillId="0" borderId="0">
      <alignment vertical="center"/>
    </xf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0" fontId="42" fillId="0" borderId="18" applyNumberFormat="0" applyFill="0" applyAlignment="0" applyProtection="0"/>
    <xf numFmtId="0" fontId="50" fillId="0" borderId="23" applyNumberFormat="0" applyFont="0" applyFill="0" applyAlignment="0" applyProtection="0"/>
    <xf numFmtId="0" fontId="5" fillId="0" borderId="0">
      <alignment vertical="center"/>
    </xf>
    <xf numFmtId="0" fontId="6" fillId="0" borderId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6" fillId="10" borderId="9" applyNumberFormat="0" applyFont="0" applyAlignment="0" applyProtection="0"/>
    <xf numFmtId="0" fontId="8" fillId="0" borderId="0"/>
    <xf numFmtId="0" fontId="6" fillId="0" borderId="0"/>
    <xf numFmtId="0" fontId="18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18" fillId="0" borderId="0"/>
    <xf numFmtId="0" fontId="1" fillId="0" borderId="0"/>
    <xf numFmtId="0" fontId="8" fillId="10" borderId="9" applyNumberFormat="0" applyFont="0" applyAlignment="0" applyProtection="0"/>
    <xf numFmtId="0" fontId="37" fillId="0" borderId="0" applyProtection="0"/>
    <xf numFmtId="0" fontId="8" fillId="23" borderId="0" applyNumberFormat="0" applyBorder="0" applyAlignment="0" applyProtection="0"/>
    <xf numFmtId="0" fontId="9" fillId="30" borderId="0" applyNumberFormat="0" applyBorder="0" applyAlignment="0" applyProtection="0"/>
    <xf numFmtId="0" fontId="9" fillId="32" borderId="0" applyNumberFormat="0" applyBorder="0" applyAlignment="0" applyProtection="0"/>
    <xf numFmtId="186" fontId="6" fillId="0" borderId="0" applyFont="0" applyFill="0" applyBorder="0" applyAlignment="0" applyProtection="0"/>
    <xf numFmtId="0" fontId="45" fillId="0" borderId="0"/>
    <xf numFmtId="0" fontId="6" fillId="0" borderId="0"/>
    <xf numFmtId="0" fontId="6" fillId="0" borderId="0"/>
    <xf numFmtId="9" fontId="8" fillId="0" borderId="0" applyFont="0" applyFill="0" applyBorder="0" applyAlignment="0" applyProtection="0"/>
    <xf numFmtId="0" fontId="6" fillId="0" borderId="0"/>
    <xf numFmtId="0" fontId="6" fillId="0" borderId="0"/>
    <xf numFmtId="0" fontId="8" fillId="24" borderId="0" applyNumberFormat="0" applyBorder="0" applyAlignment="0" applyProtection="0"/>
    <xf numFmtId="0" fontId="8" fillId="14" borderId="0" applyNumberFormat="0" applyBorder="0" applyAlignment="0" applyProtection="0"/>
    <xf numFmtId="0" fontId="8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14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8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15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19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54" fillId="0" borderId="0">
      <protection locked="0"/>
    </xf>
    <xf numFmtId="0" fontId="35" fillId="0" borderId="0" applyNumberFormat="0" applyFont="0" applyFill="0" applyBorder="0" applyAlignment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5" fillId="0" borderId="0" applyProtection="0"/>
    <xf numFmtId="0" fontId="5" fillId="0" borderId="0" applyProtection="0"/>
    <xf numFmtId="0" fontId="5" fillId="0" borderId="0" applyProtection="0"/>
    <xf numFmtId="0" fontId="5" fillId="0" borderId="0" applyProtection="0"/>
    <xf numFmtId="0" fontId="5" fillId="0" borderId="0" applyProtection="0"/>
    <xf numFmtId="0" fontId="5" fillId="0" borderId="0" applyProtection="0"/>
    <xf numFmtId="0" fontId="35" fillId="0" borderId="0" applyNumberFormat="0" applyFont="0" applyFill="0" applyBorder="0" applyAlignment="0" applyProtection="0"/>
    <xf numFmtId="0" fontId="34" fillId="0" borderId="0" applyProtection="0"/>
    <xf numFmtId="0" fontId="34" fillId="0" borderId="0" applyProtection="0"/>
    <xf numFmtId="0" fontId="34" fillId="0" borderId="0" applyProtection="0"/>
    <xf numFmtId="0" fontId="54" fillId="0" borderId="0">
      <protection locked="0"/>
    </xf>
    <xf numFmtId="0" fontId="35" fillId="0" borderId="0" applyProtection="0"/>
    <xf numFmtId="0" fontId="35" fillId="0" borderId="0" applyProtection="0"/>
    <xf numFmtId="0" fontId="35" fillId="0" borderId="0" applyProtection="0"/>
    <xf numFmtId="0" fontId="35" fillId="0" borderId="0" applyProtection="0"/>
    <xf numFmtId="0" fontId="35" fillId="0" borderId="0" applyProtection="0"/>
    <xf numFmtId="0" fontId="35" fillId="0" borderId="0" applyProtection="0"/>
    <xf numFmtId="0" fontId="35" fillId="0" borderId="0" applyProtection="0"/>
    <xf numFmtId="0" fontId="35" fillId="0" borderId="0" applyNumberFormat="0" applyFont="0" applyFill="0" applyBorder="0" applyAlignment="0" applyProtection="0"/>
    <xf numFmtId="0" fontId="36" fillId="0" borderId="0" applyProtection="0"/>
    <xf numFmtId="0" fontId="36" fillId="0" borderId="0" applyProtection="0"/>
    <xf numFmtId="0" fontId="36" fillId="0" borderId="0" applyProtection="0"/>
    <xf numFmtId="0" fontId="36" fillId="0" borderId="0" applyProtection="0"/>
    <xf numFmtId="0" fontId="36" fillId="0" borderId="0" applyProtection="0"/>
    <xf numFmtId="0" fontId="36" fillId="0" borderId="0" applyProtection="0"/>
    <xf numFmtId="0" fontId="37" fillId="0" borderId="0" applyProtection="0"/>
    <xf numFmtId="0" fontId="37" fillId="0" borderId="0" applyProtection="0"/>
    <xf numFmtId="0" fontId="37" fillId="0" borderId="0" applyProtection="0"/>
    <xf numFmtId="0" fontId="37" fillId="0" borderId="0" applyProtection="0"/>
    <xf numFmtId="0" fontId="37" fillId="0" borderId="0" applyProtection="0"/>
    <xf numFmtId="0" fontId="37" fillId="0" borderId="0" applyProtection="0"/>
    <xf numFmtId="0" fontId="55" fillId="0" borderId="0">
      <protection locked="0"/>
    </xf>
    <xf numFmtId="0" fontId="35" fillId="0" borderId="0" applyNumberFormat="0" applyFont="0" applyFill="0" applyBorder="0" applyAlignment="0" applyProtection="0"/>
    <xf numFmtId="0" fontId="38" fillId="0" borderId="0" applyProtection="0"/>
    <xf numFmtId="0" fontId="38" fillId="0" borderId="0" applyProtection="0"/>
    <xf numFmtId="0" fontId="38" fillId="0" borderId="0" applyProtection="0"/>
    <xf numFmtId="0" fontId="38" fillId="0" borderId="0" applyProtection="0"/>
    <xf numFmtId="0" fontId="38" fillId="0" borderId="0" applyProtection="0"/>
    <xf numFmtId="0" fontId="6" fillId="0" borderId="0" applyFill="0" applyBorder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50" fillId="0" borderId="0" applyFont="0" applyFill="0" applyBorder="0" applyAlignment="0" applyProtection="0"/>
    <xf numFmtId="2" fontId="50" fillId="0" borderId="0" applyFont="0" applyFill="0" applyBorder="0" applyAlignment="0" applyProtection="0"/>
    <xf numFmtId="2" fontId="50" fillId="0" borderId="0" applyFont="0" applyFill="0" applyBorder="0" applyAlignment="0" applyProtection="0"/>
    <xf numFmtId="2" fontId="50" fillId="0" borderId="0" applyFont="0" applyFill="0" applyBorder="0" applyAlignment="0" applyProtection="0"/>
    <xf numFmtId="2" fontId="50" fillId="0" borderId="0" applyFont="0" applyFill="0" applyBorder="0" applyAlignment="0" applyProtection="0"/>
    <xf numFmtId="2" fontId="27" fillId="0" borderId="0" applyProtection="0"/>
    <xf numFmtId="2" fontId="5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38" fontId="5" fillId="33" borderId="0" applyNumberFormat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9" fillId="0" borderId="0" applyProtection="0"/>
    <xf numFmtId="0" fontId="29" fillId="0" borderId="0" applyProtection="0"/>
    <xf numFmtId="0" fontId="29" fillId="0" borderId="0" applyProtection="0"/>
    <xf numFmtId="0" fontId="29" fillId="0" borderId="0" applyProtection="0"/>
    <xf numFmtId="0" fontId="29" fillId="0" borderId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15" fillId="26" borderId="6" applyNumberFormat="0" applyAlignment="0" applyProtection="0"/>
    <xf numFmtId="10" fontId="5" fillId="34" borderId="5" applyNumberFormat="0" applyBorder="0" applyAlignment="0" applyProtection="0"/>
    <xf numFmtId="0" fontId="31" fillId="0" borderId="16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0" fontId="8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12" fontId="6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0" fontId="6" fillId="0" borderId="0"/>
    <xf numFmtId="0" fontId="18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19" fillId="11" borderId="10" applyNumberFormat="0" applyAlignment="0" applyProtection="0"/>
    <xf numFmtId="9" fontId="62" fillId="0" borderId="0" applyFont="0" applyFill="0" applyBorder="0" applyAlignment="0" applyProtection="0"/>
    <xf numFmtId="0" fontId="32" fillId="0" borderId="19" applyNumberFormat="0" applyFill="0" applyAlignment="0" applyProtection="0"/>
    <xf numFmtId="0" fontId="50" fillId="0" borderId="23" applyNumberFormat="0" applyFont="0" applyFill="0" applyAlignment="0" applyProtection="0"/>
    <xf numFmtId="9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7" fillId="0" borderId="0"/>
    <xf numFmtId="0" fontId="8" fillId="1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8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48" fillId="0" borderId="5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0" borderId="0"/>
    <xf numFmtId="0" fontId="6" fillId="0" borderId="0"/>
    <xf numFmtId="0" fontId="9" fillId="22" borderId="0" applyNumberFormat="0" applyBorder="0" applyAlignment="0" applyProtection="0"/>
    <xf numFmtId="0" fontId="6" fillId="0" borderId="0"/>
    <xf numFmtId="214" fontId="6" fillId="0" borderId="0" applyFont="0" applyFill="0" applyBorder="0" applyAlignment="0" applyProtection="0"/>
    <xf numFmtId="0" fontId="8" fillId="10" borderId="9" applyNumberFormat="0" applyFont="0" applyAlignment="0" applyProtection="0"/>
    <xf numFmtId="0" fontId="50" fillId="0" borderId="23" applyNumberFormat="0" applyFont="0" applyFill="0" applyAlignment="0" applyProtection="0"/>
    <xf numFmtId="0" fontId="6" fillId="10" borderId="9" applyNumberFormat="0" applyFont="0" applyAlignment="0" applyProtection="0"/>
    <xf numFmtId="0" fontId="8" fillId="27" borderId="0" applyNumberFormat="0" applyBorder="0" applyAlignment="0" applyProtection="0"/>
    <xf numFmtId="0" fontId="5" fillId="0" borderId="0">
      <alignment vertical="center"/>
    </xf>
    <xf numFmtId="0" fontId="6" fillId="0" borderId="0"/>
    <xf numFmtId="0" fontId="8" fillId="10" borderId="9" applyNumberFormat="0" applyFont="0" applyAlignment="0" applyProtection="0"/>
    <xf numFmtId="9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8" fillId="0" borderId="0"/>
    <xf numFmtId="0" fontId="8" fillId="0" borderId="0"/>
    <xf numFmtId="0" fontId="8" fillId="10" borderId="9" applyNumberFormat="0" applyFont="0" applyAlignment="0" applyProtection="0"/>
    <xf numFmtId="43" fontId="6" fillId="0" borderId="0" applyFont="0" applyFill="0" applyBorder="0" applyAlignment="0" applyProtection="0"/>
    <xf numFmtId="0" fontId="9" fillId="19" borderId="0" applyNumberFormat="0" applyBorder="0" applyAlignment="0" applyProtection="0"/>
    <xf numFmtId="0" fontId="51" fillId="0" borderId="0"/>
    <xf numFmtId="0" fontId="37" fillId="0" borderId="0" applyProtection="0"/>
    <xf numFmtId="43" fontId="6" fillId="0" borderId="0" applyFont="0" applyFill="0" applyBorder="0" applyAlignment="0" applyProtection="0"/>
    <xf numFmtId="0" fontId="45" fillId="0" borderId="0"/>
    <xf numFmtId="0" fontId="8" fillId="8" borderId="0" applyNumberFormat="0" applyBorder="0" applyAlignment="0" applyProtection="0"/>
    <xf numFmtId="0" fontId="8" fillId="1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33" fillId="0" borderId="0" applyProtection="0"/>
    <xf numFmtId="0" fontId="34" fillId="0" borderId="0" applyProtection="0"/>
    <xf numFmtId="0" fontId="35" fillId="0" borderId="0" applyProtection="0"/>
    <xf numFmtId="0" fontId="36" fillId="0" borderId="0" applyProtection="0"/>
    <xf numFmtId="0" fontId="38" fillId="0" borderId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32" fillId="0" borderId="19" applyNumberFormat="0" applyFill="0" applyAlignment="0" applyProtection="0"/>
    <xf numFmtId="0" fontId="28" fillId="0" borderId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6" fillId="0" borderId="0"/>
    <xf numFmtId="0" fontId="24" fillId="0" borderId="20" applyNumberFormat="0" applyFill="0" applyAlignment="0" applyProtection="0"/>
    <xf numFmtId="0" fontId="7" fillId="0" borderId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1" borderId="0" applyNumberFormat="0" applyBorder="0" applyAlignment="0" applyProtection="0"/>
    <xf numFmtId="0" fontId="9" fillId="30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16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15" borderId="0" applyNumberFormat="0" applyBorder="0" applyAlignment="0" applyProtection="0"/>
    <xf numFmtId="0" fontId="11" fillId="17" borderId="6" applyNumberFormat="0" applyAlignment="0" applyProtection="0"/>
    <xf numFmtId="0" fontId="30" fillId="11" borderId="6" applyNumberFormat="0" applyAlignment="0" applyProtection="0"/>
    <xf numFmtId="0" fontId="31" fillId="0" borderId="16" applyNumberFormat="0" applyFill="0" applyAlignment="0" applyProtection="0"/>
    <xf numFmtId="0" fontId="51" fillId="0" borderId="0"/>
    <xf numFmtId="192" fontId="49" fillId="0" borderId="0">
      <protection locked="0"/>
    </xf>
    <xf numFmtId="0" fontId="27" fillId="0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5" fillId="26" borderId="6" applyNumberFormat="0" applyAlignment="0" applyProtection="0"/>
    <xf numFmtId="0" fontId="26" fillId="0" borderId="0"/>
    <xf numFmtId="0" fontId="26" fillId="0" borderId="0"/>
    <xf numFmtId="0" fontId="54" fillId="0" borderId="0">
      <protection locked="0"/>
    </xf>
    <xf numFmtId="0" fontId="16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1" fillId="0" borderId="0"/>
    <xf numFmtId="0" fontId="6" fillId="0" borderId="0"/>
    <xf numFmtId="0" fontId="24" fillId="0" borderId="20" applyNumberFormat="0" applyFill="0" applyAlignment="0" applyProtection="0"/>
    <xf numFmtId="43" fontId="6" fillId="0" borderId="0" applyFont="0" applyFill="0" applyBorder="0" applyAlignment="0" applyProtection="0"/>
    <xf numFmtId="0" fontId="8" fillId="26" borderId="0" applyNumberFormat="0" applyBorder="0" applyAlignment="0" applyProtection="0"/>
    <xf numFmtId="0" fontId="8" fillId="10" borderId="9" applyNumberFormat="0" applyFont="0" applyAlignment="0" applyProtection="0"/>
    <xf numFmtId="0" fontId="6" fillId="0" borderId="0"/>
    <xf numFmtId="0" fontId="8" fillId="10" borderId="9" applyNumberFormat="0" applyFont="0" applyAlignment="0" applyProtection="0"/>
    <xf numFmtId="172" fontId="8" fillId="0" borderId="0" applyFont="0" applyFill="0" applyBorder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6" fillId="0" borderId="0"/>
    <xf numFmtId="0" fontId="5" fillId="0" borderId="0">
      <alignment vertical="center"/>
    </xf>
    <xf numFmtId="0" fontId="45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0" fontId="8" fillId="10" borderId="9" applyNumberFormat="0" applyFont="0" applyAlignment="0" applyProtection="0"/>
    <xf numFmtId="0" fontId="6" fillId="0" borderId="0"/>
    <xf numFmtId="0" fontId="5" fillId="0" borderId="0">
      <alignment vertical="center"/>
    </xf>
    <xf numFmtId="0" fontId="8" fillId="27" borderId="0" applyNumberFormat="0" applyBorder="0" applyAlignment="0" applyProtection="0"/>
    <xf numFmtId="0" fontId="9" fillId="31" borderId="0" applyNumberFormat="0" applyBorder="0" applyAlignment="0" applyProtection="0"/>
    <xf numFmtId="0" fontId="1" fillId="0" borderId="0"/>
    <xf numFmtId="0" fontId="19" fillId="11" borderId="10" applyNumberFormat="0" applyAlignment="0" applyProtection="0"/>
    <xf numFmtId="0" fontId="8" fillId="10" borderId="9" applyNumberFormat="0" applyFont="0" applyAlignment="0" applyProtection="0"/>
    <xf numFmtId="0" fontId="6" fillId="0" borderId="0"/>
    <xf numFmtId="0" fontId="6" fillId="0" borderId="0"/>
    <xf numFmtId="214" fontId="6" fillId="0" borderId="0" applyFont="0" applyFill="0" applyBorder="0" applyAlignment="0" applyProtection="0"/>
    <xf numFmtId="0" fontId="6" fillId="10" borderId="9" applyNumberFormat="0" applyFont="0" applyAlignment="0" applyProtection="0"/>
    <xf numFmtId="4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0" fontId="60" fillId="0" borderId="0" applyNumberForma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9" fillId="29" borderId="0" applyNumberFormat="0" applyBorder="0" applyAlignment="0" applyProtection="0"/>
    <xf numFmtId="0" fontId="31" fillId="0" borderId="16" applyNumberFormat="0" applyFill="0" applyAlignment="0" applyProtection="0"/>
    <xf numFmtId="0" fontId="37" fillId="0" borderId="0" applyProtection="0"/>
    <xf numFmtId="0" fontId="1" fillId="0" borderId="0"/>
    <xf numFmtId="0" fontId="5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0" fontId="30" fillId="11" borderId="6" applyNumberFormat="0" applyAlignment="0" applyProtection="0"/>
    <xf numFmtId="0" fontId="7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/>
    <xf numFmtId="0" fontId="1" fillId="0" borderId="0"/>
    <xf numFmtId="0" fontId="2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0" fontId="19" fillId="11" borderId="10" applyNumberFormat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4" fillId="0" borderId="20" applyNumberFormat="0" applyFill="0" applyAlignment="0" applyProtection="0"/>
    <xf numFmtId="0" fontId="50" fillId="0" borderId="23" applyNumberFormat="0" applyFont="0" applyFill="0" applyAlignment="0" applyProtection="0"/>
    <xf numFmtId="0" fontId="35" fillId="0" borderId="0" applyFont="0" applyFill="0" applyBorder="0" applyAlignment="0" applyProtection="0"/>
    <xf numFmtId="220" fontId="49" fillId="0" borderId="0">
      <protection locked="0"/>
    </xf>
    <xf numFmtId="0" fontId="18" fillId="0" borderId="0"/>
    <xf numFmtId="0" fontId="1" fillId="0" borderId="0"/>
    <xf numFmtId="0" fontId="6" fillId="0" borderId="0"/>
    <xf numFmtId="0" fontId="41" fillId="0" borderId="17" applyNumberFormat="0" applyFill="0" applyAlignment="0" applyProtection="0"/>
    <xf numFmtId="0" fontId="18" fillId="0" borderId="0"/>
    <xf numFmtId="0" fontId="8" fillId="10" borderId="9" applyNumberFormat="0" applyFont="0" applyAlignment="0" applyProtection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8" fillId="0" borderId="0"/>
    <xf numFmtId="0" fontId="18" fillId="0" borderId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6" fillId="10" borderId="9" applyNumberFormat="0" applyFont="0" applyAlignment="0" applyProtection="0"/>
    <xf numFmtId="9" fontId="6" fillId="0" borderId="0" applyFont="0" applyFill="0" applyBorder="0" applyAlignment="0" applyProtection="0"/>
    <xf numFmtId="0" fontId="8" fillId="10" borderId="9" applyNumberFormat="0" applyFont="0" applyAlignment="0" applyProtection="0"/>
    <xf numFmtId="9" fontId="6" fillId="0" borderId="0" applyFont="0" applyFill="0" applyBorder="0" applyAlignment="0" applyProtection="0"/>
    <xf numFmtId="0" fontId="50" fillId="0" borderId="23" applyNumberFormat="0" applyFon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2" fillId="0" borderId="19" applyNumberFormat="0" applyFill="0" applyAlignment="0" applyProtection="0"/>
    <xf numFmtId="0" fontId="24" fillId="0" borderId="20" applyNumberForma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8" fillId="14" borderId="0" applyNumberFormat="0" applyBorder="0" applyAlignment="0" applyProtection="0"/>
    <xf numFmtId="0" fontId="36" fillId="0" borderId="0" applyProtection="0"/>
    <xf numFmtId="2" fontId="50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7" fillId="0" borderId="0" applyProtection="0"/>
    <xf numFmtId="0" fontId="38" fillId="0" borderId="0" applyProtection="0"/>
    <xf numFmtId="0" fontId="18" fillId="0" borderId="0"/>
    <xf numFmtId="0" fontId="19" fillId="11" borderId="10" applyNumberFormat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8" fillId="10" borderId="9" applyNumberFormat="0" applyFont="0" applyAlignment="0" applyProtection="0"/>
    <xf numFmtId="0" fontId="50" fillId="0" borderId="23" applyNumberFormat="0" applyFont="0" applyFill="0" applyAlignment="0" applyProtection="0"/>
    <xf numFmtId="214" fontId="6" fillId="0" borderId="0" applyFont="0" applyFill="0" applyBorder="0" applyAlignment="0" applyProtection="0"/>
    <xf numFmtId="0" fontId="8" fillId="10" borderId="9" applyNumberFormat="0" applyFont="0" applyAlignment="0" applyProtection="0"/>
    <xf numFmtId="202" fontId="6" fillId="0" borderId="0" applyFont="0" applyFill="0" applyBorder="0" applyAlignment="0" applyProtection="0"/>
    <xf numFmtId="0" fontId="9" fillId="21" borderId="0" applyNumberFormat="0" applyBorder="0" applyAlignment="0" applyProtection="0"/>
    <xf numFmtId="0" fontId="7" fillId="0" borderId="0"/>
    <xf numFmtId="0" fontId="8" fillId="25" borderId="0" applyNumberFormat="0" applyBorder="0" applyAlignment="0" applyProtection="0"/>
    <xf numFmtId="43" fontId="6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14" borderId="0" applyNumberFormat="0" applyBorder="0" applyAlignment="0" applyProtection="0"/>
    <xf numFmtId="0" fontId="8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3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29" borderId="0" applyNumberFormat="0" applyBorder="0" applyAlignment="0" applyProtection="0"/>
    <xf numFmtId="0" fontId="9" fillId="28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6" fillId="0" borderId="0"/>
    <xf numFmtId="0" fontId="40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5" fillId="0" borderId="0"/>
    <xf numFmtId="0" fontId="6" fillId="0" borderId="0"/>
    <xf numFmtId="0" fontId="40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214" fontId="6" fillId="0" borderId="0" applyFont="0" applyFill="0" applyBorder="0" applyAlignment="0" applyProtection="0"/>
    <xf numFmtId="0" fontId="18" fillId="0" borderId="0"/>
    <xf numFmtId="0" fontId="6" fillId="0" borderId="0"/>
    <xf numFmtId="0" fontId="5" fillId="0" borderId="0">
      <alignment vertical="center"/>
    </xf>
    <xf numFmtId="0" fontId="19" fillId="11" borderId="10" applyNumberFormat="0" applyAlignment="0" applyProtection="0"/>
    <xf numFmtId="0" fontId="39" fillId="13" borderId="0" applyNumberFormat="0" applyBorder="0" applyAlignment="0" applyProtection="0"/>
    <xf numFmtId="0" fontId="8" fillId="10" borderId="9" applyNumberFormat="0" applyFont="0" applyAlignment="0" applyProtection="0"/>
    <xf numFmtId="0" fontId="6" fillId="0" borderId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9" fillId="11" borderId="10" applyNumberFormat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top"/>
    </xf>
    <xf numFmtId="0" fontId="5" fillId="0" borderId="0">
      <alignment vertical="center"/>
    </xf>
    <xf numFmtId="0" fontId="5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8" fillId="0" borderId="0"/>
    <xf numFmtId="0" fontId="18" fillId="0" borderId="0"/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220" fontId="49" fillId="0" borderId="0">
      <protection locked="0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9" fillId="11" borderId="10" applyNumberFormat="0" applyAlignment="0" applyProtection="0"/>
    <xf numFmtId="172" fontId="70" fillId="0" borderId="21">
      <alignment horizontal="left" wrapText="1"/>
    </xf>
    <xf numFmtId="0" fontId="50" fillId="0" borderId="23" applyNumberFormat="0" applyFont="0" applyFill="0" applyAlignment="0" applyProtection="0"/>
    <xf numFmtId="0" fontId="24" fillId="0" borderId="20" applyNumberForma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10" borderId="9" applyNumberFormat="0" applyFont="0" applyAlignment="0" applyProtection="0"/>
    <xf numFmtId="0" fontId="24" fillId="0" borderId="20" applyNumberFormat="0" applyFill="0" applyAlignment="0" applyProtection="0"/>
    <xf numFmtId="0" fontId="5" fillId="0" borderId="0">
      <alignment vertical="center"/>
    </xf>
    <xf numFmtId="0" fontId="45" fillId="0" borderId="0"/>
    <xf numFmtId="0" fontId="6" fillId="0" borderId="0"/>
    <xf numFmtId="0" fontId="1" fillId="0" borderId="0"/>
    <xf numFmtId="0" fontId="8" fillId="10" borderId="9" applyNumberFormat="0" applyFont="0" applyAlignment="0" applyProtection="0"/>
    <xf numFmtId="9" fontId="6" fillId="0" borderId="0" applyFont="0" applyFill="0" applyBorder="0" applyAlignment="0" applyProtection="0"/>
    <xf numFmtId="0" fontId="50" fillId="0" borderId="23" applyNumberFormat="0" applyFont="0" applyFill="0" applyAlignment="0" applyProtection="0"/>
    <xf numFmtId="0" fontId="6" fillId="0" borderId="0"/>
    <xf numFmtId="0" fontId="8" fillId="0" borderId="0"/>
    <xf numFmtId="9" fontId="6" fillId="0" borderId="0" applyFont="0" applyFill="0" applyBorder="0" applyAlignment="0" applyProtection="0"/>
    <xf numFmtId="0" fontId="1" fillId="0" borderId="0"/>
    <xf numFmtId="0" fontId="5" fillId="0" borderId="0">
      <alignment vertical="center"/>
    </xf>
    <xf numFmtId="0" fontId="8" fillId="0" borderId="0"/>
    <xf numFmtId="0" fontId="8" fillId="0" borderId="0"/>
    <xf numFmtId="0" fontId="6" fillId="10" borderId="9" applyNumberFormat="0" applyFont="0" applyAlignment="0" applyProtection="0"/>
    <xf numFmtId="9" fontId="8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5" fillId="0" borderId="0">
      <alignment vertical="center"/>
    </xf>
    <xf numFmtId="0" fontId="6" fillId="0" borderId="0"/>
    <xf numFmtId="0" fontId="8" fillId="0" borderId="0"/>
    <xf numFmtId="0" fontId="19" fillId="11" borderId="10" applyNumberFormat="0" applyAlignment="0" applyProtection="0"/>
    <xf numFmtId="0" fontId="8" fillId="0" borderId="0"/>
    <xf numFmtId="0" fontId="6" fillId="0" borderId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6" fillId="0" borderId="0"/>
    <xf numFmtId="0" fontId="32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50" fillId="0" borderId="23" applyNumberFormat="0" applyFont="0" applyFill="0" applyAlignment="0" applyProtection="0"/>
    <xf numFmtId="0" fontId="50" fillId="0" borderId="23" applyNumberFormat="0" applyFon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172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0" fontId="9" fillId="21" borderId="0" applyNumberFormat="0" applyBorder="0" applyAlignment="0" applyProtection="0"/>
    <xf numFmtId="0" fontId="6" fillId="0" borderId="0"/>
    <xf numFmtId="9" fontId="7" fillId="0" borderId="0" applyFont="0" applyFill="0" applyBorder="0" applyAlignment="0" applyProtection="0">
      <alignment vertical="top"/>
    </xf>
    <xf numFmtId="0" fontId="6" fillId="0" borderId="0"/>
    <xf numFmtId="0" fontId="39" fillId="13" borderId="0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214" fontId="6" fillId="0" borderId="0" applyFont="0" applyFill="0" applyBorder="0" applyAlignment="0" applyProtection="0"/>
    <xf numFmtId="0" fontId="6" fillId="0" borderId="0"/>
    <xf numFmtId="0" fontId="32" fillId="0" borderId="19" applyNumberFormat="0" applyFill="0" applyAlignment="0" applyProtection="0"/>
    <xf numFmtId="0" fontId="6" fillId="0" borderId="0"/>
    <xf numFmtId="0" fontId="6" fillId="0" borderId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8" borderId="0" applyNumberFormat="0" applyBorder="0" applyAlignment="0" applyProtection="0"/>
    <xf numFmtId="0" fontId="38" fillId="0" borderId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50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9" fillId="15" borderId="0" applyNumberFormat="0" applyBorder="0" applyAlignment="0" applyProtection="0"/>
    <xf numFmtId="0" fontId="5" fillId="0" borderId="0">
      <alignment vertical="center"/>
    </xf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8" fillId="2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30" borderId="0" applyNumberFormat="0" applyBorder="0" applyAlignment="0" applyProtection="0"/>
    <xf numFmtId="0" fontId="9" fillId="21" borderId="0" applyNumberFormat="0" applyBorder="0" applyAlignment="0" applyProtection="0"/>
    <xf numFmtId="0" fontId="9" fillId="31" borderId="0" applyNumberFormat="0" applyBorder="0" applyAlignment="0" applyProtection="0"/>
    <xf numFmtId="0" fontId="9" fillId="22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0" fillId="0" borderId="0" applyFont="0" applyFill="0" applyBorder="0" applyAlignment="0" applyProtection="0"/>
    <xf numFmtId="0" fontId="27" fillId="0" borderId="0" applyProtection="0"/>
    <xf numFmtId="0" fontId="50" fillId="0" borderId="0" applyFont="0" applyFill="0" applyBorder="0" applyAlignment="0" applyProtection="0"/>
    <xf numFmtId="0" fontId="15" fillId="26" borderId="6" applyNumberFormat="0" applyAlignment="0" applyProtection="0"/>
    <xf numFmtId="0" fontId="26" fillId="0" borderId="0"/>
    <xf numFmtId="195" fontId="6" fillId="0" borderId="0" applyFont="0" applyFill="0" applyBorder="0" applyAlignment="0" applyProtection="0"/>
    <xf numFmtId="0" fontId="34" fillId="0" borderId="0" applyProtection="0"/>
    <xf numFmtId="2" fontId="50" fillId="0" borderId="0" applyFont="0" applyFill="0" applyBorder="0" applyAlignment="0" applyProtection="0"/>
    <xf numFmtId="0" fontId="58" fillId="0" borderId="0" applyNumberFormat="0" applyFill="0" applyBorder="0" applyAlignment="0" applyProtection="0"/>
    <xf numFmtId="43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45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1" fillId="0" borderId="0"/>
    <xf numFmtId="0" fontId="18" fillId="0" borderId="0"/>
    <xf numFmtId="0" fontId="5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32" borderId="0" applyNumberFormat="0" applyBorder="0" applyAlignment="0" applyProtection="0"/>
    <xf numFmtId="0" fontId="16" fillId="14" borderId="0" applyNumberFormat="0" applyBorder="0" applyAlignment="0" applyProtection="0"/>
    <xf numFmtId="0" fontId="51" fillId="0" borderId="0"/>
    <xf numFmtId="0" fontId="9" fillId="31" borderId="0" applyNumberFormat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7" fillId="0" borderId="0" applyFont="0" applyFill="0" applyBorder="0" applyAlignment="0" applyProtection="0"/>
    <xf numFmtId="210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4" fillId="0" borderId="0" applyProtection="0"/>
    <xf numFmtId="172" fontId="6" fillId="0" borderId="0" applyFont="0" applyFill="0" applyBorder="0" applyAlignment="0" applyProtection="0"/>
    <xf numFmtId="0" fontId="7" fillId="0" borderId="0"/>
    <xf numFmtId="0" fontId="8" fillId="24" borderId="0" applyNumberFormat="0" applyBorder="0" applyAlignment="0" applyProtection="0"/>
    <xf numFmtId="0" fontId="7" fillId="0" borderId="0"/>
    <xf numFmtId="0" fontId="8" fillId="26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9" fillId="9" borderId="0" applyNumberFormat="0" applyBorder="0" applyAlignment="0" applyProtection="0"/>
    <xf numFmtId="0" fontId="8" fillId="16" borderId="0" applyNumberFormat="0" applyBorder="0" applyAlignment="0" applyProtection="0"/>
    <xf numFmtId="195" fontId="6" fillId="0" borderId="0" applyFont="0" applyFill="0" applyBorder="0" applyAlignment="0" applyProtection="0"/>
    <xf numFmtId="0" fontId="9" fillId="29" borderId="0" applyNumberFormat="0" applyBorder="0" applyAlignment="0" applyProtection="0"/>
    <xf numFmtId="0" fontId="33" fillId="0" borderId="0" applyProtection="0"/>
    <xf numFmtId="0" fontId="33" fillId="0" borderId="0" applyProtection="0"/>
    <xf numFmtId="0" fontId="37" fillId="0" borderId="0" applyProtection="0"/>
    <xf numFmtId="0" fontId="35" fillId="0" borderId="0" applyProtection="0"/>
    <xf numFmtId="2" fontId="50" fillId="0" borderId="0" applyFont="0" applyFill="0" applyBorder="0" applyAlignment="0" applyProtection="0"/>
    <xf numFmtId="197" fontId="49" fillId="0" borderId="0">
      <protection locked="0"/>
    </xf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29" fillId="0" borderId="0" applyProtection="0"/>
    <xf numFmtId="0" fontId="32" fillId="0" borderId="19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50" fillId="0" borderId="23" applyNumberFormat="0" applyFont="0" applyFill="0" applyAlignment="0" applyProtection="0"/>
    <xf numFmtId="0" fontId="8" fillId="0" borderId="0"/>
    <xf numFmtId="0" fontId="9" fillId="21" borderId="0" applyNumberFormat="0" applyBorder="0" applyAlignment="0" applyProtection="0"/>
    <xf numFmtId="0" fontId="8" fillId="8" borderId="0" applyNumberFormat="0" applyBorder="0" applyAlignment="0" applyProtection="0"/>
    <xf numFmtId="0" fontId="9" fillId="31" borderId="0" applyNumberFormat="0" applyBorder="0" applyAlignment="0" applyProtection="0"/>
    <xf numFmtId="0" fontId="9" fillId="27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30" fillId="11" borderId="6" applyNumberFormat="0" applyAlignment="0" applyProtection="0"/>
    <xf numFmtId="0" fontId="16" fillId="14" borderId="0" applyNumberFormat="0" applyBorder="0" applyAlignment="0" applyProtection="0"/>
    <xf numFmtId="0" fontId="27" fillId="0" borderId="0" applyProtection="0"/>
    <xf numFmtId="0" fontId="51" fillId="0" borderId="0"/>
    <xf numFmtId="0" fontId="15" fillId="26" borderId="6" applyNumberFormat="0" applyAlignment="0" applyProtection="0"/>
    <xf numFmtId="0" fontId="32" fillId="0" borderId="0" applyNumberFormat="0" applyFill="0" applyBorder="0" applyAlignment="0" applyProtection="0"/>
    <xf numFmtId="0" fontId="37" fillId="0" borderId="0" applyProtection="0"/>
    <xf numFmtId="0" fontId="26" fillId="0" borderId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8" fillId="24" borderId="0" applyNumberFormat="0" applyBorder="0" applyAlignment="0" applyProtection="0"/>
    <xf numFmtId="0" fontId="8" fillId="14" borderId="0" applyNumberFormat="0" applyBorder="0" applyAlignment="0" applyProtection="0"/>
    <xf numFmtId="0" fontId="8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14" borderId="0" applyNumberFormat="0" applyBorder="0" applyAlignment="0" applyProtection="0"/>
    <xf numFmtId="0" fontId="8" fillId="12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21" borderId="0" applyNumberFormat="0" applyBorder="0" applyAlignment="0" applyProtection="0"/>
    <xf numFmtId="195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5" fillId="0" borderId="0" applyProtection="0"/>
    <xf numFmtId="0" fontId="34" fillId="0" borderId="0" applyProtection="0"/>
    <xf numFmtId="0" fontId="35" fillId="0" borderId="0" applyProtection="0"/>
    <xf numFmtId="0" fontId="36" fillId="0" borderId="0" applyProtection="0"/>
    <xf numFmtId="0" fontId="36" fillId="0" borderId="0" applyProtection="0"/>
    <xf numFmtId="0" fontId="38" fillId="0" borderId="0" applyProtection="0"/>
    <xf numFmtId="0" fontId="38" fillId="0" borderId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0" fontId="21" fillId="0" borderId="11" applyNumberFormat="0" applyFill="0" applyAlignment="0" applyProtection="0"/>
    <xf numFmtId="0" fontId="44" fillId="0" borderId="0" applyFill="0" applyBorder="0">
      <alignment horizontal="left" wrapText="1"/>
    </xf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2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8" fillId="0" borderId="0" applyProtection="0"/>
    <xf numFmtId="0" fontId="29" fillId="0" borderId="0" applyProtection="0"/>
    <xf numFmtId="0" fontId="16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0" fontId="8" fillId="0" borderId="0" applyFont="0" applyFill="0" applyBorder="0" applyAlignment="0" applyProtection="0"/>
    <xf numFmtId="186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8" fillId="25" borderId="0" applyNumberFormat="0" applyBorder="0" applyAlignment="0" applyProtection="0"/>
    <xf numFmtId="0" fontId="8" fillId="8" borderId="0" applyNumberFormat="0" applyBorder="0" applyAlignment="0" applyProtection="0"/>
    <xf numFmtId="0" fontId="9" fillId="28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16" fillId="14" borderId="0" applyNumberFormat="0" applyBorder="0" applyAlignment="0" applyProtection="0"/>
    <xf numFmtId="0" fontId="30" fillId="11" borderId="6" applyNumberFormat="0" applyAlignment="0" applyProtection="0"/>
    <xf numFmtId="0" fontId="6" fillId="0" borderId="0"/>
    <xf numFmtId="0" fontId="31" fillId="0" borderId="16" applyNumberFormat="0" applyFill="0" applyAlignment="0" applyProtection="0"/>
    <xf numFmtId="0" fontId="51" fillId="0" borderId="0"/>
    <xf numFmtId="0" fontId="27" fillId="0" borderId="0" applyProtection="0"/>
    <xf numFmtId="0" fontId="27" fillId="0" borderId="0" applyProtection="0"/>
    <xf numFmtId="0" fontId="50" fillId="0" borderId="0" applyFont="0" applyFill="0" applyBorder="0" applyAlignment="0" applyProtection="0"/>
    <xf numFmtId="0" fontId="9" fillId="22" borderId="0" applyNumberFormat="0" applyBorder="0" applyAlignment="0" applyProtection="0"/>
    <xf numFmtId="0" fontId="9" fillId="29" borderId="0" applyNumberFormat="0" applyBorder="0" applyAlignment="0" applyProtection="0"/>
    <xf numFmtId="0" fontId="6" fillId="0" borderId="0"/>
    <xf numFmtId="0" fontId="26" fillId="0" borderId="0"/>
    <xf numFmtId="0" fontId="26" fillId="0" borderId="0"/>
    <xf numFmtId="0" fontId="5" fillId="0" borderId="0" applyProtection="0"/>
    <xf numFmtId="0" fontId="41" fillId="0" borderId="17" applyNumberFormat="0" applyFill="0" applyAlignment="0" applyProtection="0"/>
    <xf numFmtId="0" fontId="58" fillId="0" borderId="0" applyNumberFormat="0" applyFill="0" applyBorder="0" applyAlignment="0" applyProtection="0"/>
    <xf numFmtId="43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8" fillId="0" borderId="0"/>
    <xf numFmtId="0" fontId="19" fillId="11" borderId="10" applyNumberFormat="0" applyAlignment="0" applyProtection="0"/>
    <xf numFmtId="0" fontId="5" fillId="0" borderId="0" applyProtection="0"/>
    <xf numFmtId="172" fontId="8" fillId="0" borderId="0" applyFont="0" applyFill="0" applyBorder="0" applyAlignment="0" applyProtection="0"/>
    <xf numFmtId="0" fontId="7" fillId="0" borderId="0"/>
    <xf numFmtId="0" fontId="8" fillId="24" borderId="0" applyNumberFormat="0" applyBorder="0" applyAlignment="0" applyProtection="0"/>
    <xf numFmtId="0" fontId="7" fillId="0" borderId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8" borderId="0" applyNumberFormat="0" applyBorder="0" applyAlignment="0" applyProtection="0"/>
    <xf numFmtId="0" fontId="8" fillId="25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9" fillId="9" borderId="0" applyNumberFormat="0" applyBorder="0" applyAlignment="0" applyProtection="0"/>
    <xf numFmtId="0" fontId="8" fillId="8" borderId="0" applyNumberFormat="0" applyBorder="0" applyAlignment="0" applyProtection="0"/>
    <xf numFmtId="0" fontId="9" fillId="21" borderId="0" applyNumberFormat="0" applyBorder="0" applyAlignment="0" applyProtection="0"/>
    <xf numFmtId="0" fontId="9" fillId="27" borderId="0" applyNumberFormat="0" applyBorder="0" applyAlignment="0" applyProtection="0"/>
    <xf numFmtId="0" fontId="33" fillId="0" borderId="0" applyProtection="0"/>
    <xf numFmtId="0" fontId="33" fillId="0" borderId="0" applyProtection="0"/>
    <xf numFmtId="0" fontId="37" fillId="0" borderId="0" applyProtection="0"/>
    <xf numFmtId="0" fontId="35" fillId="0" borderId="0" applyProtection="0"/>
    <xf numFmtId="2" fontId="50" fillId="0" borderId="0" applyFont="0" applyFill="0" applyBorder="0" applyAlignment="0" applyProtection="0"/>
    <xf numFmtId="0" fontId="38" fillId="0" borderId="0" applyProtection="0"/>
    <xf numFmtId="0" fontId="58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28" fillId="0" borderId="0" applyProtection="0"/>
    <xf numFmtId="0" fontId="32" fillId="0" borderId="19" applyNumberFormat="0" applyFill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9" fillId="13" borderId="0" applyNumberFormat="0" applyBorder="0" applyAlignment="0" applyProtection="0"/>
    <xf numFmtId="0" fontId="9" fillId="27" borderId="0" applyNumberFormat="0" applyBorder="0" applyAlignment="0" applyProtection="0"/>
    <xf numFmtId="0" fontId="8" fillId="26" borderId="0" applyNumberFormat="0" applyBorder="0" applyAlignment="0" applyProtection="0"/>
    <xf numFmtId="0" fontId="9" fillId="31" borderId="0" applyNumberFormat="0" applyBorder="0" applyAlignment="0" applyProtection="0"/>
    <xf numFmtId="0" fontId="9" fillId="28" borderId="0" applyNumberFormat="0" applyBorder="0" applyAlignment="0" applyProtection="0"/>
    <xf numFmtId="0" fontId="9" fillId="22" borderId="0" applyNumberFormat="0" applyBorder="0" applyAlignment="0" applyProtection="0"/>
    <xf numFmtId="0" fontId="9" fillId="29" borderId="0" applyNumberFormat="0" applyBorder="0" applyAlignment="0" applyProtection="0"/>
    <xf numFmtId="0" fontId="30" fillId="11" borderId="6" applyNumberFormat="0" applyAlignment="0" applyProtection="0"/>
    <xf numFmtId="0" fontId="16" fillId="14" borderId="0" applyNumberFormat="0" applyBorder="0" applyAlignment="0" applyProtection="0"/>
    <xf numFmtId="0" fontId="50" fillId="0" borderId="0" applyFont="0" applyFill="0" applyBorder="0" applyAlignment="0" applyProtection="0"/>
    <xf numFmtId="0" fontId="52" fillId="0" borderId="0"/>
    <xf numFmtId="0" fontId="49" fillId="0" borderId="0">
      <protection locked="0"/>
    </xf>
    <xf numFmtId="0" fontId="35" fillId="0" borderId="0" applyProtection="0"/>
    <xf numFmtId="0" fontId="26" fillId="0" borderId="0"/>
    <xf numFmtId="172" fontId="6" fillId="0" borderId="0" applyFont="0" applyFill="0" applyBorder="0" applyAlignment="0" applyProtection="0"/>
    <xf numFmtId="0" fontId="28" fillId="0" borderId="0" applyProtection="0"/>
    <xf numFmtId="0" fontId="1" fillId="0" borderId="0"/>
    <xf numFmtId="43" fontId="6" fillId="0" borderId="0" applyFont="0" applyFill="0" applyBorder="0" applyAlignment="0" applyProtection="0"/>
    <xf numFmtId="0" fontId="24" fillId="0" borderId="20" applyNumberFormat="0" applyFill="0" applyAlignment="0" applyProtection="0"/>
    <xf numFmtId="214" fontId="6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6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9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12" borderId="0" applyNumberFormat="0" applyBorder="0" applyAlignment="0" applyProtection="0"/>
    <xf numFmtId="195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5" fillId="0" borderId="0" applyProtection="0"/>
    <xf numFmtId="0" fontId="34" fillId="0" borderId="0" applyProtection="0"/>
    <xf numFmtId="0" fontId="35" fillId="0" borderId="0" applyProtection="0"/>
    <xf numFmtId="0" fontId="36" fillId="0" borderId="0" applyProtection="0"/>
    <xf numFmtId="0" fontId="36" fillId="0" borderId="0" applyProtection="0"/>
    <xf numFmtId="0" fontId="37" fillId="0" borderId="0" applyProtection="0"/>
    <xf numFmtId="0" fontId="38" fillId="0" borderId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50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42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32" fillId="0" borderId="19" applyNumberFormat="0" applyFill="0" applyAlignment="0" applyProtection="0"/>
    <xf numFmtId="0" fontId="28" fillId="0" borderId="0" applyProtection="0"/>
    <xf numFmtId="0" fontId="29" fillId="0" borderId="0" applyProtection="0"/>
    <xf numFmtId="0" fontId="29" fillId="0" borderId="0" applyProtection="0"/>
    <xf numFmtId="43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1" fillId="0" borderId="0"/>
    <xf numFmtId="0" fontId="6" fillId="0" borderId="0"/>
    <xf numFmtId="0" fontId="8" fillId="10" borderId="9" applyNumberFormat="0" applyFont="0" applyAlignment="0" applyProtection="0"/>
    <xf numFmtId="0" fontId="6" fillId="0" borderId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2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16" fillId="14" borderId="0" applyNumberFormat="0" applyBorder="0" applyAlignment="0" applyProtection="0"/>
    <xf numFmtId="0" fontId="10" fillId="25" borderId="0" applyNumberFormat="0" applyBorder="0" applyAlignment="0" applyProtection="0"/>
    <xf numFmtId="0" fontId="51" fillId="0" borderId="0"/>
    <xf numFmtId="0" fontId="51" fillId="0" borderId="0"/>
    <xf numFmtId="0" fontId="27" fillId="0" borderId="0" applyProtection="0"/>
    <xf numFmtId="0" fontId="50" fillId="0" borderId="0" applyFont="0" applyFill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33" fillId="0" borderId="0" applyProtection="0"/>
    <xf numFmtId="2" fontId="6" fillId="0" borderId="0" applyFont="0" applyFill="0" applyBorder="0" applyAlignment="0" applyProtection="0"/>
    <xf numFmtId="0" fontId="22" fillId="0" borderId="12" applyNumberFormat="0" applyFill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6" fillId="0" borderId="0"/>
    <xf numFmtId="0" fontId="18" fillId="0" borderId="0"/>
    <xf numFmtId="0" fontId="55" fillId="0" borderId="0">
      <protection locked="0"/>
    </xf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37" fillId="0" borderId="0" applyProtection="0"/>
    <xf numFmtId="0" fontId="5" fillId="0" borderId="0" applyProtection="0"/>
    <xf numFmtId="172" fontId="8" fillId="0" borderId="0" applyFont="0" applyFill="0" applyBorder="0" applyAlignment="0" applyProtection="0"/>
    <xf numFmtId="0" fontId="7" fillId="0" borderId="0"/>
    <xf numFmtId="0" fontId="8" fillId="24" borderId="0" applyNumberFormat="0" applyBorder="0" applyAlignment="0" applyProtection="0"/>
    <xf numFmtId="0" fontId="7" fillId="0" borderId="0"/>
    <xf numFmtId="0" fontId="8" fillId="26" borderId="0" applyNumberFormat="0" applyBorder="0" applyAlignment="0" applyProtection="0"/>
    <xf numFmtId="0" fontId="8" fillId="25" borderId="0" applyNumberFormat="0" applyBorder="0" applyAlignment="0" applyProtection="0"/>
    <xf numFmtId="0" fontId="8" fillId="9" borderId="0" applyNumberFormat="0" applyBorder="0" applyAlignment="0" applyProtection="0"/>
    <xf numFmtId="0" fontId="8" fillId="23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9" fillId="9" borderId="0" applyNumberFormat="0" applyBorder="0" applyAlignment="0" applyProtection="0"/>
    <xf numFmtId="0" fontId="8" fillId="8" borderId="0" applyNumberFormat="0" applyBorder="0" applyAlignment="0" applyProtection="0"/>
    <xf numFmtId="194" fontId="6" fillId="0" borderId="0" applyFont="0" applyFill="0" applyBorder="0" applyAlignment="0" applyProtection="0"/>
    <xf numFmtId="0" fontId="9" fillId="29" borderId="0" applyNumberFormat="0" applyBorder="0" applyAlignment="0" applyProtection="0"/>
    <xf numFmtId="0" fontId="33" fillId="0" borderId="0" applyProtection="0"/>
    <xf numFmtId="0" fontId="33" fillId="0" borderId="0" applyProtection="0"/>
    <xf numFmtId="0" fontId="35" fillId="0" borderId="0" applyNumberFormat="0" applyFont="0" applyFill="0" applyBorder="0" applyAlignment="0" applyProtection="0"/>
    <xf numFmtId="0" fontId="35" fillId="0" borderId="0" applyProtection="0"/>
    <xf numFmtId="2" fontId="50" fillId="0" borderId="0" applyFont="0" applyFill="0" applyBorder="0" applyAlignment="0" applyProtection="0"/>
    <xf numFmtId="0" fontId="5" fillId="0" borderId="0" applyFill="0" applyBorder="0"/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28" fillId="0" borderId="0" applyProtection="0"/>
    <xf numFmtId="0" fontId="32" fillId="0" borderId="19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24" fillId="0" borderId="20" applyNumberFormat="0" applyFill="0" applyAlignment="0" applyProtection="0"/>
    <xf numFmtId="0" fontId="5" fillId="0" borderId="0">
      <alignment vertical="center"/>
    </xf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9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30" fillId="11" borderId="6" applyNumberFormat="0" applyAlignment="0" applyProtection="0"/>
    <xf numFmtId="0" fontId="16" fillId="14" borderId="0" applyNumberFormat="0" applyBorder="0" applyAlignment="0" applyProtection="0"/>
    <xf numFmtId="0" fontId="50" fillId="0" borderId="0" applyFont="0" applyFill="0" applyBorder="0" applyAlignment="0" applyProtection="0"/>
    <xf numFmtId="0" fontId="51" fillId="0" borderId="0"/>
    <xf numFmtId="0" fontId="9" fillId="15" borderId="0" applyNumberFormat="0" applyBorder="0" applyAlignment="0" applyProtection="0"/>
    <xf numFmtId="0" fontId="36" fillId="0" borderId="0" applyProtection="0"/>
    <xf numFmtId="0" fontId="26" fillId="0" borderId="0"/>
    <xf numFmtId="186" fontId="6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8" fillId="2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26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14" borderId="0" applyNumberFormat="0" applyBorder="0" applyAlignment="0" applyProtection="0"/>
    <xf numFmtId="0" fontId="8" fillId="26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9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21" borderId="0" applyNumberFormat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5" fillId="0" borderId="0" applyProtection="0"/>
    <xf numFmtId="0" fontId="34" fillId="0" borderId="0" applyProtection="0"/>
    <xf numFmtId="0" fontId="35" fillId="0" borderId="0" applyProtection="0"/>
    <xf numFmtId="0" fontId="36" fillId="0" borderId="0" applyProtection="0"/>
    <xf numFmtId="0" fontId="36" fillId="0" borderId="0" applyProtection="0"/>
    <xf numFmtId="0" fontId="37" fillId="0" borderId="0" applyProtection="0"/>
    <xf numFmtId="0" fontId="38" fillId="0" borderId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27" fillId="0" borderId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2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32" fillId="0" borderId="19" applyNumberFormat="0" applyFill="0" applyAlignment="0" applyProtection="0"/>
    <xf numFmtId="0" fontId="28" fillId="0" borderId="0" applyProtection="0"/>
    <xf numFmtId="0" fontId="29" fillId="0" borderId="0" applyProtection="0"/>
    <xf numFmtId="0" fontId="61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/>
    <xf numFmtId="0" fontId="8" fillId="10" borderId="9" applyNumberFormat="0" applyFont="0" applyAlignment="0" applyProtection="0"/>
    <xf numFmtId="43" fontId="44" fillId="0" borderId="0" applyFont="0" applyFill="0" applyBorder="0" applyAlignment="0" applyProtection="0"/>
    <xf numFmtId="0" fontId="7" fillId="0" borderId="0"/>
    <xf numFmtId="0" fontId="8" fillId="14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15" borderId="0" applyNumberFormat="0" applyBorder="0" applyAlignment="0" applyProtection="0"/>
    <xf numFmtId="0" fontId="9" fillId="2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16" fillId="14" borderId="0" applyNumberFormat="0" applyBorder="0" applyAlignment="0" applyProtection="0"/>
    <xf numFmtId="0" fontId="30" fillId="11" borderId="6" applyNumberFormat="0" applyAlignment="0" applyProtection="0"/>
    <xf numFmtId="0" fontId="6" fillId="0" borderId="0"/>
    <xf numFmtId="0" fontId="31" fillId="0" borderId="16" applyNumberFormat="0" applyFill="0" applyAlignment="0" applyProtection="0"/>
    <xf numFmtId="0" fontId="51" fillId="0" borderId="0"/>
    <xf numFmtId="0" fontId="52" fillId="0" borderId="0"/>
    <xf numFmtId="0" fontId="27" fillId="0" borderId="0" applyProtection="0"/>
    <xf numFmtId="0" fontId="50" fillId="0" borderId="0" applyFont="0" applyFill="0" applyBorder="0" applyAlignment="0" applyProtection="0"/>
    <xf numFmtId="0" fontId="9" fillId="31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33" fillId="0" borderId="0" applyProtection="0"/>
    <xf numFmtId="2" fontId="50" fillId="0" borderId="0" applyFont="0" applyFill="0" applyBorder="0" applyAlignment="0" applyProtection="0"/>
    <xf numFmtId="0" fontId="42" fillId="0" borderId="18" applyNumberFormat="0" applyFill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6" fillId="0" borderId="0"/>
    <xf numFmtId="0" fontId="6" fillId="10" borderId="9" applyNumberFormat="0" applyFont="0" applyAlignment="0" applyProtection="0"/>
    <xf numFmtId="0" fontId="7" fillId="0" borderId="0"/>
    <xf numFmtId="0" fontId="7" fillId="0" borderId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29" borderId="0" applyNumberFormat="0" applyBorder="0" applyAlignment="0" applyProtection="0"/>
    <xf numFmtId="0" fontId="33" fillId="0" borderId="0" applyProtection="0"/>
    <xf numFmtId="0" fontId="34" fillId="0" borderId="0" applyProtection="0"/>
    <xf numFmtId="0" fontId="34" fillId="0" borderId="0" applyProtection="0"/>
    <xf numFmtId="0" fontId="35" fillId="0" borderId="0" applyProtection="0"/>
    <xf numFmtId="0" fontId="37" fillId="0" borderId="0" applyProtection="0"/>
    <xf numFmtId="2" fontId="6" fillId="0" borderId="0" applyFont="0" applyFill="0" applyBorder="0" applyAlignment="0" applyProtection="0"/>
    <xf numFmtId="2" fontId="50" fillId="0" borderId="0" applyFont="0" applyFill="0" applyBorder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32" fillId="0" borderId="19" applyNumberFormat="0" applyFill="0" applyAlignment="0" applyProtection="0"/>
    <xf numFmtId="0" fontId="29" fillId="0" borderId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6" fillId="0" borderId="0"/>
    <xf numFmtId="0" fontId="50" fillId="0" borderId="23" applyNumberFormat="0" applyFont="0" applyFill="0" applyAlignment="0" applyProtection="0"/>
    <xf numFmtId="0" fontId="8" fillId="27" borderId="0" applyNumberFormat="0" applyBorder="0" applyAlignment="0" applyProtection="0"/>
    <xf numFmtId="0" fontId="9" fillId="21" borderId="0" applyNumberFormat="0" applyBorder="0" applyAlignment="0" applyProtection="0"/>
    <xf numFmtId="0" fontId="9" fillId="27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6" fillId="14" borderId="0" applyNumberFormat="0" applyBorder="0" applyAlignment="0" applyProtection="0"/>
    <xf numFmtId="0" fontId="30" fillId="11" borderId="6" applyNumberFormat="0" applyAlignment="0" applyProtection="0"/>
    <xf numFmtId="0" fontId="51" fillId="0" borderId="0"/>
    <xf numFmtId="0" fontId="27" fillId="0" borderId="0" applyProtection="0"/>
    <xf numFmtId="0" fontId="32" fillId="0" borderId="0" applyNumberFormat="0" applyFill="0" applyBorder="0" applyAlignment="0" applyProtection="0"/>
    <xf numFmtId="0" fontId="15" fillId="26" borderId="6" applyNumberFormat="0" applyAlignment="0" applyProtection="0"/>
    <xf numFmtId="0" fontId="26" fillId="0" borderId="0"/>
    <xf numFmtId="0" fontId="38" fillId="0" borderId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5" fillId="0" borderId="0">
      <alignment vertical="center"/>
    </xf>
    <xf numFmtId="0" fontId="7" fillId="0" borderId="0"/>
    <xf numFmtId="0" fontId="8" fillId="24" borderId="0" applyNumberFormat="0" applyBorder="0" applyAlignment="0" applyProtection="0"/>
    <xf numFmtId="0" fontId="7" fillId="0" borderId="0"/>
    <xf numFmtId="0" fontId="8" fillId="12" borderId="0" applyNumberFormat="0" applyBorder="0" applyAlignment="0" applyProtection="0"/>
    <xf numFmtId="0" fontId="8" fillId="25" borderId="0" applyNumberFormat="0" applyBorder="0" applyAlignment="0" applyProtection="0"/>
    <xf numFmtId="0" fontId="8" fillId="8" borderId="0" applyNumberFormat="0" applyBorder="0" applyAlignment="0" applyProtection="0"/>
    <xf numFmtId="0" fontId="8" fillId="23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9" fillId="9" borderId="0" applyNumberFormat="0" applyBorder="0" applyAlignment="0" applyProtection="0"/>
    <xf numFmtId="0" fontId="8" fillId="8" borderId="0" applyNumberFormat="0" applyBorder="0" applyAlignment="0" applyProtection="0"/>
    <xf numFmtId="0" fontId="6" fillId="0" borderId="0"/>
    <xf numFmtId="0" fontId="9" fillId="27" borderId="0" applyNumberFormat="0" applyBorder="0" applyAlignment="0" applyProtection="0"/>
    <xf numFmtId="0" fontId="33" fillId="0" borderId="0" applyProtection="0"/>
    <xf numFmtId="0" fontId="5" fillId="0" borderId="0" applyProtection="0"/>
    <xf numFmtId="0" fontId="37" fillId="0" borderId="0" applyProtection="0"/>
    <xf numFmtId="0" fontId="35" fillId="0" borderId="0" applyProtection="0"/>
    <xf numFmtId="2" fontId="50" fillId="0" borderId="0" applyFont="0" applyFill="0" applyBorder="0" applyAlignment="0" applyProtection="0"/>
    <xf numFmtId="0" fontId="38" fillId="0" borderId="0" applyProtection="0"/>
    <xf numFmtId="0" fontId="58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28" fillId="0" borderId="0" applyProtection="0"/>
    <xf numFmtId="0" fontId="32" fillId="0" borderId="19" applyNumberFormat="0" applyFill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5" fillId="0" borderId="0">
      <alignment vertical="center"/>
    </xf>
    <xf numFmtId="43" fontId="44" fillId="0" borderId="0" applyFont="0" applyFill="0" applyBorder="0" applyAlignment="0" applyProtection="0"/>
    <xf numFmtId="0" fontId="9" fillId="27" borderId="0" applyNumberFormat="0" applyBorder="0" applyAlignment="0" applyProtection="0"/>
    <xf numFmtId="0" fontId="8" fillId="14" borderId="0" applyNumberFormat="0" applyBorder="0" applyAlignment="0" applyProtection="0"/>
    <xf numFmtId="0" fontId="9" fillId="31" borderId="0" applyNumberFormat="0" applyBorder="0" applyAlignment="0" applyProtection="0"/>
    <xf numFmtId="0" fontId="9" fillId="28" borderId="0" applyNumberFormat="0" applyBorder="0" applyAlignment="0" applyProtection="0"/>
    <xf numFmtId="0" fontId="9" fillId="22" borderId="0" applyNumberFormat="0" applyBorder="0" applyAlignment="0" applyProtection="0"/>
    <xf numFmtId="0" fontId="9" fillId="29" borderId="0" applyNumberFormat="0" applyBorder="0" applyAlignment="0" applyProtection="0"/>
    <xf numFmtId="0" fontId="30" fillId="11" borderId="6" applyNumberFormat="0" applyAlignment="0" applyProtection="0"/>
    <xf numFmtId="0" fontId="16" fillId="14" borderId="0" applyNumberFormat="0" applyBorder="0" applyAlignment="0" applyProtection="0"/>
    <xf numFmtId="0" fontId="50" fillId="0" borderId="0" applyFont="0" applyFill="0" applyBorder="0" applyAlignment="0" applyProtection="0"/>
    <xf numFmtId="0" fontId="51" fillId="0" borderId="0"/>
    <xf numFmtId="0" fontId="9" fillId="15" borderId="0" applyNumberFormat="0" applyBorder="0" applyAlignment="0" applyProtection="0"/>
    <xf numFmtId="0" fontId="53" fillId="0" borderId="0">
      <protection locked="0"/>
    </xf>
    <xf numFmtId="0" fontId="35" fillId="0" borderId="0" applyProtection="0"/>
    <xf numFmtId="0" fontId="26" fillId="0" borderId="0"/>
    <xf numFmtId="172" fontId="6" fillId="0" borderId="0" applyFont="0" applyFill="0" applyBorder="0" applyAlignment="0" applyProtection="0"/>
    <xf numFmtId="0" fontId="29" fillId="0" borderId="0" applyProtection="0"/>
    <xf numFmtId="0" fontId="1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7" fillId="0" borderId="0"/>
    <xf numFmtId="0" fontId="8" fillId="24" borderId="0" applyNumberFormat="0" applyBorder="0" applyAlignment="0" applyProtection="0"/>
    <xf numFmtId="0" fontId="8" fillId="14" borderId="0" applyNumberFormat="0" applyBorder="0" applyAlignment="0" applyProtection="0"/>
    <xf numFmtId="0" fontId="8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23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21" borderId="0" applyNumberFormat="0" applyBorder="0" applyAlignment="0" applyProtection="0"/>
    <xf numFmtId="19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54" fillId="0" borderId="0">
      <protection locked="0"/>
    </xf>
    <xf numFmtId="0" fontId="5" fillId="0" borderId="0" applyProtection="0"/>
    <xf numFmtId="0" fontId="34" fillId="0" borderId="0" applyProtection="0"/>
    <xf numFmtId="0" fontId="35" fillId="0" borderId="0" applyProtection="0"/>
    <xf numFmtId="0" fontId="36" fillId="0" borderId="0" applyProtection="0"/>
    <xf numFmtId="0" fontId="36" fillId="0" borderId="0" applyProtection="0"/>
    <xf numFmtId="0" fontId="38" fillId="0" borderId="0" applyProtection="0"/>
    <xf numFmtId="0" fontId="38" fillId="0" borderId="0" applyProtection="0"/>
    <xf numFmtId="2" fontId="6" fillId="0" borderId="0" applyFont="0" applyFill="0" applyBorder="0" applyAlignment="0" applyProtection="0"/>
    <xf numFmtId="198" fontId="49" fillId="0" borderId="0">
      <protection locked="0"/>
    </xf>
    <xf numFmtId="0" fontId="57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28" fillId="0" borderId="0" applyProtection="0"/>
    <xf numFmtId="0" fontId="28" fillId="0" borderId="0" applyProtection="0"/>
    <xf numFmtId="0" fontId="29" fillId="0" borderId="0" applyProtection="0"/>
    <xf numFmtId="0" fontId="16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3" fontId="8" fillId="0" borderId="0" applyFont="0" applyFill="0" applyBorder="0" applyAlignment="0" applyProtection="0"/>
    <xf numFmtId="186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8" fillId="23" borderId="0" applyNumberFormat="0" applyBorder="0" applyAlignment="0" applyProtection="0"/>
    <xf numFmtId="0" fontId="8" fillId="16" borderId="0" applyNumberFormat="0" applyBorder="0" applyAlignment="0" applyProtection="0"/>
    <xf numFmtId="0" fontId="9" fillId="28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21" borderId="0" applyNumberFormat="0" applyBorder="0" applyAlignment="0" applyProtection="0"/>
    <xf numFmtId="0" fontId="9" fillId="3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15" borderId="0" applyNumberFormat="0" applyBorder="0" applyAlignment="0" applyProtection="0"/>
    <xf numFmtId="0" fontId="16" fillId="23" borderId="0" applyNumberFormat="0" applyBorder="0" applyAlignment="0" applyProtection="0"/>
    <xf numFmtId="0" fontId="10" fillId="25" borderId="0" applyNumberFormat="0" applyBorder="0" applyAlignment="0" applyProtection="0"/>
    <xf numFmtId="0" fontId="30" fillId="11" borderId="6" applyNumberFormat="0" applyAlignment="0" applyProtection="0"/>
    <xf numFmtId="0" fontId="6" fillId="0" borderId="0"/>
    <xf numFmtId="0" fontId="31" fillId="0" borderId="16" applyNumberFormat="0" applyFill="0" applyAlignment="0" applyProtection="0"/>
    <xf numFmtId="0" fontId="51" fillId="0" borderId="0"/>
    <xf numFmtId="0" fontId="50" fillId="0" borderId="0" applyFont="0" applyFill="0" applyBorder="0" applyAlignment="0" applyProtection="0"/>
    <xf numFmtId="0" fontId="27" fillId="0" borderId="0" applyProtection="0"/>
    <xf numFmtId="0" fontId="50" fillId="0" borderId="0" applyFont="0" applyFill="0" applyBorder="0" applyAlignment="0" applyProtection="0"/>
    <xf numFmtId="0" fontId="9" fillId="22" borderId="0" applyNumberFormat="0" applyBorder="0" applyAlignment="0" applyProtection="0"/>
    <xf numFmtId="0" fontId="9" fillId="29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5" fillId="0" borderId="0" applyProtection="0"/>
    <xf numFmtId="0" fontId="41" fillId="0" borderId="17" applyNumberFormat="0" applyFill="0" applyAlignment="0" applyProtection="0"/>
    <xf numFmtId="0" fontId="32" fillId="0" borderId="19" applyNumberFormat="0" applyFill="0" applyAlignment="0" applyProtection="0"/>
    <xf numFmtId="43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8" fillId="9" borderId="0" applyNumberFormat="0" applyBorder="0" applyAlignment="0" applyProtection="0"/>
    <xf numFmtId="0" fontId="8" fillId="14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195" fontId="6" fillId="0" borderId="0" applyFont="0" applyFill="0" applyBorder="0" applyAlignment="0" applyProtection="0"/>
    <xf numFmtId="0" fontId="34" fillId="0" borderId="0" applyProtection="0"/>
    <xf numFmtId="0" fontId="34" fillId="0" borderId="0" applyProtection="0"/>
    <xf numFmtId="0" fontId="34" fillId="0" borderId="0" applyProtection="0"/>
    <xf numFmtId="0" fontId="37" fillId="0" borderId="0" applyProtection="0"/>
    <xf numFmtId="0" fontId="37" fillId="0" borderId="0" applyProtection="0"/>
    <xf numFmtId="2" fontId="50" fillId="0" borderId="0" applyFont="0" applyFill="0" applyBorder="0" applyAlignment="0" applyProtection="0"/>
    <xf numFmtId="2" fontId="50" fillId="0" borderId="0" applyFont="0" applyFill="0" applyBorder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29" fillId="0" borderId="0" applyProtection="0"/>
    <xf numFmtId="0" fontId="29" fillId="0" borderId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46" fillId="0" borderId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31" borderId="0" applyNumberFormat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0" fontId="9" fillId="15" borderId="0" applyNumberFormat="0" applyBorder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27" fillId="0" borderId="0" applyProtection="0"/>
    <xf numFmtId="0" fontId="27" fillId="0" borderId="0" applyProtection="0"/>
    <xf numFmtId="0" fontId="6" fillId="0" borderId="0"/>
    <xf numFmtId="0" fontId="26" fillId="0" borderId="0"/>
    <xf numFmtId="0" fontId="38" fillId="0" borderId="0" applyProtection="0"/>
    <xf numFmtId="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1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10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8" borderId="0" applyNumberFormat="0" applyBorder="0" applyAlignment="0" applyProtection="0"/>
    <xf numFmtId="0" fontId="8" fillId="10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8" fillId="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9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14" borderId="0" applyNumberFormat="0" applyBorder="0" applyAlignment="0" applyProtection="0"/>
    <xf numFmtId="0" fontId="9" fillId="29" borderId="0" applyNumberFormat="0" applyBorder="0" applyAlignment="0" applyProtection="0"/>
    <xf numFmtId="0" fontId="9" fillId="21" borderId="0" applyNumberFormat="0" applyBorder="0" applyAlignment="0" applyProtection="0"/>
    <xf numFmtId="0" fontId="26" fillId="0" borderId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33" fillId="0" borderId="0" applyProtection="0"/>
    <xf numFmtId="0" fontId="35" fillId="0" borderId="0" applyNumberFormat="0" applyFont="0" applyFill="0" applyBorder="0" applyAlignment="0" applyProtection="0"/>
    <xf numFmtId="0" fontId="5" fillId="0" borderId="0" applyProtection="0"/>
    <xf numFmtId="0" fontId="5" fillId="0" borderId="0" applyProtection="0"/>
    <xf numFmtId="0" fontId="34" fillId="0" borderId="0" applyProtection="0"/>
    <xf numFmtId="0" fontId="35" fillId="0" borderId="0" applyProtection="0"/>
    <xf numFmtId="0" fontId="35" fillId="0" borderId="0" applyProtection="0"/>
    <xf numFmtId="0" fontId="36" fillId="0" borderId="0" applyProtection="0"/>
    <xf numFmtId="0" fontId="36" fillId="0" borderId="0" applyProtection="0"/>
    <xf numFmtId="0" fontId="37" fillId="0" borderId="0" applyProtection="0"/>
    <xf numFmtId="0" fontId="38" fillId="0" borderId="0" applyProtection="0"/>
    <xf numFmtId="0" fontId="38" fillId="0" borderId="0" applyProtection="0"/>
    <xf numFmtId="0" fontId="38" fillId="0" borderId="0" applyProtection="0"/>
    <xf numFmtId="2" fontId="6" fillId="0" borderId="0" applyFont="0" applyFill="0" applyBorder="0" applyAlignment="0" applyProtection="0"/>
    <xf numFmtId="199" fontId="49" fillId="0" borderId="0">
      <protection locked="0"/>
    </xf>
    <xf numFmtId="2" fontId="50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32" fillId="0" borderId="19" applyNumberFormat="0" applyFill="0" applyAlignment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9" fillId="0" borderId="0" applyProtection="0"/>
    <xf numFmtId="0" fontId="16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208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18" fillId="0" borderId="0"/>
    <xf numFmtId="0" fontId="6" fillId="0" borderId="0"/>
    <xf numFmtId="0" fontId="5" fillId="0" borderId="0">
      <alignment vertical="center"/>
    </xf>
    <xf numFmtId="0" fontId="6" fillId="10" borderId="9" applyNumberFormat="0" applyFont="0" applyAlignment="0" applyProtection="0"/>
    <xf numFmtId="9" fontId="6" fillId="0" borderId="0" applyFont="0" applyFill="0" applyBorder="0" applyAlignment="0" applyProtection="0"/>
    <xf numFmtId="0" fontId="41" fillId="0" borderId="17" applyNumberFormat="0" applyFill="0" applyAlignment="0" applyProtection="0"/>
    <xf numFmtId="0" fontId="6" fillId="0" borderId="0"/>
    <xf numFmtId="0" fontId="8" fillId="24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28" borderId="0" applyNumberFormat="0" applyBorder="0" applyAlignment="0" applyProtection="0"/>
    <xf numFmtId="0" fontId="9" fillId="2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" fillId="25" borderId="0" applyNumberFormat="0" applyBorder="0" applyAlignment="0" applyProtection="0"/>
    <xf numFmtId="0" fontId="30" fillId="11" borderId="6" applyNumberFormat="0" applyAlignment="0" applyProtection="0"/>
    <xf numFmtId="0" fontId="30" fillId="11" borderId="6" applyNumberFormat="0" applyAlignment="0" applyProtection="0"/>
    <xf numFmtId="0" fontId="6" fillId="0" borderId="0"/>
    <xf numFmtId="0" fontId="12" fillId="18" borderId="7" applyNumberFormat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27" fillId="0" borderId="0" applyProtection="0"/>
    <xf numFmtId="0" fontId="50" fillId="0" borderId="0" applyFont="0" applyFill="0" applyBorder="0" applyAlignment="0" applyProtection="0"/>
    <xf numFmtId="0" fontId="53" fillId="0" borderId="0">
      <protection locked="0"/>
    </xf>
    <xf numFmtId="0" fontId="9" fillId="22" borderId="0" applyNumberFormat="0" applyBorder="0" applyAlignment="0" applyProtection="0"/>
    <xf numFmtId="0" fontId="9" fillId="29" borderId="0" applyNumberFormat="0" applyBorder="0" applyAlignment="0" applyProtection="0"/>
    <xf numFmtId="0" fontId="9" fillId="15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195" fontId="6" fillId="0" borderId="0" applyFont="0" applyFill="0" applyBorder="0" applyAlignment="0" applyProtection="0"/>
    <xf numFmtId="0" fontId="34" fillId="0" borderId="0" applyProtection="0"/>
    <xf numFmtId="0" fontId="36" fillId="0" borderId="0" applyProtection="0"/>
    <xf numFmtId="0" fontId="41" fillId="0" borderId="17" applyNumberFormat="0" applyFill="0" applyAlignment="0" applyProtection="0"/>
    <xf numFmtId="0" fontId="32" fillId="0" borderId="19" applyNumberFormat="0" applyFill="0" applyAlignment="0" applyProtection="0"/>
    <xf numFmtId="0" fontId="29" fillId="0" borderId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1" fillId="0" borderId="0"/>
    <xf numFmtId="0" fontId="6" fillId="0" borderId="0"/>
    <xf numFmtId="9" fontId="8" fillId="0" borderId="0" applyFont="0" applyFill="0" applyBorder="0" applyAlignment="0" applyProtection="0"/>
    <xf numFmtId="170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5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5" fillId="0" borderId="0">
      <alignment vertical="center"/>
    </xf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6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8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5" fillId="0" borderId="0">
      <alignment vertical="center"/>
    </xf>
    <xf numFmtId="171" fontId="1" fillId="0" borderId="0" applyFont="0" applyFill="0" applyBorder="0" applyAlignment="0" applyProtection="0"/>
    <xf numFmtId="0" fontId="5" fillId="0" borderId="0">
      <alignment vertical="center"/>
    </xf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" fillId="0" borderId="0">
      <alignment vertical="center"/>
    </xf>
    <xf numFmtId="171" fontId="1" fillId="0" borderId="0" applyFont="0" applyFill="0" applyBorder="0" applyAlignment="0" applyProtection="0"/>
    <xf numFmtId="0" fontId="1" fillId="0" borderId="0"/>
    <xf numFmtId="171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172" fontId="5" fillId="0" borderId="0" applyFont="0" applyFill="0" applyBorder="0" applyAlignment="0" applyProtection="0"/>
    <xf numFmtId="0" fontId="6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2" fontId="6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" fillId="0" borderId="0">
      <alignment vertical="center"/>
    </xf>
    <xf numFmtId="172" fontId="5" fillId="0" borderId="0" applyFont="0" applyFill="0" applyBorder="0" applyAlignment="0" applyProtection="0"/>
    <xf numFmtId="0" fontId="8" fillId="11" borderId="0" applyNumberFormat="0" applyBorder="0" applyAlignment="0" applyProtection="0"/>
    <xf numFmtId="0" fontId="7" fillId="0" borderId="0">
      <alignment vertical="top"/>
    </xf>
    <xf numFmtId="172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>
      <alignment vertical="center"/>
    </xf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6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>
      <alignment vertical="top"/>
    </xf>
    <xf numFmtId="0" fontId="5" fillId="0" borderId="0">
      <alignment vertical="center"/>
    </xf>
    <xf numFmtId="172" fontId="5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7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5" fontId="6" fillId="0" borderId="0" applyFont="0" applyFill="0" applyBorder="0" applyAlignment="0" applyProtection="0"/>
    <xf numFmtId="0" fontId="6" fillId="10" borderId="9" applyNumberFormat="0" applyFont="0" applyAlignment="0" applyProtection="0"/>
    <xf numFmtId="18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17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0" fontId="6" fillId="10" borderId="9" applyNumberFormat="0" applyFont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72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8" fillId="0" borderId="0" applyNumberFormat="0" applyFont="0" applyFill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5" fillId="0" borderId="0"/>
    <xf numFmtId="0" fontId="45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45" fillId="0" borderId="0"/>
    <xf numFmtId="0" fontId="5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8" fillId="10" borderId="9" applyNumberFormat="0" applyFont="0" applyAlignment="0" applyProtection="0"/>
    <xf numFmtId="0" fontId="5" fillId="0" borderId="0">
      <alignment vertical="center"/>
    </xf>
    <xf numFmtId="0" fontId="6" fillId="0" borderId="0"/>
    <xf numFmtId="0" fontId="6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45" fillId="0" borderId="0"/>
    <xf numFmtId="0" fontId="6" fillId="0" borderId="0"/>
    <xf numFmtId="0" fontId="8" fillId="10" borderId="9" applyNumberFormat="0" applyFont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6" fillId="0" borderId="0" applyFont="0" applyFill="0" applyBorder="0" applyAlignment="0" applyProtection="0"/>
    <xf numFmtId="0" fontId="8" fillId="10" borderId="9" applyNumberFormat="0" applyFont="0" applyAlignment="0" applyProtection="0"/>
    <xf numFmtId="0" fontId="5" fillId="0" borderId="0">
      <alignment vertical="center"/>
    </xf>
    <xf numFmtId="0" fontId="5" fillId="0" borderId="0">
      <alignment vertical="center"/>
    </xf>
    <xf numFmtId="43" fontId="6" fillId="0" borderId="0" applyFont="0" applyFill="0" applyBorder="0" applyAlignment="0" applyProtection="0"/>
    <xf numFmtId="0" fontId="8" fillId="0" borderId="0"/>
    <xf numFmtId="0" fontId="8" fillId="0" borderId="0"/>
    <xf numFmtId="0" fontId="5" fillId="0" borderId="0">
      <alignment vertical="center"/>
    </xf>
    <xf numFmtId="0" fontId="45" fillId="0" borderId="0"/>
    <xf numFmtId="0" fontId="6" fillId="0" borderId="0"/>
    <xf numFmtId="0" fontId="8" fillId="10" borderId="9" applyNumberFormat="0" applyFont="0" applyAlignment="0" applyProtection="0"/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0" fontId="8" fillId="10" borderId="9" applyNumberFormat="0" applyFont="0" applyAlignment="0" applyProtection="0"/>
    <xf numFmtId="43" fontId="6" fillId="0" borderId="0" applyFont="0" applyFill="0" applyBorder="0" applyAlignment="0" applyProtection="0"/>
    <xf numFmtId="0" fontId="45" fillId="0" borderId="0"/>
    <xf numFmtId="0" fontId="5" fillId="0" borderId="0">
      <alignment vertical="center"/>
    </xf>
    <xf numFmtId="0" fontId="8" fillId="10" borderId="9" applyNumberFormat="0" applyFont="0" applyAlignment="0" applyProtection="0"/>
    <xf numFmtId="0" fontId="45" fillId="0" borderId="0"/>
    <xf numFmtId="0" fontId="18" fillId="0" borderId="0"/>
    <xf numFmtId="0" fontId="5" fillId="0" borderId="0">
      <alignment vertical="center"/>
    </xf>
    <xf numFmtId="0" fontId="6" fillId="0" borderId="0"/>
    <xf numFmtId="0" fontId="18" fillId="0" borderId="0"/>
    <xf numFmtId="0" fontId="6" fillId="0" borderId="0"/>
    <xf numFmtId="0" fontId="45" fillId="0" borderId="0"/>
    <xf numFmtId="0" fontId="5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9" fontId="62" fillId="0" borderId="0" applyFont="0" applyFill="0" applyBorder="0" applyAlignment="0" applyProtection="0"/>
    <xf numFmtId="0" fontId="6" fillId="0" borderId="0"/>
    <xf numFmtId="0" fontId="5" fillId="0" borderId="0">
      <alignment vertical="center"/>
    </xf>
    <xf numFmtId="0" fontId="8" fillId="10" borderId="9" applyNumberFormat="0" applyFont="0" applyAlignment="0" applyProtection="0"/>
    <xf numFmtId="43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9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45" fillId="0" borderId="0"/>
    <xf numFmtId="0" fontId="6" fillId="0" borderId="0"/>
    <xf numFmtId="0" fontId="8" fillId="0" borderId="0"/>
    <xf numFmtId="0" fontId="5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6" fillId="0" borderId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9" fontId="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8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10" borderId="9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1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45" fillId="0" borderId="0"/>
    <xf numFmtId="0" fontId="6" fillId="0" borderId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0" fontId="8" fillId="0" borderId="0" applyFont="0" applyFill="0" applyBorder="0" applyAlignment="0" applyProtection="0"/>
    <xf numFmtId="186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0" fontId="5" fillId="0" borderId="0">
      <alignment vertical="center"/>
    </xf>
    <xf numFmtId="0" fontId="8" fillId="0" borderId="0"/>
    <xf numFmtId="0" fontId="6" fillId="0" borderId="0"/>
    <xf numFmtId="0" fontId="8" fillId="10" borderId="9" applyNumberFormat="0" applyFont="0" applyAlignment="0" applyProtection="0"/>
    <xf numFmtId="0" fontId="6" fillId="0" borderId="0"/>
    <xf numFmtId="0" fontId="6" fillId="0" borderId="0"/>
    <xf numFmtId="21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5" fillId="0" borderId="0"/>
    <xf numFmtId="172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10" borderId="9" applyNumberFormat="0" applyFont="0" applyAlignment="0" applyProtection="0"/>
    <xf numFmtId="172" fontId="8" fillId="0" borderId="0" applyFont="0" applyFill="0" applyBorder="0" applyAlignment="0" applyProtection="0"/>
    <xf numFmtId="0" fontId="8" fillId="0" borderId="0"/>
    <xf numFmtId="0" fontId="8" fillId="0" borderId="0"/>
    <xf numFmtId="0" fontId="5" fillId="0" borderId="0">
      <alignment vertical="center"/>
    </xf>
    <xf numFmtId="0" fontId="45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0" fontId="8" fillId="10" borderId="9" applyNumberFormat="0" applyFont="0" applyAlignment="0" applyProtection="0"/>
    <xf numFmtId="0" fontId="5" fillId="0" borderId="0">
      <alignment vertical="center"/>
    </xf>
    <xf numFmtId="172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8" fillId="0" borderId="0"/>
    <xf numFmtId="0" fontId="6" fillId="0" borderId="0"/>
    <xf numFmtId="0" fontId="8" fillId="10" borderId="9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9" fontId="6" fillId="0" borderId="0" applyFont="0" applyFill="0" applyBorder="0" applyAlignment="0" applyProtection="0"/>
    <xf numFmtId="0" fontId="5" fillId="0" borderId="0">
      <alignment vertical="center"/>
    </xf>
    <xf numFmtId="0" fontId="45" fillId="0" borderId="0"/>
    <xf numFmtId="0" fontId="45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18" fillId="0" borderId="0"/>
    <xf numFmtId="0" fontId="6" fillId="0" borderId="0"/>
    <xf numFmtId="0" fontId="5" fillId="0" borderId="0">
      <alignment vertical="center"/>
    </xf>
    <xf numFmtId="0" fontId="45" fillId="0" borderId="0"/>
    <xf numFmtId="0" fontId="6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207" fontId="6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45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18" fillId="0" borderId="0"/>
    <xf numFmtId="0" fontId="18" fillId="0" borderId="0"/>
    <xf numFmtId="0" fontId="18" fillId="0" borderId="0"/>
    <xf numFmtId="0" fontId="6" fillId="0" borderId="0"/>
    <xf numFmtId="0" fontId="6" fillId="0" borderId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5" fillId="0" borderId="0">
      <alignment vertical="center"/>
    </xf>
    <xf numFmtId="214" fontId="6" fillId="0" borderId="0" applyFont="0" applyFill="0" applyBorder="0" applyAlignment="0" applyProtection="0"/>
    <xf numFmtId="0" fontId="1" fillId="0" borderId="0"/>
    <xf numFmtId="0" fontId="45" fillId="0" borderId="0"/>
    <xf numFmtId="43" fontId="6" fillId="0" borderId="0" applyFont="0" applyFill="0" applyBorder="0" applyAlignment="0" applyProtection="0"/>
    <xf numFmtId="0" fontId="5" fillId="0" borderId="0">
      <alignment vertical="center"/>
    </xf>
    <xf numFmtId="43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7" fillId="0" borderId="0" applyFont="0" applyFill="0" applyBorder="0" applyAlignment="0" applyProtection="0"/>
    <xf numFmtId="210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5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0" fontId="8" fillId="0" borderId="0" applyFont="0" applyFill="0" applyBorder="0" applyAlignment="0" applyProtection="0"/>
    <xf numFmtId="17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1" fillId="0" borderId="0"/>
    <xf numFmtId="0" fontId="5" fillId="0" borderId="0">
      <alignment vertical="center"/>
    </xf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203" fontId="8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6" fillId="0" borderId="0"/>
    <xf numFmtId="215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15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3" fillId="0" borderId="2" xfId="0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left" indent="1"/>
    </xf>
    <xf numFmtId="0" fontId="3" fillId="0" borderId="3" xfId="0" applyFont="1" applyBorder="1" applyAlignment="1">
      <alignment horizontal="left" indent="1"/>
    </xf>
    <xf numFmtId="0" fontId="3" fillId="0" borderId="3" xfId="0" applyFont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/>
    </xf>
    <xf numFmtId="0" fontId="3" fillId="0" borderId="3" xfId="0" applyFont="1" applyBorder="1"/>
    <xf numFmtId="3" fontId="3" fillId="0" borderId="0" xfId="1" applyNumberFormat="1" applyFont="1" applyAlignment="1">
      <alignment horizontal="center" vertical="center"/>
    </xf>
    <xf numFmtId="0" fontId="4" fillId="2" borderId="1" xfId="0" applyFont="1" applyFill="1" applyBorder="1"/>
    <xf numFmtId="0" fontId="0" fillId="0" borderId="0" xfId="0" pivotButton="1"/>
    <xf numFmtId="0" fontId="4" fillId="2" borderId="0" xfId="0" applyFont="1" applyFill="1" applyAlignment="1">
      <alignment horizontal="center" vertical="center"/>
    </xf>
    <xf numFmtId="168" fontId="3" fillId="0" borderId="2" xfId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 applyAlignment="1">
      <alignment horizontal="left"/>
    </xf>
    <xf numFmtId="9" fontId="3" fillId="0" borderId="2" xfId="3" applyFont="1" applyBorder="1" applyAlignment="1">
      <alignment horizontal="center" vertical="center"/>
    </xf>
    <xf numFmtId="169" fontId="72" fillId="0" borderId="0" xfId="1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7" borderId="0" xfId="0" applyFont="1" applyFill="1" applyAlignment="1">
      <alignment horizontal="center" vertical="center"/>
    </xf>
    <xf numFmtId="169" fontId="72" fillId="0" borderId="0" xfId="0" applyNumberFormat="1" applyFont="1" applyAlignment="1">
      <alignment horizontal="center" vertical="center"/>
    </xf>
    <xf numFmtId="167" fontId="72" fillId="0" borderId="0" xfId="2" applyFont="1" applyAlignment="1">
      <alignment horizontal="center" vertical="center"/>
    </xf>
    <xf numFmtId="169" fontId="72" fillId="0" borderId="0" xfId="1" applyNumberFormat="1" applyFont="1" applyFill="1" applyBorder="1" applyAlignment="1">
      <alignment horizontal="center" vertical="center"/>
    </xf>
    <xf numFmtId="169" fontId="72" fillId="0" borderId="0" xfId="1" applyNumberFormat="1" applyFont="1" applyBorder="1" applyAlignment="1">
      <alignment horizontal="center" vertical="center"/>
    </xf>
    <xf numFmtId="167" fontId="74" fillId="0" borderId="0" xfId="2" applyFont="1" applyFill="1" applyBorder="1" applyAlignment="1">
      <alignment horizontal="center" vertical="center"/>
    </xf>
    <xf numFmtId="169" fontId="72" fillId="0" borderId="0" xfId="2" applyNumberFormat="1" applyFont="1" applyAlignment="1">
      <alignment horizontal="center" vertical="center"/>
    </xf>
    <xf numFmtId="169" fontId="73" fillId="2" borderId="0" xfId="1" applyNumberFormat="1" applyFont="1" applyFill="1" applyAlignment="1">
      <alignment horizontal="center" vertical="center"/>
    </xf>
    <xf numFmtId="169" fontId="72" fillId="0" borderId="28" xfId="1" applyNumberFormat="1" applyFont="1" applyFill="1" applyBorder="1" applyAlignment="1">
      <alignment horizontal="center" vertical="center"/>
    </xf>
    <xf numFmtId="172" fontId="75" fillId="36" borderId="24" xfId="0" applyNumberFormat="1" applyFont="1" applyFill="1" applyBorder="1" applyAlignment="1">
      <alignment horizontal="left" vertical="center"/>
    </xf>
    <xf numFmtId="172" fontId="77" fillId="35" borderId="33" xfId="0" applyNumberFormat="1" applyFont="1" applyFill="1" applyBorder="1" applyAlignment="1">
      <alignment horizontal="left" vertical="center"/>
    </xf>
    <xf numFmtId="167" fontId="3" fillId="0" borderId="25" xfId="2" applyFont="1" applyBorder="1" applyAlignment="1">
      <alignment horizontal="center" vertical="center"/>
    </xf>
    <xf numFmtId="167" fontId="3" fillId="0" borderId="24" xfId="2" applyFont="1" applyBorder="1" applyAlignment="1">
      <alignment horizontal="center" vertical="center"/>
    </xf>
    <xf numFmtId="167" fontId="3" fillId="0" borderId="27" xfId="2" applyFont="1" applyBorder="1" applyAlignment="1">
      <alignment horizontal="center" vertical="center"/>
    </xf>
    <xf numFmtId="167" fontId="74" fillId="37" borderId="26" xfId="2" applyFont="1" applyFill="1" applyBorder="1" applyAlignment="1">
      <alignment horizontal="center" vertical="center"/>
    </xf>
    <xf numFmtId="169" fontId="73" fillId="35" borderId="0" xfId="0" applyNumberFormat="1" applyFont="1" applyFill="1" applyAlignment="1">
      <alignment horizontal="center" vertical="center"/>
    </xf>
    <xf numFmtId="0" fontId="79" fillId="0" borderId="0" xfId="0" applyFont="1"/>
    <xf numFmtId="0" fontId="79" fillId="0" borderId="34" xfId="0" applyFont="1" applyBorder="1"/>
    <xf numFmtId="222" fontId="80" fillId="0" borderId="34" xfId="1" applyNumberFormat="1" applyFont="1" applyFill="1" applyBorder="1" applyAlignment="1">
      <alignment horizontal="center" vertical="center"/>
    </xf>
    <xf numFmtId="222" fontId="79" fillId="0" borderId="34" xfId="1" applyNumberFormat="1" applyFont="1" applyFill="1" applyBorder="1" applyAlignment="1">
      <alignment horizontal="center" vertical="center"/>
    </xf>
    <xf numFmtId="167" fontId="79" fillId="0" borderId="28" xfId="2" applyFont="1" applyFill="1" applyBorder="1" applyAlignment="1">
      <alignment horizontal="left" vertical="center" wrapText="1"/>
    </xf>
    <xf numFmtId="167" fontId="79" fillId="0" borderId="28" xfId="2" applyFont="1" applyFill="1" applyBorder="1" applyAlignment="1">
      <alignment horizontal="center" vertical="center"/>
    </xf>
    <xf numFmtId="222" fontId="79" fillId="0" borderId="28" xfId="1" applyNumberFormat="1" applyFont="1" applyFill="1" applyBorder="1" applyAlignment="1">
      <alignment horizontal="center" vertical="center"/>
    </xf>
    <xf numFmtId="9" fontId="79" fillId="0" borderId="28" xfId="3" applyFont="1" applyFill="1" applyBorder="1" applyAlignment="1">
      <alignment horizontal="center" vertical="center"/>
    </xf>
    <xf numFmtId="167" fontId="79" fillId="0" borderId="0" xfId="2" applyFont="1" applyFill="1" applyBorder="1" applyAlignment="1">
      <alignment horizontal="left" vertical="center" wrapText="1"/>
    </xf>
    <xf numFmtId="222" fontId="79" fillId="0" borderId="0" xfId="1" applyNumberFormat="1" applyFont="1" applyFill="1" applyBorder="1" applyAlignment="1">
      <alignment horizontal="center" vertical="center"/>
    </xf>
    <xf numFmtId="0" fontId="79" fillId="0" borderId="28" xfId="0" applyFont="1" applyBorder="1"/>
    <xf numFmtId="167" fontId="79" fillId="0" borderId="34" xfId="2" applyFont="1" applyFill="1" applyBorder="1" applyAlignment="1">
      <alignment horizontal="left" vertical="center" wrapText="1"/>
    </xf>
    <xf numFmtId="167" fontId="79" fillId="0" borderId="34" xfId="2" applyFont="1" applyFill="1" applyBorder="1" applyAlignment="1">
      <alignment horizontal="left" vertical="center"/>
    </xf>
    <xf numFmtId="167" fontId="79" fillId="0" borderId="0" xfId="2" applyFont="1" applyFill="1" applyBorder="1" applyAlignment="1">
      <alignment horizontal="left" vertical="center"/>
    </xf>
    <xf numFmtId="167" fontId="79" fillId="0" borderId="28" xfId="2" applyFont="1" applyFill="1" applyBorder="1" applyAlignment="1">
      <alignment horizontal="left" vertical="center"/>
    </xf>
    <xf numFmtId="0" fontId="82" fillId="0" borderId="0" xfId="0" applyFont="1" applyAlignment="1">
      <alignment horizontal="center" vertical="center"/>
    </xf>
    <xf numFmtId="0" fontId="82" fillId="0" borderId="0" xfId="0" applyFont="1" applyAlignment="1">
      <alignment horizontal="left" vertical="center"/>
    </xf>
    <xf numFmtId="0" fontId="82" fillId="0" borderId="0" xfId="0" applyFont="1" applyAlignment="1">
      <alignment vertical="center"/>
    </xf>
    <xf numFmtId="167" fontId="0" fillId="0" borderId="0" xfId="2" applyFont="1"/>
    <xf numFmtId="0" fontId="0" fillId="39" borderId="0" xfId="0" applyFill="1" applyAlignment="1">
      <alignment vertical="center" wrapText="1"/>
    </xf>
    <xf numFmtId="0" fontId="0" fillId="40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/>
    <xf numFmtId="0" fontId="0" fillId="41" borderId="0" xfId="0" applyFill="1"/>
    <xf numFmtId="0" fontId="0" fillId="42" borderId="0" xfId="0" applyFill="1" applyAlignment="1">
      <alignment vertical="center" wrapText="1"/>
    </xf>
    <xf numFmtId="223" fontId="0" fillId="41" borderId="0" xfId="2" applyNumberFormat="1" applyFont="1" applyFill="1"/>
    <xf numFmtId="223" fontId="0" fillId="43" borderId="0" xfId="2" applyNumberFormat="1" applyFont="1" applyFill="1"/>
    <xf numFmtId="223" fontId="0" fillId="2" borderId="0" xfId="2" applyNumberFormat="1" applyFont="1" applyFill="1"/>
    <xf numFmtId="223" fontId="0" fillId="41" borderId="0" xfId="2" quotePrefix="1" applyNumberFormat="1" applyFont="1" applyFill="1"/>
    <xf numFmtId="10" fontId="0" fillId="41" borderId="0" xfId="3" applyNumberFormat="1" applyFont="1" applyFill="1"/>
    <xf numFmtId="15" fontId="0" fillId="0" borderId="0" xfId="0" applyNumberFormat="1"/>
    <xf numFmtId="3" fontId="4" fillId="0" borderId="34" xfId="1" applyNumberFormat="1" applyFont="1" applyBorder="1" applyAlignment="1">
      <alignment horizontal="center" vertical="center"/>
    </xf>
    <xf numFmtId="3" fontId="3" fillId="0" borderId="34" xfId="1" applyNumberFormat="1" applyFont="1" applyBorder="1" applyAlignment="1">
      <alignment horizontal="center" vertical="center"/>
    </xf>
    <xf numFmtId="169" fontId="72" fillId="0" borderId="34" xfId="1" applyNumberFormat="1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5" xfId="0" applyBorder="1"/>
    <xf numFmtId="9" fontId="3" fillId="0" borderId="21" xfId="3" applyFont="1" applyBorder="1" applyAlignment="1">
      <alignment horizontal="center" vertical="center"/>
    </xf>
    <xf numFmtId="9" fontId="3" fillId="0" borderId="36" xfId="3" applyFont="1" applyBorder="1" applyAlignment="1">
      <alignment horizontal="center" vertical="center"/>
    </xf>
    <xf numFmtId="9" fontId="3" fillId="0" borderId="30" xfId="3" applyFont="1" applyBorder="1" applyAlignment="1">
      <alignment horizontal="center" vertical="center"/>
    </xf>
    <xf numFmtId="9" fontId="3" fillId="0" borderId="31" xfId="3" applyFont="1" applyBorder="1" applyAlignment="1">
      <alignment horizontal="center" vertical="center"/>
    </xf>
    <xf numFmtId="9" fontId="3" fillId="0" borderId="32" xfId="3" applyFont="1" applyBorder="1" applyAlignment="1">
      <alignment horizontal="center" vertical="center"/>
    </xf>
    <xf numFmtId="3" fontId="3" fillId="0" borderId="0" xfId="0" applyNumberFormat="1" applyFont="1"/>
    <xf numFmtId="14" fontId="0" fillId="0" borderId="0" xfId="0" applyNumberFormat="1"/>
    <xf numFmtId="0" fontId="83" fillId="0" borderId="0" xfId="0" applyFont="1"/>
    <xf numFmtId="9" fontId="0" fillId="0" borderId="0" xfId="0" applyNumberFormat="1"/>
    <xf numFmtId="0" fontId="84" fillId="0" borderId="0" xfId="0" applyFont="1"/>
    <xf numFmtId="0" fontId="0" fillId="0" borderId="0" xfId="0" applyAlignment="1">
      <alignment horizontal="left"/>
    </xf>
    <xf numFmtId="224" fontId="0" fillId="0" borderId="0" xfId="0" applyNumberFormat="1"/>
    <xf numFmtId="224" fontId="83" fillId="0" borderId="0" xfId="0" applyNumberFormat="1" applyFont="1"/>
    <xf numFmtId="225" fontId="0" fillId="0" borderId="0" xfId="0" applyNumberFormat="1"/>
    <xf numFmtId="0" fontId="84" fillId="45" borderId="0" xfId="0" applyFont="1" applyFill="1"/>
    <xf numFmtId="225" fontId="84" fillId="45" borderId="0" xfId="0" applyNumberFormat="1" applyFont="1" applyFill="1"/>
    <xf numFmtId="225" fontId="0" fillId="0" borderId="0" xfId="0" applyNumberFormat="1" applyAlignment="1">
      <alignment horizontal="right"/>
    </xf>
    <xf numFmtId="225" fontId="84" fillId="45" borderId="0" xfId="0" applyNumberFormat="1" applyFont="1" applyFill="1" applyAlignment="1">
      <alignment horizontal="right"/>
    </xf>
    <xf numFmtId="0" fontId="83" fillId="44" borderId="37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225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83" fillId="42" borderId="0" xfId="0" applyFont="1" applyFill="1" applyAlignment="1">
      <alignment horizontal="left"/>
    </xf>
    <xf numFmtId="0" fontId="83" fillId="42" borderId="0" xfId="0" applyFont="1" applyFill="1"/>
    <xf numFmtId="0" fontId="83" fillId="39" borderId="0" xfId="0" applyFont="1" applyFill="1"/>
    <xf numFmtId="0" fontId="83" fillId="2" borderId="0" xfId="0" applyFont="1" applyFill="1"/>
    <xf numFmtId="0" fontId="0" fillId="4" borderId="38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79" fillId="0" borderId="40" xfId="0" applyFont="1" applyBorder="1"/>
    <xf numFmtId="169" fontId="72" fillId="0" borderId="40" xfId="1" applyNumberFormat="1" applyFont="1" applyFill="1" applyBorder="1" applyAlignment="1">
      <alignment horizontal="center" vertical="center"/>
    </xf>
    <xf numFmtId="1" fontId="81" fillId="0" borderId="40" xfId="0" applyNumberFormat="1" applyFont="1" applyBorder="1" applyAlignment="1">
      <alignment horizontal="center" vertical="center" wrapText="1"/>
    </xf>
    <xf numFmtId="172" fontId="81" fillId="0" borderId="40" xfId="0" applyNumberFormat="1" applyFont="1" applyBorder="1" applyAlignment="1">
      <alignment horizontal="left" vertical="center" wrapText="1"/>
    </xf>
    <xf numFmtId="172" fontId="81" fillId="0" borderId="40" xfId="0" applyNumberFormat="1" applyFont="1" applyBorder="1" applyAlignment="1">
      <alignment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172" fontId="78" fillId="35" borderId="46" xfId="0" applyNumberFormat="1" applyFont="1" applyFill="1" applyBorder="1" applyAlignment="1">
      <alignment horizontal="left" vertical="center"/>
    </xf>
    <xf numFmtId="167" fontId="4" fillId="2" borderId="47" xfId="2" applyFont="1" applyFill="1" applyBorder="1" applyAlignment="1">
      <alignment horizontal="center" vertical="center"/>
    </xf>
    <xf numFmtId="167" fontId="4" fillId="2" borderId="48" xfId="2" applyFont="1" applyFill="1" applyBorder="1" applyAlignment="1">
      <alignment horizontal="center" vertical="center"/>
    </xf>
    <xf numFmtId="172" fontId="77" fillId="35" borderId="46" xfId="0" applyNumberFormat="1" applyFont="1" applyFill="1" applyBorder="1" applyAlignment="1">
      <alignment horizontal="left" vertical="center"/>
    </xf>
    <xf numFmtId="2" fontId="3" fillId="0" borderId="47" xfId="0" applyNumberFormat="1" applyFont="1" applyBorder="1" applyAlignment="1">
      <alignment horizontal="center" vertical="center"/>
    </xf>
    <xf numFmtId="9" fontId="3" fillId="0" borderId="47" xfId="3" applyFont="1" applyBorder="1" applyAlignment="1">
      <alignment horizontal="center" vertical="center"/>
    </xf>
    <xf numFmtId="167" fontId="3" fillId="0" borderId="47" xfId="3" applyNumberFormat="1" applyFont="1" applyBorder="1" applyAlignment="1">
      <alignment horizontal="center" vertical="center"/>
    </xf>
    <xf numFmtId="2" fontId="3" fillId="0" borderId="47" xfId="1" applyNumberFormat="1" applyFont="1" applyBorder="1" applyAlignment="1">
      <alignment horizontal="center" vertical="center"/>
    </xf>
    <xf numFmtId="223" fontId="0" fillId="46" borderId="0" xfId="2" applyNumberFormat="1" applyFont="1" applyFill="1"/>
    <xf numFmtId="223" fontId="0" fillId="0" borderId="0" xfId="0" applyNumberFormat="1"/>
    <xf numFmtId="226" fontId="0" fillId="0" borderId="0" xfId="0" applyNumberFormat="1"/>
    <xf numFmtId="2" fontId="0" fillId="0" borderId="0" xfId="0" applyNumberFormat="1"/>
    <xf numFmtId="226" fontId="85" fillId="0" borderId="0" xfId="0" applyNumberFormat="1" applyFont="1"/>
    <xf numFmtId="0" fontId="0" fillId="41" borderId="0" xfId="0" applyFill="1" applyAlignment="1">
      <alignment wrapText="1"/>
    </xf>
    <xf numFmtId="223" fontId="0" fillId="41" borderId="0" xfId="2" quotePrefix="1" applyNumberFormat="1" applyFont="1" applyFill="1" applyAlignment="1">
      <alignment horizontal="right" vertical="center"/>
    </xf>
    <xf numFmtId="223" fontId="0" fillId="41" borderId="0" xfId="2" applyNumberFormat="1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0" fontId="0" fillId="41" borderId="0" xfId="3" applyNumberFormat="1" applyFont="1" applyFill="1" applyAlignment="1">
      <alignment horizontal="right" vertical="center"/>
    </xf>
    <xf numFmtId="49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15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71" fillId="2" borderId="41" xfId="0" applyFont="1" applyFill="1" applyBorder="1" applyAlignment="1">
      <alignment horizontal="center"/>
    </xf>
    <xf numFmtId="0" fontId="71" fillId="2" borderId="40" xfId="0" applyFont="1" applyFill="1" applyBorder="1" applyAlignment="1">
      <alignment horizontal="center"/>
    </xf>
    <xf numFmtId="0" fontId="71" fillId="2" borderId="42" xfId="0" applyFont="1" applyFill="1" applyBorder="1" applyAlignment="1">
      <alignment horizontal="center"/>
    </xf>
    <xf numFmtId="0" fontId="73" fillId="38" borderId="29" xfId="0" applyFont="1" applyFill="1" applyBorder="1" applyAlignment="1">
      <alignment horizontal="center" vertical="center"/>
    </xf>
    <xf numFmtId="0" fontId="73" fillId="38" borderId="0" xfId="0" applyFont="1" applyFill="1" applyAlignment="1">
      <alignment horizontal="center" vertical="center"/>
    </xf>
    <xf numFmtId="0" fontId="73" fillId="2" borderId="29" xfId="0" applyFont="1" applyFill="1" applyBorder="1" applyAlignment="1">
      <alignment horizontal="center" vertical="center"/>
    </xf>
    <xf numFmtId="0" fontId="73" fillId="2" borderId="0" xfId="0" applyFont="1" applyFill="1" applyAlignment="1">
      <alignment horizontal="center" vertical="center"/>
    </xf>
    <xf numFmtId="221" fontId="76" fillId="36" borderId="0" xfId="1" applyNumberFormat="1" applyFont="1" applyFill="1" applyAlignment="1">
      <alignment horizontal="center" vertical="center"/>
    </xf>
    <xf numFmtId="221" fontId="3" fillId="0" borderId="43" xfId="1" applyNumberFormat="1" applyFont="1" applyBorder="1" applyAlignment="1">
      <alignment horizontal="center" vertical="center"/>
    </xf>
    <xf numFmtId="221" fontId="3" fillId="0" borderId="44" xfId="1" applyNumberFormat="1" applyFont="1" applyBorder="1" applyAlignment="1">
      <alignment horizontal="center" vertical="center"/>
    </xf>
    <xf numFmtId="221" fontId="3" fillId="0" borderId="45" xfId="1" applyNumberFormat="1" applyFont="1" applyBorder="1" applyAlignment="1">
      <alignment horizontal="center" vertical="center"/>
    </xf>
    <xf numFmtId="221" fontId="3" fillId="0" borderId="30" xfId="1" applyNumberFormat="1" applyFont="1" applyBorder="1" applyAlignment="1">
      <alignment horizontal="center" vertical="center"/>
    </xf>
    <xf numFmtId="221" fontId="3" fillId="0" borderId="31" xfId="1" applyNumberFormat="1" applyFont="1" applyBorder="1" applyAlignment="1">
      <alignment horizontal="center" vertical="center"/>
    </xf>
    <xf numFmtId="221" fontId="3" fillId="0" borderId="32" xfId="1" applyNumberFormat="1" applyFont="1" applyBorder="1" applyAlignment="1">
      <alignment horizontal="center" vertical="center"/>
    </xf>
  </cellXfs>
  <cellStyles count="20839">
    <cellStyle name="%" xfId="13665" xr:uid="{A719C2FA-5AC4-425E-8180-A0D94F8C910B}"/>
    <cellStyle name="_5. Formato Propuesta Tottus Naciones Unidas-comerc.Rev.1" xfId="13819" xr:uid="{06A88043-C518-41D9-AAB9-99737DF516C5}"/>
    <cellStyle name="_SAP Osorno" xfId="11223" xr:uid="{ABE072E4-14C8-4535-8294-8A2540CEBDA4}"/>
    <cellStyle name="_x0004_¥" xfId="549" xr:uid="{B393EDE4-B056-4E42-BD22-F644A2FEF514}"/>
    <cellStyle name="_x0004_¥ 10" xfId="10940" xr:uid="{51D44D13-C1AD-437D-934A-01A66FED006A}"/>
    <cellStyle name="_x0004_¥ 11" xfId="12611" xr:uid="{F0F563D8-6C1C-4514-8A6B-AC80D95355FE}"/>
    <cellStyle name="_x0004_¥ 12" xfId="12523" xr:uid="{F385AC8C-1B5D-4838-9633-9D2D26FECEA5}"/>
    <cellStyle name="_x0004_¥ 13" xfId="13206" xr:uid="{28348900-E34B-42CF-B001-1E3F4B49A616}"/>
    <cellStyle name="_x0004_¥ 14" xfId="13604" xr:uid="{5643CA7F-AB46-44B7-B5AF-ACAF473495C1}"/>
    <cellStyle name="_x0004_¥ 15" xfId="13841" xr:uid="{5EDFA994-5D6A-462A-9511-68BB43FB0101}"/>
    <cellStyle name="_x0004_¥ 16" xfId="11444" xr:uid="{F17A2FCC-82D3-4CDE-B252-32A376AC693A}"/>
    <cellStyle name="_x0004_¥ 17" xfId="13378" xr:uid="{5B184FCB-2853-44BC-BB3F-A133CC1E7C93}"/>
    <cellStyle name="_x0004_¥ 18" xfId="11445" xr:uid="{A2663BB6-AB9A-4053-828A-A4BEB966A255}"/>
    <cellStyle name="_x0004_¥ 19" xfId="11442" xr:uid="{76EEC831-AD69-4403-8BB3-2BB9F5E99083}"/>
    <cellStyle name="_x0004_¥ 2" xfId="550" xr:uid="{F6705A13-F9D8-4817-B47E-A813232B4237}"/>
    <cellStyle name="_x0004_¥ 2 10" xfId="11210" xr:uid="{F9B592B6-FD10-4022-8AF6-42C23C90D445}"/>
    <cellStyle name="_x0004_¥ 2 11" xfId="13031" xr:uid="{0EE24990-8549-463E-A755-CC4E6AECB004}"/>
    <cellStyle name="_x0004_¥ 2 12" xfId="11171" xr:uid="{24B7B5D1-6ED3-42F0-AABB-BC4DC8A8AC42}"/>
    <cellStyle name="_x0004_¥ 2 13" xfId="13547" xr:uid="{7753B918-5995-4A02-A91C-A5A0A0C1F550}"/>
    <cellStyle name="_x0004_¥ 2 14" xfId="13780" xr:uid="{7B95DF50-1C74-4394-87E4-04787B07E68C}"/>
    <cellStyle name="_x0004_¥ 2 15" xfId="11172" xr:uid="{D334A551-F847-4D7E-B14C-C9644D192F65}"/>
    <cellStyle name="_x0004_¥ 2 16" xfId="13781" xr:uid="{FD93A8DD-D4E7-4336-899C-6CA851AC4800}"/>
    <cellStyle name="_x0004_¥ 2 17" xfId="11874" xr:uid="{3E918056-767E-4F01-9A44-AC58B528AC68}"/>
    <cellStyle name="_x0004_¥ 2 18" xfId="11303" xr:uid="{7D8ADA09-A743-4D2E-9924-837C6776B056}"/>
    <cellStyle name="_x0004_¥ 2 19" xfId="11976" xr:uid="{7BA70836-E488-4D4E-A616-A96C0255FCA8}"/>
    <cellStyle name="_x0004_¥ 2 2" xfId="3515" xr:uid="{6BEF2C12-EF2F-43D5-93C5-9CAD5CFBA7CF}"/>
    <cellStyle name="_x0004_¥ 2 2 10" xfId="12618" xr:uid="{02A644D7-5565-434D-8750-75F17A5EDEFB}"/>
    <cellStyle name="_x0004_¥ 2 2 11" xfId="13434" xr:uid="{F97ECBF2-041C-4FCC-8535-E153E9936634}"/>
    <cellStyle name="_x0004_¥ 2 2 12" xfId="12619" xr:uid="{581C4B10-4639-41CD-9BD2-0BF9357CCE8F}"/>
    <cellStyle name="_x0004_¥ 2 2 13" xfId="12334" xr:uid="{3EDB6865-4718-4E8D-A1B6-D0224A4E92EF}"/>
    <cellStyle name="_x0004_¥ 2 2 14" xfId="12620" xr:uid="{C97ED6EA-D5C1-4DAC-A74A-CDF767A39D40}"/>
    <cellStyle name="_x0004_¥ 2 2 15" xfId="13089" xr:uid="{5E6E0ED9-BBAD-410F-A264-F7FAA7169DB7}"/>
    <cellStyle name="_x0004_¥ 2 2 16" xfId="13666" xr:uid="{148349D3-E3CE-4CAF-8F8E-BBE09B73A716}"/>
    <cellStyle name="_x0004_¥ 2 2 17" xfId="13842" xr:uid="{0E2014F0-2934-4E43-927A-3476CA3E203F}"/>
    <cellStyle name="_x0004_¥ 2 2 18" xfId="10995" xr:uid="{5058FF85-314E-44A2-B8F8-831E0B2C0624}"/>
    <cellStyle name="_x0004_¥ 2 2 19" xfId="12621" xr:uid="{F85A2E0D-CBD6-4D20-A0CA-4DD10100FD68}"/>
    <cellStyle name="_x0004_¥ 2 2 2" xfId="13338" xr:uid="{BC898FDF-9589-4F3B-B91A-5C7572407BA2}"/>
    <cellStyle name="_x0004_¥ 2 2 20" xfId="13266" xr:uid="{1AFB41FE-A7C1-4E84-A18F-CAF8577CCB50}"/>
    <cellStyle name="_x0004_¥ 2 2 21" xfId="11977" xr:uid="{993EC14E-750C-4269-BD8D-8DBE7BA7433F}"/>
    <cellStyle name="_x0004_¥ 2 2 22" xfId="13435" xr:uid="{F385733B-BFF5-42F7-B4B0-8C80B2F46044}"/>
    <cellStyle name="_x0004_¥ 2 2 23" xfId="12028" xr:uid="{35655E35-938D-4E8D-B949-3ED76C326837}"/>
    <cellStyle name="_x0004_¥ 2 2 3" xfId="12622" xr:uid="{D26154E0-7499-4C46-AB51-FBB7C580BF24}"/>
    <cellStyle name="_x0004_¥ 2 2 4" xfId="13090" xr:uid="{00CFD1B7-09BD-4C18-A66A-A5B840AE01C5}"/>
    <cellStyle name="_x0004_¥ 2 2 5" xfId="12335" xr:uid="{FAD9C5E5-CC52-4B05-8C43-89F455B47CF8}"/>
    <cellStyle name="_x0004_¥ 2 2 6" xfId="13667" xr:uid="{1C61C960-E420-4D1A-99D0-5CC84786ACF4}"/>
    <cellStyle name="_x0004_¥ 2 2 7" xfId="13843" xr:uid="{BCECEE9A-57F0-4F50-A14B-627D979F6348}"/>
    <cellStyle name="_x0004_¥ 2 2 8" xfId="12623" xr:uid="{907C1D38-8587-4E0E-A05B-8F829222A1F5}"/>
    <cellStyle name="_x0004_¥ 2 2 9" xfId="12624" xr:uid="{B37B2AF7-273D-4391-99BD-3794E94192E0}"/>
    <cellStyle name="_x0004_¥ 2 20" xfId="12625" xr:uid="{080C8701-0E6A-48AD-8F5D-727FF7208233}"/>
    <cellStyle name="_x0004_¥ 2 21" xfId="13208" xr:uid="{7F757C60-6939-478B-927C-BB93933FF089}"/>
    <cellStyle name="_x0004_¥ 2 22" xfId="13510" xr:uid="{C4BC2249-2DF5-40CB-8FCE-DA64F5DB14D5}"/>
    <cellStyle name="_x0004_¥ 2 23" xfId="13606" xr:uid="{066B55D7-34EC-44BD-95C6-B1E565427285}"/>
    <cellStyle name="_x0004_¥ 2 24" xfId="11469" xr:uid="{40BE9E60-579B-40A9-8C0B-862AE20A6C3B}"/>
    <cellStyle name="_x0004_¥ 2 3" xfId="3550" xr:uid="{DF984ABA-E11F-4973-AAF3-3322B883AD2C}"/>
    <cellStyle name="_x0004_¥ 2 3 2" xfId="13844" xr:uid="{505D294E-B306-4A11-9530-35A201F740F5}"/>
    <cellStyle name="_x0004_¥ 2 4" xfId="12626" xr:uid="{D811FF44-9ECE-426E-902A-F22C019953E5}"/>
    <cellStyle name="_x0004_¥ 2 5" xfId="13380" xr:uid="{493D59FB-AC14-45E2-8FFE-39483C31AF0F}"/>
    <cellStyle name="_x0004_¥ 2 6" xfId="12627" xr:uid="{05400B67-3D81-440F-BAFA-E65CCF287B9D}"/>
    <cellStyle name="_x0004_¥ 2 7" xfId="12628" xr:uid="{ED8F4EA9-514B-4C97-A6FD-F7FED9B07BF7}"/>
    <cellStyle name="_x0004_¥ 2 8" xfId="12336" xr:uid="{C8D80E61-5373-444A-BB1F-89ABF2CF57C2}"/>
    <cellStyle name="_x0004_¥ 2 9" xfId="13033" xr:uid="{C94E9858-B693-48DC-B29E-7B5A22913E70}"/>
    <cellStyle name="_x0004_¥ 20" xfId="13548" xr:uid="{B608B656-3208-49B4-A86E-5864A2D1441A}"/>
    <cellStyle name="_x0004_¥ 21" xfId="11293" xr:uid="{5AF88D67-20BA-4509-B621-1B00C2E77342}"/>
    <cellStyle name="_x0004_¥ 22" xfId="12629" xr:uid="{E410E759-AD90-4A3E-8CF8-2389262775F9}"/>
    <cellStyle name="_x0004_¥ 23" xfId="13267" xr:uid="{0E65F7A0-7DC9-4C37-A982-A4289F496F0D}"/>
    <cellStyle name="_x0004_¥ 24" xfId="12630" xr:uid="{97DE9AFF-EEAE-4E8E-86EB-2568F8D14A26}"/>
    <cellStyle name="_x0004_¥ 25" xfId="12434" xr:uid="{9A33DC8E-7F13-488E-A605-27991530EE29}"/>
    <cellStyle name="_x0004_¥ 26" xfId="13436" xr:uid="{0CA877AD-A2EA-4BE9-9598-76A53AF7AAE5}"/>
    <cellStyle name="_x0004_¥ 27" xfId="12631" xr:uid="{4D27D1B2-256F-4DE7-A183-E438206CE153}"/>
    <cellStyle name="_x0004_¥ 28" xfId="13840" xr:uid="{718B29D0-C966-42A5-BCC9-559A6DAB121A}"/>
    <cellStyle name="_x0004_¥ 3" xfId="551" xr:uid="{315BE7BB-0D94-4171-8F11-3FEA15695654}"/>
    <cellStyle name="_x0004_¥ 3 2" xfId="12029" xr:uid="{D1D81040-3630-437A-9AD5-5C701E039E75}"/>
    <cellStyle name="_x0004_¥ 4" xfId="13091" xr:uid="{F2AEBBBD-C872-4D64-8EC1-27757C8D83B3}"/>
    <cellStyle name="_x0004_¥ 5" xfId="13668" xr:uid="{DFE86B3B-7265-4EAF-9195-904CBFEB4D00}"/>
    <cellStyle name="_x0004_¥ 6" xfId="13845" xr:uid="{65F1F60F-FFF4-4943-8B60-4CD8FCA346ED}"/>
    <cellStyle name="_x0004_¥ 7" xfId="13167" xr:uid="{C25BF95C-C09E-4B65-8B13-80775A5BEA18}"/>
    <cellStyle name="_x0004_¥ 8" xfId="11313" xr:uid="{C56E32B5-F38C-482E-B763-94A828281B0D}"/>
    <cellStyle name="_x0004_¥ 9" xfId="11978" xr:uid="{63EACC2E-872D-474F-A346-D0E6E90470E3}"/>
    <cellStyle name="_x0004_¥_09.06.10" xfId="13268" xr:uid="{43879EAD-45DA-49E6-B7F3-64698F0D8360}"/>
    <cellStyle name="20% - Accent1" xfId="12632" xr:uid="{5570FEFC-3236-48FE-B3F6-B5C5B5243DB6}"/>
    <cellStyle name="20% - Accent1 10" xfId="13437" xr:uid="{172C71FF-13F0-4E31-A7B2-687F9670019D}"/>
    <cellStyle name="20% - Accent1 11" xfId="12633" xr:uid="{80E316DD-DE1A-44E1-99BC-708C71B9132E}"/>
    <cellStyle name="20% - Accent1 12" xfId="12951" xr:uid="{6B18D0ED-A03B-4436-AD41-45AAE08A3C53}"/>
    <cellStyle name="20% - Accent1 13" xfId="12634" xr:uid="{B4E1B412-013F-4A30-AE55-9264EA667034}"/>
    <cellStyle name="20% - Accent1 14" xfId="13092" xr:uid="{CDC063FA-6AA4-4B5B-A8E2-3E7AFBA083B0}"/>
    <cellStyle name="20% - Accent1 15" xfId="13669" xr:uid="{BC9DBB5F-E888-4470-97F8-8AF37148A3D1}"/>
    <cellStyle name="20% - Accent1 16" xfId="13846" xr:uid="{1AD1DC73-6721-426F-A018-5C9C3CDDDA6A}"/>
    <cellStyle name="20% - Accent1 17" xfId="12635" xr:uid="{9BAB8806-BCF4-4741-ADAD-D78506C0D8D0}"/>
    <cellStyle name="20% - Accent1 18" xfId="11979" xr:uid="{A70D5B3C-D5BE-4220-9304-E246E99C9018}"/>
    <cellStyle name="20% - Accent1 19" xfId="13958" xr:uid="{3F0A0DE6-10F2-4049-9850-2087BBA7AA4A}"/>
    <cellStyle name="20% - Accent1 2" xfId="12030" xr:uid="{DA32D533-F6D0-41BE-BC2F-F4084DD945F8}"/>
    <cellStyle name="20% - Accent1 20" xfId="13207" xr:uid="{B04DF740-F4F9-495B-BD76-BDBE3F471A5E}"/>
    <cellStyle name="20% - Accent1 21" xfId="13605" xr:uid="{B5A6A827-9921-4410-BE8A-CCBFD8532ED5}"/>
    <cellStyle name="20% - Accent1 22" xfId="13847" xr:uid="{BBC042EF-AF9B-48CC-B5A1-4C36B1FDFAEB}"/>
    <cellStyle name="20% - Accent1 23" xfId="12636" xr:uid="{FA543479-0DCE-423A-A8DB-F58136D95FB8}"/>
    <cellStyle name="20% - Accent1 3" xfId="13379" xr:uid="{553C07C0-5E99-4007-B99C-E1E824A7DED7}"/>
    <cellStyle name="20% - Accent1 4" xfId="10917" xr:uid="{684FF864-4283-451E-A660-ADB577B489B1}"/>
    <cellStyle name="20% - Accent1 5" xfId="12637" xr:uid="{FFF2EE58-4728-4B66-844C-B85C6317738A}"/>
    <cellStyle name="20% - Accent1 6" xfId="12638" xr:uid="{DFE16C76-B9A3-4471-9AAB-5CAAF4C973FC}"/>
    <cellStyle name="20% - Accent1 7" xfId="13032" xr:uid="{A99E9ACD-8D6F-4B03-B7EA-81202F7354CD}"/>
    <cellStyle name="20% - Accent1 8" xfId="11173" xr:uid="{C4F1DADA-EEF6-4907-838F-9728C5EC9CDA}"/>
    <cellStyle name="20% - Accent1 9" xfId="13549" xr:uid="{DE13369B-B1A9-4C6C-A9A7-61486F17CD1C}"/>
    <cellStyle name="20% - Accent2" xfId="13782" xr:uid="{C5EDBCB2-CA20-42AC-B12E-E272C5B35B7B}"/>
    <cellStyle name="20% - Accent2 10" xfId="11680" xr:uid="{42AA6B91-CC96-45CC-9501-E52CEC31482C}"/>
    <cellStyle name="20% - Accent2 11" xfId="12593" xr:uid="{F81E7778-6A23-41F5-8F00-2D9CC6991490}"/>
    <cellStyle name="20% - Accent2 12" xfId="13783" xr:uid="{B4CE645A-D21D-4CED-AA57-D77A4ECE2931}"/>
    <cellStyle name="20% - Accent2 13" xfId="10993" xr:uid="{0591691E-0A80-400F-BC08-17048EFEB1DF}"/>
    <cellStyle name="20% - Accent2 14" xfId="12639" xr:uid="{DF484DC6-2719-4AAA-A0C6-F7BF9D3E47FB}"/>
    <cellStyle name="20% - Accent2 15" xfId="13269" xr:uid="{FDB7E204-E2AB-4CD9-8DF7-A0E22172FAA3}"/>
    <cellStyle name="20% - Accent2 16" xfId="12640" xr:uid="{FF7B083F-D2DE-42AB-BBCE-9C736565B7F0}"/>
    <cellStyle name="20% - Accent2 17" xfId="13339" xr:uid="{DB3D2752-7C6A-4DB7-A4B1-F84EDF949EAF}"/>
    <cellStyle name="20% - Accent2 18" xfId="13438" xr:uid="{3B3C5566-DFAE-4D5E-8019-47B3C4090B84}"/>
    <cellStyle name="20% - Accent2 19" xfId="12641" xr:uid="{8CF4140B-2122-4AC8-89D1-E24AB190FDBA}"/>
    <cellStyle name="20% - Accent2 2" xfId="12031" xr:uid="{FB89CCD7-9AE8-4415-8E32-A53A09519A57}"/>
    <cellStyle name="20% - Accent2 20" xfId="13093" xr:uid="{3C79CAAA-90AC-41A3-8235-667BAD75603A}"/>
    <cellStyle name="20% - Accent2 21" xfId="13670" xr:uid="{2960ED2B-9F26-4836-A6BF-BC4A3E9FF3AC}"/>
    <cellStyle name="20% - Accent2 22" xfId="13848" xr:uid="{B187FC42-7B1A-4C3A-A5C1-54B06F348D35}"/>
    <cellStyle name="20% - Accent2 23" xfId="12337" xr:uid="{C6C810A5-6FCF-47FD-BE7F-F8CB77B3C408}"/>
    <cellStyle name="20% - Accent2 3" xfId="11314" xr:uid="{6DAD7B49-9F79-44BC-9F4D-E0E9F574E2B2}"/>
    <cellStyle name="20% - Accent2 4" xfId="12642" xr:uid="{4FD15F81-4E90-4D36-A4FF-0C100CD849A3}"/>
    <cellStyle name="20% - Accent2 5" xfId="13270" xr:uid="{FCCF3FC8-7F55-4DE2-B3D5-34D7E8FE3F6F}"/>
    <cellStyle name="20% - Accent2 6" xfId="12643" xr:uid="{7C488033-4AB5-402E-AEA7-7EA7BBDCE532}"/>
    <cellStyle name="20% - Accent2 7" xfId="13439" xr:uid="{A01D9537-FC2E-4A6D-A183-535FEDDE701A}"/>
    <cellStyle name="20% - Accent2 8" xfId="12644" xr:uid="{EE9EA253-0217-42CA-861B-19A1A8C67E11}"/>
    <cellStyle name="20% - Accent2 9" xfId="13511" xr:uid="{9ACEC4AF-9F9D-431C-855C-81CB1EB02AE4}"/>
    <cellStyle name="20% - Accent3" xfId="12645" xr:uid="{5BE29E00-07F9-46EC-B70B-949E39941EB8}"/>
    <cellStyle name="20% - Accent3 10" xfId="13094" xr:uid="{248F9328-4F07-440E-A26B-FEF289F64837}"/>
    <cellStyle name="20% - Accent3 11" xfId="13671" xr:uid="{33F408A1-A185-4D64-8FD8-6EA35BD9D9BF}"/>
    <cellStyle name="20% - Accent3 12" xfId="13849" xr:uid="{F445D209-9C20-4D63-93B1-A683D3E472CE}"/>
    <cellStyle name="20% - Accent3 13" xfId="11446" xr:uid="{6A1070BA-9856-4458-9E05-2EAF5B8DD0E5}"/>
    <cellStyle name="20% - Accent3 14" xfId="11447" xr:uid="{797CF84A-19B4-439A-A92B-9EE49367B7DF}"/>
    <cellStyle name="20% - Accent3 15" xfId="12338" xr:uid="{C88E96E0-DF0B-477A-AC52-65E9D649C31F}"/>
    <cellStyle name="20% - Accent3 16" xfId="12032" xr:uid="{1EC6B902-AD4F-4630-A44D-404AF09672A3}"/>
    <cellStyle name="20% - Accent3 17" xfId="13210" xr:uid="{A6A0E70E-3529-4AD9-A57E-A22802135F8E}"/>
    <cellStyle name="20% - Accent3 18" xfId="13608" xr:uid="{D9951898-89A1-42DF-9600-779BC96899A3}"/>
    <cellStyle name="20% - Accent3 19" xfId="13850" xr:uid="{F7583357-A3DE-4748-A2AA-8CA93DA06815}"/>
    <cellStyle name="20% - Accent3 2" xfId="11980" xr:uid="{B9A12E08-37CC-4098-B9FA-08FE64EC631A}"/>
    <cellStyle name="20% - Accent3 20" xfId="13382" xr:uid="{DA5F683B-F156-4E36-BB1B-0F15FCF51927}"/>
    <cellStyle name="20% - Accent3 21" xfId="12339" xr:uid="{D74E6A39-951B-45DC-9168-926156D379F5}"/>
    <cellStyle name="20% - Accent3 22" xfId="12646" xr:uid="{F000B458-33ED-45AA-AAD6-CCC1C7223512}"/>
    <cellStyle name="20% - Accent3 23" xfId="11025" xr:uid="{6079AF52-F7A4-4169-98B4-37E01052B3D2}"/>
    <cellStyle name="20% - Accent3 3" xfId="13035" xr:uid="{B8D11F06-4398-403A-8308-789AA9199767}"/>
    <cellStyle name="20% - Accent3 4" xfId="13550" xr:uid="{E75C2C45-CCB1-401A-BEEF-9C8A15056E58}"/>
    <cellStyle name="20% - Accent3 5" xfId="11289" xr:uid="{33EEA0FE-B906-4E4A-82AC-4E09AFDB4AC7}"/>
    <cellStyle name="20% - Accent3 6" xfId="12647" xr:uid="{D38EAE83-421C-429C-980D-9027348B062B}"/>
    <cellStyle name="20% - Accent3 7" xfId="13168" xr:uid="{36CA955F-6058-4728-A44B-E259E7B3D322}"/>
    <cellStyle name="20% - Accent3 8" xfId="13271" xr:uid="{47176862-74EA-421F-9BFB-90BB6E8C778A}"/>
    <cellStyle name="20% - Accent3 9" xfId="12648" xr:uid="{6D48A63F-9B96-40F6-B1FF-40A875B30A11}"/>
    <cellStyle name="20% - Accent4" xfId="13440" xr:uid="{CFCDD1B6-4DF3-4010-864C-F4A008871ED3}"/>
    <cellStyle name="20% - Accent4 10" xfId="12649" xr:uid="{996F1346-627F-4C51-B1BB-957A36A699DD}"/>
    <cellStyle name="20% - Accent4 11" xfId="11981" xr:uid="{5BB31F9D-1F37-4034-9236-670AF36AD7A5}"/>
    <cellStyle name="20% - Accent4 12" xfId="13095" xr:uid="{177FD172-D423-48F1-B107-3F707F23A67C}"/>
    <cellStyle name="20% - Accent4 13" xfId="13741" xr:uid="{C4D9B0DA-A86A-41CE-9C6B-F19FD687EC3C}"/>
    <cellStyle name="20% - Accent4 14" xfId="13672" xr:uid="{B08F10F1-BB1E-4C85-B464-3194B8FB9422}"/>
    <cellStyle name="20% - Accent4 15" xfId="13851" xr:uid="{34B4E53F-D133-469F-BF4E-7689371C2030}"/>
    <cellStyle name="20% - Accent4 16" xfId="11842" xr:uid="{C61C64D2-A082-4249-AC9C-CBF27CAD271F}"/>
    <cellStyle name="20% - Accent4 17" xfId="12698" xr:uid="{246FBB09-DECF-412E-9C4D-E454E6E16578}"/>
    <cellStyle name="20% - Accent4 18" xfId="13272" xr:uid="{732C1715-C344-4577-ABC1-343B59E96778}"/>
    <cellStyle name="20% - Accent4 19" xfId="12650" xr:uid="{8BB3E047-D2C8-4EE6-8961-A52ECF5AFB84}"/>
    <cellStyle name="20% - Accent4 2" xfId="12020" xr:uid="{DB333ABE-F101-4408-8952-98536369F3C4}"/>
    <cellStyle name="20% - Accent4 20" xfId="13441" xr:uid="{FDB544BB-4FBE-45FD-BA1F-112A852ADEC1}"/>
    <cellStyle name="20% - Accent4 21" xfId="12033" xr:uid="{365E1F78-40C9-4ADE-9970-A71CFE3CDEB8}"/>
    <cellStyle name="20% - Accent4 22" xfId="12651" xr:uid="{D71EE5F5-D16A-48C4-9D47-51C1995A76BD}"/>
    <cellStyle name="20% - Accent4 23" xfId="13096" xr:uid="{5E80FBA6-2E49-49EB-BF6E-DB009B438C55}"/>
    <cellStyle name="20% - Accent4 3" xfId="13673" xr:uid="{0074EC81-5941-468A-A5D3-05069BC53994}"/>
    <cellStyle name="20% - Accent4 4" xfId="13852" xr:uid="{F4465F8C-29B4-49A7-8F54-E08FBB75E5E3}"/>
    <cellStyle name="20% - Accent4 5" xfId="13959" xr:uid="{F0EDB6B0-F0DF-4FCF-B6B3-6FE31E79EF28}"/>
    <cellStyle name="20% - Accent4 6" xfId="12652" xr:uid="{525E010F-F2F4-45B7-8CE2-A091E38F7256}"/>
    <cellStyle name="20% - Accent4 7" xfId="12653" xr:uid="{03ECA3D7-19B2-4413-BF6F-A873302A863E}"/>
    <cellStyle name="20% - Accent4 8" xfId="12654" xr:uid="{F5C0400A-696E-4768-80B4-85E09C8DE880}"/>
    <cellStyle name="20% - Accent4 9" xfId="13209" xr:uid="{D1C67469-35C4-4741-942C-101A9E4CE0E8}"/>
    <cellStyle name="20% - Accent5" xfId="13607" xr:uid="{751C02B1-FB36-493E-8F3F-5DD2BB55C129}"/>
    <cellStyle name="20% - Accent6" xfId="13853" xr:uid="{B06BFE0B-A835-4D2E-AE9C-3B28421239B8}"/>
    <cellStyle name="20% - Accent6 10" xfId="11519" xr:uid="{D87FF577-1CDD-4B28-B9A4-12575BA6FE79}"/>
    <cellStyle name="20% - Accent6 11" xfId="12655" xr:uid="{3C1F1095-98CD-4031-81CB-7A0F64A41D55}"/>
    <cellStyle name="20% - Accent6 12" xfId="13381" xr:uid="{4A7269F6-D565-4321-93A0-6501C837A7D3}"/>
    <cellStyle name="20% - Accent6 13" xfId="12656" xr:uid="{3CA488C4-35D0-4A89-9220-72576FA5E123}"/>
    <cellStyle name="20% - Accent6 14" xfId="11470" xr:uid="{84C5EDE8-A2B5-4E7E-8CC2-65D203067A71}"/>
    <cellStyle name="20% - Accent6 15" xfId="13034" xr:uid="{F6C70043-0009-444B-BE96-1798A23391A2}"/>
    <cellStyle name="20% - Accent6 16" xfId="11174" xr:uid="{0C42762F-6956-4671-BCE1-4BCCCAF9B0F0}"/>
    <cellStyle name="20% - Accent6 17" xfId="12340" xr:uid="{A3DA8239-7E93-41DC-B5AA-172DDDBDD610}"/>
    <cellStyle name="20% - Accent6 18" xfId="13551" xr:uid="{C2DC132F-5A44-4293-A96B-258126CD066F}"/>
    <cellStyle name="20% - Accent6 19" xfId="13784" xr:uid="{EC76A401-0E35-40D7-B380-E351C08B0FD9}"/>
    <cellStyle name="20% - Accent6 2" xfId="11175" xr:uid="{A1386FC8-9C10-423B-AEE1-D0BB43411A8C}"/>
    <cellStyle name="20% - Accent6 20" xfId="13785" xr:uid="{64E5A45C-7090-4547-98A1-5BF25285E703}"/>
    <cellStyle name="20% - Accent6 21" xfId="12468" xr:uid="{C526A201-8ADC-4F29-9688-A3750408D5F6}"/>
    <cellStyle name="20% - Accent6 22" xfId="12657" xr:uid="{A2848BF9-6B3A-4BCA-88A0-1F162B79BD69}"/>
    <cellStyle name="20% - Accent6 23" xfId="12341" xr:uid="{E8A1AAA1-E9D6-4456-8D67-E54468D75DC4}"/>
    <cellStyle name="20% - Accent6 3" xfId="13273" xr:uid="{4B7C6A7C-3947-47FC-8914-CA9C1A450729}"/>
    <cellStyle name="20% - Accent6 4" xfId="12658" xr:uid="{46A60BBA-833E-4FC2-8094-F297A4334D82}"/>
    <cellStyle name="20% - Accent6 5" xfId="13442" xr:uid="{3407C167-AE08-4EE2-9621-712B7C25C087}"/>
    <cellStyle name="20% - Accent6 6" xfId="12659" xr:uid="{BD2D65EF-447E-4F51-91BA-4CEDF87DE82C}"/>
    <cellStyle name="20% - Accent6 7" xfId="11982" xr:uid="{00496D79-FDB8-4541-A01F-25FAA0C67448}"/>
    <cellStyle name="20% - Accent6 8" xfId="13097" xr:uid="{F61F5001-DAA7-4C7A-A37C-646350D51D9F}"/>
    <cellStyle name="20% - Accent6 9" xfId="13248" xr:uid="{54F82DCC-A9AB-4ACF-8302-EFE2EB2758F8}"/>
    <cellStyle name="20% - Énfasis1 10" xfId="552" xr:uid="{2A1323C8-FD08-414B-B189-B90E9CF32004}"/>
    <cellStyle name="20% - Énfasis1 11" xfId="553" xr:uid="{5ED122D4-1B68-4AC2-BCCD-AF1D44A0E44D}"/>
    <cellStyle name="20% - Énfasis1 12" xfId="554" xr:uid="{61C08D5A-94E5-403B-8B56-7A35560DBA7A}"/>
    <cellStyle name="20% - Énfasis1 13" xfId="555" xr:uid="{E4162293-9DD8-42E6-9A47-C3AEFC0379D7}"/>
    <cellStyle name="20% - Énfasis1 14" xfId="556" xr:uid="{2F186A12-B954-4CCC-A820-410E584DBFA8}"/>
    <cellStyle name="20% - Énfasis1 15" xfId="557" xr:uid="{11096BF4-43A9-4527-A520-932E5D0E0785}"/>
    <cellStyle name="20% - Énfasis1 16" xfId="558" xr:uid="{44B31F0F-C4A1-47A0-809D-0B91698750FD}"/>
    <cellStyle name="20% - Énfasis1 17" xfId="559" xr:uid="{C6311BA9-39C8-4F1A-9A5C-4ABEE77CD200}"/>
    <cellStyle name="20% - Énfasis1 18" xfId="560" xr:uid="{4B401A6B-4986-487A-A08A-8876A92E6AC8}"/>
    <cellStyle name="20% - Énfasis1 19" xfId="561" xr:uid="{BE2BBA79-7EC1-4F50-A7EA-E5B3BEFFDF1F}"/>
    <cellStyle name="20% - Énfasis1 2" xfId="10" xr:uid="{B917C706-88E0-4AB5-A4BC-F4528766E795}"/>
    <cellStyle name="20% - Énfasis1 2 2" xfId="161" xr:uid="{50E8762B-F344-4BA6-8834-E940ECC3A59E}"/>
    <cellStyle name="20% - Énfasis1 2 3" xfId="562" xr:uid="{E3C817B2-3D40-4086-9A78-2FBBA397A6EA}"/>
    <cellStyle name="20% - Énfasis1 2 4" xfId="563" xr:uid="{37E8257D-36CC-4CF3-8A6E-DF7E59D2ABCE}"/>
    <cellStyle name="20% - Énfasis1 2 5" xfId="564" xr:uid="{A6D0A146-57D6-4C61-A70C-7868E8E2B4BC}"/>
    <cellStyle name="20% - Énfasis1 2 6" xfId="13674" xr:uid="{53DF6ADB-0D58-4CF8-9716-562D57FC2CF4}"/>
    <cellStyle name="20% - Énfasis1 20" xfId="565" xr:uid="{5D1F8B69-AAAD-4BF6-A3F9-B27FA64F304F}"/>
    <cellStyle name="20% - Énfasis1 21" xfId="566" xr:uid="{B6FE6D14-7D21-4D1C-A343-C3369CFF7CA2}"/>
    <cellStyle name="20% - Énfasis1 22" xfId="567" xr:uid="{C12C6815-C966-447C-88BA-1E82DF501A7C}"/>
    <cellStyle name="20% - Énfasis1 23" xfId="568" xr:uid="{3A59E5AD-A5B8-43B0-9AFF-BBB77284C184}"/>
    <cellStyle name="20% - Énfasis1 24" xfId="569" xr:uid="{2E1CEB61-5786-46B0-8E21-1C6157DAFD93}"/>
    <cellStyle name="20% - Énfasis1 25" xfId="570" xr:uid="{8A7400F9-F065-46D9-85A0-3912D2B06FAC}"/>
    <cellStyle name="20% - Énfasis1 26" xfId="571" xr:uid="{9375D2E4-E2E7-4AC3-B87F-92205C82243D}"/>
    <cellStyle name="20% - Énfasis1 27" xfId="572" xr:uid="{DF3D202F-BC84-40D9-8EB9-BBE07E8ADB22}"/>
    <cellStyle name="20% - Énfasis1 28" xfId="573" xr:uid="{7F4955EA-D8CA-4DE4-801E-0C7C4A604E54}"/>
    <cellStyle name="20% - Énfasis1 29" xfId="574" xr:uid="{E37B3225-A920-4D42-B4BC-3C92F47DBA29}"/>
    <cellStyle name="20% - Énfasis1 3" xfId="162" xr:uid="{825B1871-1EE2-43AD-ACDE-24582B159A2E}"/>
    <cellStyle name="20% - Énfasis1 3 2" xfId="163" xr:uid="{945CD69D-A276-476F-9B95-ED0152E53145}"/>
    <cellStyle name="20% - Énfasis1 3 3" xfId="13854" xr:uid="{7841DDAD-BD7F-46D3-8056-DE9CA7C20BDB}"/>
    <cellStyle name="20% - Énfasis1 30" xfId="575" xr:uid="{822F9E46-507A-4EBD-9C86-AB0F043D1A78}"/>
    <cellStyle name="20% - Énfasis1 31" xfId="576" xr:uid="{9CEAC0D5-FC3E-4148-BC0C-93D9B2A7ADF0}"/>
    <cellStyle name="20% - Énfasis1 32" xfId="577" xr:uid="{E1875595-34AC-4012-B1F4-1299C171D63B}"/>
    <cellStyle name="20% - Énfasis1 33" xfId="578" xr:uid="{0E6FD177-D007-44DD-929B-800FC6C6A41E}"/>
    <cellStyle name="20% - Énfasis1 34" xfId="579" xr:uid="{15B0CD32-A376-492F-8539-21682310AC1D}"/>
    <cellStyle name="20% - Énfasis1 35" xfId="580" xr:uid="{DF6B3903-5D74-4C72-BDB3-FB64856BFC8C}"/>
    <cellStyle name="20% - Énfasis1 36" xfId="581" xr:uid="{D0AC946D-6B75-43FC-95D9-115DBB6420D5}"/>
    <cellStyle name="20% - Énfasis1 37" xfId="582" xr:uid="{A05F16FD-F7F1-492F-930D-5308460EF7A0}"/>
    <cellStyle name="20% - Énfasis1 38" xfId="583" xr:uid="{3B15BF9B-8EB7-418A-95CB-A55AA0C2277C}"/>
    <cellStyle name="20% - Énfasis1 39" xfId="584" xr:uid="{91D1296F-0762-43AA-9C2F-C57B18F9BB7E}"/>
    <cellStyle name="20% - Énfasis1 4" xfId="164" xr:uid="{BF6D527E-7BE1-44E5-A533-69D00D9A79BA}"/>
    <cellStyle name="20% - Énfasis1 4 2" xfId="165" xr:uid="{1112FF56-0D8E-4674-8EE6-923634B68D64}"/>
    <cellStyle name="20% - Énfasis1 4 3" xfId="11292" xr:uid="{04FE11CF-AD9B-479F-9A49-606493C6CCAD}"/>
    <cellStyle name="20% - Énfasis1 40" xfId="585" xr:uid="{37F3E65D-4960-498D-85D7-9C2DB5202E74}"/>
    <cellStyle name="20% - Énfasis1 41" xfId="586" xr:uid="{D7D3E71A-B3A8-430E-BF3D-E56D78D1670F}"/>
    <cellStyle name="20% - Énfasis1 42" xfId="587" xr:uid="{0C8291DE-449A-46DC-AA4B-1795EF36AB5A}"/>
    <cellStyle name="20% - Énfasis1 43" xfId="588" xr:uid="{442CEC10-B59A-4F35-83B8-7AE9617866D5}"/>
    <cellStyle name="20% - Énfasis1 44" xfId="589" xr:uid="{B386DF35-E0C8-453C-8B42-5BD5C4657DD2}"/>
    <cellStyle name="20% - Énfasis1 45" xfId="590" xr:uid="{C754D88E-0FAE-43E2-B6F3-1D209751C013}"/>
    <cellStyle name="20% - Énfasis1 46" xfId="591" xr:uid="{62567C50-8FD3-4995-9C5B-716359BEA1D8}"/>
    <cellStyle name="20% - Énfasis1 47" xfId="592" xr:uid="{C071B580-ABB2-4EC0-950F-D69E13A69E1D}"/>
    <cellStyle name="20% - Énfasis1 48" xfId="593" xr:uid="{F6338689-D3F5-4B3F-BBF0-E5D39EC8D6E1}"/>
    <cellStyle name="20% - Énfasis1 49" xfId="594" xr:uid="{51339B01-705E-4C4A-8E3B-4F7056C3040B}"/>
    <cellStyle name="20% - Énfasis1 5" xfId="166" xr:uid="{FBC2CFB4-3AE3-46B8-8859-540F5F578D16}"/>
    <cellStyle name="20% - Énfasis1 5 2" xfId="167" xr:uid="{9ECEAD96-263E-4C3D-B184-4D1D44E4824E}"/>
    <cellStyle name="20% - Énfasis1 5 3" xfId="12660" xr:uid="{23F9C753-BC4E-4022-94D9-27670758C86B}"/>
    <cellStyle name="20% - Énfasis1 50" xfId="595" xr:uid="{383234CE-F5D5-4456-B270-260512545139}"/>
    <cellStyle name="20% - Énfasis1 51" xfId="596" xr:uid="{60219066-16CF-4D3C-BB13-348FD996B897}"/>
    <cellStyle name="20% - Énfasis1 52" xfId="597" xr:uid="{024C6E94-AF07-4083-90BF-AC9BDB775C29}"/>
    <cellStyle name="20% - Énfasis1 53" xfId="598" xr:uid="{A9EAF34D-6733-4BB8-AD95-7558AA817C3A}"/>
    <cellStyle name="20% - Énfasis1 54" xfId="599" xr:uid="{112E823F-E09D-47F3-9007-201D30886FAE}"/>
    <cellStyle name="20% - Énfasis1 55" xfId="600" xr:uid="{992E09C7-DCF0-4488-AD66-783AC63DDF90}"/>
    <cellStyle name="20% - Énfasis1 56" xfId="601" xr:uid="{3433CDAE-3894-4095-921A-091F46F476B8}"/>
    <cellStyle name="20% - Énfasis1 57" xfId="602" xr:uid="{361595D8-2FC4-4E45-A2BB-577ECC560EA0}"/>
    <cellStyle name="20% - Énfasis1 58" xfId="603" xr:uid="{E3310372-34D6-4708-AC75-661DC8AB8388}"/>
    <cellStyle name="20% - Énfasis1 59" xfId="604" xr:uid="{AA872A2B-9329-44F8-9443-373584DE63A7}"/>
    <cellStyle name="20% - Énfasis1 6" xfId="168" xr:uid="{628DE462-8318-4BE4-AEE8-6CDBDBFF5B4E}"/>
    <cellStyle name="20% - Énfasis1 6 2" xfId="169" xr:uid="{AEA6B318-832D-4290-BFF9-2FF2C15F5882}"/>
    <cellStyle name="20% - Énfasis1 6 3" xfId="13274" xr:uid="{EF499184-A255-4E4C-862A-067F7B923409}"/>
    <cellStyle name="20% - Énfasis1 60" xfId="605" xr:uid="{0D3C5D01-0324-442B-AEF3-371879DB9D36}"/>
    <cellStyle name="20% - Énfasis1 61" xfId="606" xr:uid="{23304A0F-C2FF-4753-8EF5-59D95F64252B}"/>
    <cellStyle name="20% - Énfasis1 62" xfId="607" xr:uid="{FE2EB5F3-8407-4944-B3F0-1BB7420160B3}"/>
    <cellStyle name="20% - Énfasis1 63" xfId="608" xr:uid="{FB3D0042-948E-4EC9-AB46-3D2638F5A074}"/>
    <cellStyle name="20% - Énfasis1 64" xfId="609" xr:uid="{FA10F45F-072C-4307-8AD2-0197ED7BF1A6}"/>
    <cellStyle name="20% - Énfasis1 65" xfId="610" xr:uid="{B2A52E00-C76A-4E6F-9479-04C050B1EE3B}"/>
    <cellStyle name="20% - Énfasis1 66" xfId="611" xr:uid="{F6084345-D7D8-46A4-9525-EE96A561C12B}"/>
    <cellStyle name="20% - Énfasis1 67" xfId="612" xr:uid="{C4E728F7-D509-4A3B-9AAD-91B6C11F51B6}"/>
    <cellStyle name="20% - Énfasis1 68" xfId="498" xr:uid="{4D9DA913-7778-4516-83DC-8AEB4E753CF2}"/>
    <cellStyle name="20% - Énfasis1 7" xfId="170" xr:uid="{C32F3155-0B20-4FC7-9836-2EC56B200163}"/>
    <cellStyle name="20% - Énfasis1 7 2" xfId="171" xr:uid="{F083188E-B5A3-4C4C-8C56-9288B9E3A393}"/>
    <cellStyle name="20% - Énfasis1 7 3" xfId="12661" xr:uid="{8F30AA44-DA80-499F-942B-49002F2C1317}"/>
    <cellStyle name="20% - Énfasis1 8" xfId="172" xr:uid="{E5979E90-E494-4B48-9544-4C20483220E4}"/>
    <cellStyle name="20% - Énfasis1 9" xfId="613" xr:uid="{021F2ED8-5A31-4FE9-84A9-8FDFA40D7AE3}"/>
    <cellStyle name="20% - Énfasis2 10" xfId="614" xr:uid="{957F037E-4ED6-493B-BD74-2058A0C99416}"/>
    <cellStyle name="20% - Énfasis2 11" xfId="615" xr:uid="{444FF71E-B714-4DF8-A7A2-DA49FD35818A}"/>
    <cellStyle name="20% - Énfasis2 12" xfId="616" xr:uid="{12EAEEE4-2E08-4038-A883-14365B56760A}"/>
    <cellStyle name="20% - Énfasis2 13" xfId="617" xr:uid="{FF253621-481B-4362-AEC2-E80F1A8AEA91}"/>
    <cellStyle name="20% - Énfasis2 14" xfId="618" xr:uid="{12324431-CF2E-44C2-B5D3-8FF0E381EBC6}"/>
    <cellStyle name="20% - Énfasis2 15" xfId="619" xr:uid="{27009661-8A1C-4439-A39E-E818258405C0}"/>
    <cellStyle name="20% - Énfasis2 16" xfId="620" xr:uid="{47748975-48BF-40F3-8612-DDD8BC8E11DF}"/>
    <cellStyle name="20% - Énfasis2 17" xfId="621" xr:uid="{6098BA0A-0097-4583-8903-D2CAE7C450D8}"/>
    <cellStyle name="20% - Énfasis2 18" xfId="622" xr:uid="{AA304953-0977-41F9-A655-6E73F7973E55}"/>
    <cellStyle name="20% - Énfasis2 19" xfId="623" xr:uid="{264A243A-9C0C-4901-8EDB-30FFA41EB860}"/>
    <cellStyle name="20% - Énfasis2 2" xfId="11" xr:uid="{7EFC19C9-DA75-48A3-8D53-8E4A4A4A00AB}"/>
    <cellStyle name="20% - Énfasis2 2 2" xfId="173" xr:uid="{07B85E27-41D5-49EE-B321-60EE4D96B678}"/>
    <cellStyle name="20% - Énfasis2 2 3" xfId="624" xr:uid="{A8DC4130-4A57-4ED1-A3C9-3640BFAEAEB6}"/>
    <cellStyle name="20% - Énfasis2 2 4" xfId="625" xr:uid="{163D22DE-1A58-4398-85AE-4BD1C3A30EE3}"/>
    <cellStyle name="20% - Énfasis2 2 5" xfId="626" xr:uid="{0857C653-379E-493B-986C-74475B10F120}"/>
    <cellStyle name="20% - Énfasis2 2 6" xfId="13646" xr:uid="{EE299016-3938-4AE3-9D3D-25E03F55164A}"/>
    <cellStyle name="20% - Énfasis2 20" xfId="627" xr:uid="{1AAD1FCF-F799-46B5-BFFA-77C3A8D057AD}"/>
    <cellStyle name="20% - Énfasis2 21" xfId="628" xr:uid="{385FB586-2C4F-4E77-AF43-1CF833504488}"/>
    <cellStyle name="20% - Énfasis2 22" xfId="629" xr:uid="{8A65449A-490E-4368-BA44-B7D6BF03519B}"/>
    <cellStyle name="20% - Énfasis2 23" xfId="630" xr:uid="{F1241E45-DF2F-4664-812A-DEDF0942D418}"/>
    <cellStyle name="20% - Énfasis2 24" xfId="631" xr:uid="{BE5E28C1-E190-46E6-9F58-38AEDE202D18}"/>
    <cellStyle name="20% - Énfasis2 25" xfId="632" xr:uid="{3B7F0911-3F2D-4317-8236-82AD5BBA372A}"/>
    <cellStyle name="20% - Énfasis2 26" xfId="633" xr:uid="{ADAFB906-C08E-4742-A553-54AAF1B867D2}"/>
    <cellStyle name="20% - Énfasis2 27" xfId="634" xr:uid="{96EE9526-C4FD-44C1-B6F5-EE39F81B3BE1}"/>
    <cellStyle name="20% - Énfasis2 28" xfId="635" xr:uid="{5B365698-0AD4-4CCC-A790-7B4D9D0B6310}"/>
    <cellStyle name="20% - Énfasis2 29" xfId="636" xr:uid="{4184785C-6D8E-49B0-8B26-A87E8B0D5C06}"/>
    <cellStyle name="20% - Énfasis2 3" xfId="174" xr:uid="{21928688-A04E-42A0-979B-044DB9E11AF5}"/>
    <cellStyle name="20% - Énfasis2 3 2" xfId="175" xr:uid="{8260468F-28B6-43E5-B358-B67449B991F4}"/>
    <cellStyle name="20% - Énfasis2 3 3" xfId="13443" xr:uid="{AECE184D-3C14-462D-97D6-875736857F5A}"/>
    <cellStyle name="20% - Énfasis2 30" xfId="637" xr:uid="{3E7F4DFC-4998-404C-8805-07446656BCDD}"/>
    <cellStyle name="20% - Énfasis2 31" xfId="638" xr:uid="{678B4733-758B-4FC3-96B9-EEC21EB5A1DA}"/>
    <cellStyle name="20% - Énfasis2 32" xfId="639" xr:uid="{61285DCC-D9BC-4841-BC05-6A3ADA609839}"/>
    <cellStyle name="20% - Énfasis2 33" xfId="640" xr:uid="{7A61211E-98F3-4FE2-A236-864146A7EB7F}"/>
    <cellStyle name="20% - Énfasis2 34" xfId="641" xr:uid="{AD146F42-00AE-4F37-8D86-ED9763843152}"/>
    <cellStyle name="20% - Énfasis2 35" xfId="642" xr:uid="{92820BFF-5E9E-4EBE-BE1C-A817AFC3C40A}"/>
    <cellStyle name="20% - Énfasis2 36" xfId="643" xr:uid="{D10F0704-3C0E-4F38-98A5-930A0B8790DD}"/>
    <cellStyle name="20% - Énfasis2 37" xfId="644" xr:uid="{F69DBBEB-F912-4860-8C3C-D4BB24BB7357}"/>
    <cellStyle name="20% - Énfasis2 38" xfId="645" xr:uid="{30737BD5-148B-4C78-8269-6A62A480C6C4}"/>
    <cellStyle name="20% - Énfasis2 39" xfId="646" xr:uid="{796D4AF2-3FC6-4EF2-8213-1E26D845ABEB}"/>
    <cellStyle name="20% - Énfasis2 4" xfId="176" xr:uid="{2F6CCFF6-932D-4245-B555-377A00B08AAA}"/>
    <cellStyle name="20% - Énfasis2 4 2" xfId="177" xr:uid="{9ACD2ED0-9837-461F-9B49-97B6BF81C2A6}"/>
    <cellStyle name="20% - Énfasis2 4 3" xfId="12034" xr:uid="{27E67583-2DD4-4F20-98A5-7141EF647103}"/>
    <cellStyle name="20% - Énfasis2 40" xfId="647" xr:uid="{62880964-06FC-46DE-AD31-46D91A9E9396}"/>
    <cellStyle name="20% - Énfasis2 41" xfId="648" xr:uid="{61716D4C-3638-4846-995F-DA12CC56C416}"/>
    <cellStyle name="20% - Énfasis2 42" xfId="649" xr:uid="{F3E10B7F-0B15-48F5-BDB0-13CDB343F37E}"/>
    <cellStyle name="20% - Énfasis2 43" xfId="650" xr:uid="{9B2C777D-A57C-4E40-A157-50782C6A9881}"/>
    <cellStyle name="20% - Énfasis2 44" xfId="651" xr:uid="{2337B48A-DE2F-41D7-BFE3-CFD57B06928A}"/>
    <cellStyle name="20% - Énfasis2 45" xfId="652" xr:uid="{0EC7C182-568E-40B5-869C-379D6465B36E}"/>
    <cellStyle name="20% - Énfasis2 46" xfId="653" xr:uid="{AF0C8520-E976-4BF8-B014-332E4A7A5789}"/>
    <cellStyle name="20% - Énfasis2 47" xfId="654" xr:uid="{28FEF213-E147-45EA-A961-2C035F560580}"/>
    <cellStyle name="20% - Énfasis2 48" xfId="655" xr:uid="{249D3AD4-1FCE-42D8-BFC3-58645553DCE7}"/>
    <cellStyle name="20% - Énfasis2 49" xfId="656" xr:uid="{414BFD60-0FEF-4178-BCC6-C31568A4E590}"/>
    <cellStyle name="20% - Énfasis2 5" xfId="178" xr:uid="{7D48FA96-E367-40C8-A51C-1E65FC72F67D}"/>
    <cellStyle name="20% - Énfasis2 5 2" xfId="179" xr:uid="{28D086EC-56BC-468A-9F36-8A4D39E7520A}"/>
    <cellStyle name="20% - Énfasis2 5 3" xfId="12662" xr:uid="{FF7D58E7-2720-40AA-9A35-BA60C903B907}"/>
    <cellStyle name="20% - Énfasis2 50" xfId="657" xr:uid="{8532310D-9409-4B45-B264-D828551844EB}"/>
    <cellStyle name="20% - Énfasis2 51" xfId="658" xr:uid="{CE4E7F69-D593-4ABE-BEC3-4E89B9F4825B}"/>
    <cellStyle name="20% - Énfasis2 52" xfId="659" xr:uid="{29F091D1-7DB7-44D0-A084-E5377B361F12}"/>
    <cellStyle name="20% - Énfasis2 53" xfId="660" xr:uid="{45103265-8553-4B23-A19A-851DC2B6D614}"/>
    <cellStyle name="20% - Énfasis2 54" xfId="661" xr:uid="{265B5D0B-7642-48FE-A422-CD632C88BCBD}"/>
    <cellStyle name="20% - Énfasis2 55" xfId="662" xr:uid="{F30CCCAF-6D97-483A-B0D5-659A3A930D3F}"/>
    <cellStyle name="20% - Énfasis2 56" xfId="663" xr:uid="{E305F0F8-AF7E-4AE6-AFAF-E65046D3717A}"/>
    <cellStyle name="20% - Énfasis2 57" xfId="664" xr:uid="{5BAB6998-1E9A-4DB4-9585-584A1BBEC137}"/>
    <cellStyle name="20% - Énfasis2 58" xfId="665" xr:uid="{13185E03-451E-462B-876B-BDD5BC633856}"/>
    <cellStyle name="20% - Énfasis2 59" xfId="666" xr:uid="{0904D2D9-CFDB-470D-A448-C84758A714AC}"/>
    <cellStyle name="20% - Énfasis2 6" xfId="180" xr:uid="{28697299-EF53-41FA-98A0-441DBFF659BD}"/>
    <cellStyle name="20% - Énfasis2 6 2" xfId="181" xr:uid="{23EC72F4-2A99-41BB-A135-5F301970D53B}"/>
    <cellStyle name="20% - Énfasis2 6 3" xfId="13098" xr:uid="{079A81DC-576B-417E-87EF-0C2B3F2578C7}"/>
    <cellStyle name="20% - Énfasis2 60" xfId="667" xr:uid="{0365B8BC-093B-4424-9236-F7060C6E4C89}"/>
    <cellStyle name="20% - Énfasis2 61" xfId="668" xr:uid="{E46FAFBF-13C1-434A-9610-A4F4EF99FA27}"/>
    <cellStyle name="20% - Énfasis2 62" xfId="669" xr:uid="{C3CD4005-5830-4D07-A367-809020FC09FC}"/>
    <cellStyle name="20% - Énfasis2 63" xfId="670" xr:uid="{C7B4A76B-5221-41F6-B4D0-B75BB7ED893F}"/>
    <cellStyle name="20% - Énfasis2 64" xfId="671" xr:uid="{6B70A431-9168-4B2E-98AC-6E62B55DEFE2}"/>
    <cellStyle name="20% - Énfasis2 65" xfId="672" xr:uid="{EB4436D2-459C-46B4-90B3-546EB4768A9C}"/>
    <cellStyle name="20% - Énfasis2 66" xfId="673" xr:uid="{A60F7D00-DBD2-43B5-9EC4-1C4392791FE6}"/>
    <cellStyle name="20% - Énfasis2 67" xfId="674" xr:uid="{427C4CA2-84FC-4C11-9991-AF2903BA82B2}"/>
    <cellStyle name="20% - Énfasis2 68" xfId="499" xr:uid="{D41C7AB6-FE66-43A6-88E2-AF451A56CA1B}"/>
    <cellStyle name="20% - Énfasis2 7" xfId="182" xr:uid="{3343C875-4901-4BBF-A93F-9B02C41CC87D}"/>
    <cellStyle name="20% - Énfasis2 7 2" xfId="183" xr:uid="{49EB0037-6C47-4CB6-B210-87AFE694C45C}"/>
    <cellStyle name="20% - Énfasis2 7 3" xfId="13675" xr:uid="{E941774D-71B3-4630-B9D7-38BF23DDBCFC}"/>
    <cellStyle name="20% - Énfasis2 8" xfId="184" xr:uid="{8DD44EEB-684C-4584-87E5-27C029A8E687}"/>
    <cellStyle name="20% - Énfasis2 9" xfId="675" xr:uid="{4339AA25-2480-4147-B664-ABD8D32D062F}"/>
    <cellStyle name="20% - Énfasis3 10" xfId="676" xr:uid="{52668356-87BE-4E49-A05A-D89F1DD77725}"/>
    <cellStyle name="20% - Énfasis3 11" xfId="677" xr:uid="{FE983563-22C4-40FB-B49C-5C20CE81B272}"/>
    <cellStyle name="20% - Énfasis3 12" xfId="678" xr:uid="{68FDBA2A-C7E2-49B4-8381-AE1DF9C8A546}"/>
    <cellStyle name="20% - Énfasis3 13" xfId="679" xr:uid="{AAFC5608-25DB-4592-8CC2-1773F23731F0}"/>
    <cellStyle name="20% - Énfasis3 14" xfId="680" xr:uid="{98A7D195-32BC-4D1B-A07A-BEA8371F6D14}"/>
    <cellStyle name="20% - Énfasis3 15" xfId="681" xr:uid="{38C9D58D-CAD9-4723-A69A-4C4BE2800894}"/>
    <cellStyle name="20% - Énfasis3 16" xfId="682" xr:uid="{3BAE4CAE-2889-4B10-80B4-7F635970FE67}"/>
    <cellStyle name="20% - Énfasis3 17" xfId="683" xr:uid="{5FD7ECDB-75EE-4BA1-80BE-81DECB568427}"/>
    <cellStyle name="20% - Énfasis3 18" xfId="684" xr:uid="{9C7AAE5F-C3C5-4273-A5DC-1E31E358F9CD}"/>
    <cellStyle name="20% - Énfasis3 19" xfId="685" xr:uid="{84F544C6-6A59-41E4-A606-3E8897BF3A6E}"/>
    <cellStyle name="20% - Énfasis3 2" xfId="12" xr:uid="{EA376467-492E-4741-A4A8-0B88997AE192}"/>
    <cellStyle name="20% - Énfasis3 2 2" xfId="185" xr:uid="{D5869213-B4DF-4320-9560-CA3FC45B9B15}"/>
    <cellStyle name="20% - Énfasis3 2 3" xfId="686" xr:uid="{A3853D13-152C-45B8-8AC9-1FC3B2404E02}"/>
    <cellStyle name="20% - Énfasis3 2 4" xfId="687" xr:uid="{CCC849D4-4D40-40A7-9300-7828EB9151A1}"/>
    <cellStyle name="20% - Énfasis3 2 5" xfId="688" xr:uid="{DC41EE65-9EBF-4260-B354-096E66C90DE8}"/>
    <cellStyle name="20% - Énfasis3 2 6" xfId="13855" xr:uid="{92143E13-3372-4AC7-94E3-01480939ED53}"/>
    <cellStyle name="20% - Énfasis3 20" xfId="689" xr:uid="{1DFB19D4-5017-4401-8788-0CFB79214420}"/>
    <cellStyle name="20% - Énfasis3 21" xfId="690" xr:uid="{9B085606-5FB7-4BFA-9280-59B8D57DF9D2}"/>
    <cellStyle name="20% - Énfasis3 22" xfId="691" xr:uid="{C94B301C-2A66-4002-A24A-24943834954D}"/>
    <cellStyle name="20% - Énfasis3 23" xfId="692" xr:uid="{09252A31-DCCB-4342-AF27-2D340FEAC121}"/>
    <cellStyle name="20% - Énfasis3 24" xfId="693" xr:uid="{4666F015-E358-42EE-B6BC-D2CCA0606780}"/>
    <cellStyle name="20% - Énfasis3 25" xfId="694" xr:uid="{E7EA6F8C-4B85-44E4-8C76-D7C54C023CAB}"/>
    <cellStyle name="20% - Énfasis3 26" xfId="695" xr:uid="{D32D7A81-7063-4E68-8AB0-FD2BF52AAA4D}"/>
    <cellStyle name="20% - Énfasis3 27" xfId="696" xr:uid="{4891CC5F-B182-4965-86BE-928B3B84BE8E}"/>
    <cellStyle name="20% - Énfasis3 28" xfId="697" xr:uid="{56ED517A-D2B4-43DD-B8A1-F8D826556BD2}"/>
    <cellStyle name="20% - Énfasis3 29" xfId="698" xr:uid="{EFCEA764-0B34-4692-95DA-02C0820056C6}"/>
    <cellStyle name="20% - Énfasis3 3" xfId="186" xr:uid="{A516DE7A-1E6E-4BA4-BF87-02246DC2911A}"/>
    <cellStyle name="20% - Énfasis3 3 2" xfId="187" xr:uid="{2E33D4E5-5865-4762-B0DD-4EFF31A3959B}"/>
    <cellStyle name="20% - Énfasis3 3 3" xfId="13960" xr:uid="{B4181E28-74DB-40BE-AE5A-7CD672F7164D}"/>
    <cellStyle name="20% - Énfasis3 30" xfId="699" xr:uid="{E45CA323-AA3A-471B-B737-5D66C4D0652E}"/>
    <cellStyle name="20% - Énfasis3 31" xfId="700" xr:uid="{8CE2A0EA-3D4B-4732-8DDF-2D81590DF618}"/>
    <cellStyle name="20% - Énfasis3 32" xfId="701" xr:uid="{CE39FAE8-8763-4B23-9DCD-85AFA3C8CCD2}"/>
    <cellStyle name="20% - Énfasis3 33" xfId="702" xr:uid="{C1BB344A-ED82-4034-8648-175A38B23255}"/>
    <cellStyle name="20% - Énfasis3 34" xfId="703" xr:uid="{185A468B-F357-4152-B095-E4A3D99847D9}"/>
    <cellStyle name="20% - Énfasis3 35" xfId="704" xr:uid="{4A1FDB03-A854-4238-A850-D4031FF96C85}"/>
    <cellStyle name="20% - Énfasis3 36" xfId="705" xr:uid="{17AB735C-986D-4341-9374-75D25642033D}"/>
    <cellStyle name="20% - Énfasis3 37" xfId="706" xr:uid="{48AA0B28-34D5-4932-B349-282A02F88B5E}"/>
    <cellStyle name="20% - Énfasis3 38" xfId="707" xr:uid="{3B4BB21E-2DA0-4067-86F5-0B2EF99DD361}"/>
    <cellStyle name="20% - Énfasis3 39" xfId="708" xr:uid="{44EA2409-E1B8-4566-B4FA-4F7F6F44B833}"/>
    <cellStyle name="20% - Énfasis3 4" xfId="188" xr:uid="{FCF9E344-E5DB-43E9-B891-71D197CF8F84}"/>
    <cellStyle name="20% - Énfasis3 4 2" xfId="189" xr:uid="{64A6E8AF-1B0F-4C38-9D0D-F7BF4669D317}"/>
    <cellStyle name="20% - Énfasis3 4 3" xfId="12612" xr:uid="{293479EE-721F-4771-885D-29DC4EC859B1}"/>
    <cellStyle name="20% - Énfasis3 40" xfId="709" xr:uid="{A587608C-8E5D-4E5A-803D-2D5AF407C7E0}"/>
    <cellStyle name="20% - Énfasis3 41" xfId="710" xr:uid="{7CAE6C70-9B62-40FF-8307-B9FD9ECB98EA}"/>
    <cellStyle name="20% - Énfasis3 42" xfId="711" xr:uid="{82D561A5-6F42-4A2B-B1B5-A5FD99B7DE1C}"/>
    <cellStyle name="20% - Énfasis3 43" xfId="712" xr:uid="{2CF5D65C-D7B0-45A6-AF5F-40CAECBE43B9}"/>
    <cellStyle name="20% - Énfasis3 44" xfId="713" xr:uid="{9EC3B7E2-73FC-4E05-8AF7-91ECE993B916}"/>
    <cellStyle name="20% - Énfasis3 45" xfId="714" xr:uid="{CCD75F80-D26B-4B52-A4C9-82AA5C009FF2}"/>
    <cellStyle name="20% - Énfasis3 46" xfId="715" xr:uid="{BAE6FAC1-3F65-4A54-968B-83CC72D700F1}"/>
    <cellStyle name="20% - Énfasis3 47" xfId="716" xr:uid="{82D2BD54-ED5F-494B-AAE3-2B93844A4DDC}"/>
    <cellStyle name="20% - Énfasis3 48" xfId="717" xr:uid="{1255C6CC-E75F-4737-9F71-56AFC52F5E38}"/>
    <cellStyle name="20% - Énfasis3 49" xfId="718" xr:uid="{FCBB3702-8C85-43C6-9757-036C0B3F0441}"/>
    <cellStyle name="20% - Énfasis3 5" xfId="190" xr:uid="{9512B6B6-51E0-4FE5-A485-B4073E06AD6A}"/>
    <cellStyle name="20% - Énfasis3 5 2" xfId="191" xr:uid="{3183A7A0-B564-41F8-8B02-09B604E7A90E}"/>
    <cellStyle name="20% - Énfasis3 5 3" xfId="12663" xr:uid="{57887AAF-8C13-4F1D-8700-723797490062}"/>
    <cellStyle name="20% - Énfasis3 50" xfId="719" xr:uid="{AC41FD8B-029F-473E-8A12-5884B1780AFF}"/>
    <cellStyle name="20% - Énfasis3 51" xfId="720" xr:uid="{D464ACAF-C722-4EAC-86A1-28352EED4B10}"/>
    <cellStyle name="20% - Énfasis3 52" xfId="721" xr:uid="{6FFA1A9F-4507-4250-A26F-72BF8161B2B2}"/>
    <cellStyle name="20% - Énfasis3 53" xfId="722" xr:uid="{E3DB6083-479C-444C-888E-55EB5C53C66E}"/>
    <cellStyle name="20% - Énfasis3 54" xfId="723" xr:uid="{CBE809C8-58AE-4D89-9FED-C4B6C6E5042D}"/>
    <cellStyle name="20% - Énfasis3 55" xfId="724" xr:uid="{5F3095B1-ADE0-4102-8C4F-470843E7914E}"/>
    <cellStyle name="20% - Énfasis3 56" xfId="725" xr:uid="{E238C217-7E69-42A0-B25D-B3E98DDF9839}"/>
    <cellStyle name="20% - Énfasis3 57" xfId="726" xr:uid="{EA9CAA97-F949-4A47-8DED-BBF6D374CEFD}"/>
    <cellStyle name="20% - Énfasis3 58" xfId="727" xr:uid="{B14FFED2-7A86-4DB5-B42C-644B9CBA3B1F}"/>
    <cellStyle name="20% - Énfasis3 59" xfId="728" xr:uid="{E1F18F3F-E6DA-450E-858B-EC6F0C253BD4}"/>
    <cellStyle name="20% - Énfasis3 6" xfId="192" xr:uid="{6199777F-AC98-4EBA-A37E-801D01049DA8}"/>
    <cellStyle name="20% - Énfasis3 6 2" xfId="193" xr:uid="{27FD7A8E-695D-4679-99E9-06B9F9AAF8DC}"/>
    <cellStyle name="20% - Énfasis3 6 3" xfId="11983" xr:uid="{46CE708E-4FFE-45BD-998C-74A2419E20FA}"/>
    <cellStyle name="20% - Énfasis3 60" xfId="729" xr:uid="{D85E8020-DD09-4B61-854A-5CC4541052B6}"/>
    <cellStyle name="20% - Énfasis3 61" xfId="730" xr:uid="{18A345B8-4745-4EAA-85BC-3ABF46A61C44}"/>
    <cellStyle name="20% - Énfasis3 62" xfId="731" xr:uid="{F086314E-A0DB-4485-8203-F9A179E98C04}"/>
    <cellStyle name="20% - Énfasis3 63" xfId="732" xr:uid="{43A55D16-831B-4470-879B-FA1ABDFFAEC7}"/>
    <cellStyle name="20% - Énfasis3 64" xfId="733" xr:uid="{F29C0306-D97F-488D-A5A0-AC4EC9196CAA}"/>
    <cellStyle name="20% - Énfasis3 65" xfId="734" xr:uid="{D02926F0-C361-4D90-8B45-285489136455}"/>
    <cellStyle name="20% - Énfasis3 66" xfId="735" xr:uid="{33B34226-FAA2-45BF-AB80-4F8ED3C64052}"/>
    <cellStyle name="20% - Énfasis3 67" xfId="736" xr:uid="{534C57CD-40C8-4711-A7AD-E1751076204A}"/>
    <cellStyle name="20% - Énfasis3 68" xfId="500" xr:uid="{04F28BA0-78B0-4B7D-9D18-7F8CC6A3F895}"/>
    <cellStyle name="20% - Énfasis3 7" xfId="194" xr:uid="{C4EA9BB7-85A3-4EF6-A47E-A61AF617BA24}"/>
    <cellStyle name="20% - Énfasis3 7 2" xfId="195" xr:uid="{04D1889E-4572-4E60-B255-B33E80145781}"/>
    <cellStyle name="20% - Énfasis3 7 3" xfId="13212" xr:uid="{57212378-DCD1-488E-9772-9582AD3B577B}"/>
    <cellStyle name="20% - Énfasis3 8" xfId="196" xr:uid="{B90AC710-9BB5-4713-87F4-246ACC318EC2}"/>
    <cellStyle name="20% - Énfasis3 9" xfId="737" xr:uid="{C3A3B9BF-497D-48B0-8FA4-2E4914266ACC}"/>
    <cellStyle name="20% - Énfasis4 10" xfId="738" xr:uid="{ACA6F15C-9A1F-4446-89DF-C1994A8A0B76}"/>
    <cellStyle name="20% - Énfasis4 11" xfId="739" xr:uid="{C4AAEBFF-E427-45F6-8DC4-B347156D70D1}"/>
    <cellStyle name="20% - Énfasis4 12" xfId="740" xr:uid="{74612447-39DD-43CE-ACDE-03C42518BEA1}"/>
    <cellStyle name="20% - Énfasis4 13" xfId="741" xr:uid="{30CCFEB7-9529-47F8-A8C1-60C50C37B348}"/>
    <cellStyle name="20% - Énfasis4 14" xfId="742" xr:uid="{3D6A012B-A665-4DA4-892D-D2BA0875BCCA}"/>
    <cellStyle name="20% - Énfasis4 15" xfId="743" xr:uid="{DD4FF691-5345-4ECE-821D-7E89FBB2A553}"/>
    <cellStyle name="20% - Énfasis4 16" xfId="744" xr:uid="{2979E462-E8E9-468C-83D2-17D78770E41C}"/>
    <cellStyle name="20% - Énfasis4 17" xfId="745" xr:uid="{A0454E71-21CC-45D3-AA02-B239B343C5D0}"/>
    <cellStyle name="20% - Énfasis4 18" xfId="746" xr:uid="{5BFBC1DF-5F35-4AD3-A82C-C72B7836189C}"/>
    <cellStyle name="20% - Énfasis4 19" xfId="747" xr:uid="{1342ED05-E793-4D94-8930-48FB1D90B71D}"/>
    <cellStyle name="20% - Énfasis4 2" xfId="13" xr:uid="{447E5791-BCCC-4B08-9AAE-51B5CA572D9F}"/>
    <cellStyle name="20% - Énfasis4 2 2" xfId="197" xr:uid="{05BABA84-683A-4D84-91E0-502997DF1A4B}"/>
    <cellStyle name="20% - Énfasis4 2 2 2" xfId="749" xr:uid="{023B2DD3-EA47-4325-878D-93F49A6DA4CD}"/>
    <cellStyle name="20% - Énfasis4 2 3" xfId="750" xr:uid="{851D3BD2-BF7C-41EA-ADFD-21B1068A7D4B}"/>
    <cellStyle name="20% - Énfasis4 2 4" xfId="751" xr:uid="{067CCADE-C609-49A8-AB01-0D08C71C9863}"/>
    <cellStyle name="20% - Énfasis4 2 5" xfId="752" xr:uid="{132D5DCE-585D-458B-859E-A958087D1339}"/>
    <cellStyle name="20% - Énfasis4 2 6" xfId="748" xr:uid="{9E17CCCD-C42F-485B-87DE-F39EEA8E3FFB}"/>
    <cellStyle name="20% - Énfasis4 2 6 2" xfId="6091" xr:uid="{4452B64D-F079-429F-8D6E-032DA7EB56C3}"/>
    <cellStyle name="20% - Énfasis4 2 6 2 2" xfId="10175" xr:uid="{B1A76A55-F017-4B26-86FC-9EBEF4553B97}"/>
    <cellStyle name="20% - Énfasis4 2 6 3" xfId="19653" xr:uid="{0406EDF3-B65F-4263-B7BA-F6C807AFEFBB}"/>
    <cellStyle name="20% - Énfasis4 2 7" xfId="10209" xr:uid="{E589A5AA-1D08-4608-A6AD-A6EA3AB21562}"/>
    <cellStyle name="20% - Énfasis4 2 8" xfId="13610" xr:uid="{7F1FE3B9-FCD6-4A56-994C-FF1CA0E1F1A2}"/>
    <cellStyle name="20% - Énfasis4 20" xfId="753" xr:uid="{0A06CC93-37D8-4D14-909D-5F6AC2333574}"/>
    <cellStyle name="20% - Énfasis4 21" xfId="754" xr:uid="{49BA4CA2-E35D-4DB0-B502-2AD046D179F9}"/>
    <cellStyle name="20% - Énfasis4 22" xfId="755" xr:uid="{AA7CA98C-DC3B-4566-AA7B-7EE90501965D}"/>
    <cellStyle name="20% - Énfasis4 23" xfId="756" xr:uid="{6BA057E1-FD3F-407D-A3FF-44D2CB288D3D}"/>
    <cellStyle name="20% - Énfasis4 24" xfId="757" xr:uid="{3A1EEC0B-1A2B-44B3-AC8F-B7CA721EAAE1}"/>
    <cellStyle name="20% - Énfasis4 25" xfId="758" xr:uid="{7884BF6C-ACD6-4A6C-9FEA-5748B8B5E10E}"/>
    <cellStyle name="20% - Énfasis4 26" xfId="759" xr:uid="{554DBB42-3134-49A4-9155-EC6196D33F17}"/>
    <cellStyle name="20% - Énfasis4 27" xfId="760" xr:uid="{16067617-5CEE-49BD-B6E5-BEC4F431BEC6}"/>
    <cellStyle name="20% - Énfasis4 28" xfId="761" xr:uid="{9AFEEB82-5D23-4EE0-A180-8BCEA5D402A8}"/>
    <cellStyle name="20% - Énfasis4 29" xfId="762" xr:uid="{D57AED66-AD0C-4564-859B-28485286D3D8}"/>
    <cellStyle name="20% - Énfasis4 3" xfId="198" xr:uid="{8562FD54-7E2C-4C7D-BE0F-659DA30A3918}"/>
    <cellStyle name="20% - Énfasis4 3 2" xfId="199" xr:uid="{86355927-EE61-4758-B2C9-42C59AE5FD2B}"/>
    <cellStyle name="20% - Énfasis4 3 3" xfId="763" xr:uid="{9563B94D-C270-4C33-89EC-38DF76A2422B}"/>
    <cellStyle name="20% - Énfasis4 3 4" xfId="13856" xr:uid="{2E644007-668E-4B43-9AE0-7DF5C88A5CCD}"/>
    <cellStyle name="20% - Énfasis4 30" xfId="764" xr:uid="{F6A3861B-B6A1-4955-9E34-E3E73097DCA1}"/>
    <cellStyle name="20% - Énfasis4 31" xfId="765" xr:uid="{8F3B609B-24F7-4359-963D-56C4E6316112}"/>
    <cellStyle name="20% - Énfasis4 32" xfId="766" xr:uid="{16B8A704-4229-494B-A754-288670DBEB59}"/>
    <cellStyle name="20% - Énfasis4 33" xfId="767" xr:uid="{12FF73FE-07E6-4036-B392-2A1CF01AD75F}"/>
    <cellStyle name="20% - Énfasis4 34" xfId="768" xr:uid="{DCE7311F-03F8-4E33-BDBE-5B9E1D894364}"/>
    <cellStyle name="20% - Énfasis4 35" xfId="769" xr:uid="{EC190CFD-231A-4C75-8340-1DEA551191D2}"/>
    <cellStyle name="20% - Énfasis4 36" xfId="770" xr:uid="{D4DCF1B7-066F-4F6A-9AA4-C5CA6C395F64}"/>
    <cellStyle name="20% - Énfasis4 37" xfId="771" xr:uid="{6292AD3A-8E18-48A9-8D41-4C36CE7B06D7}"/>
    <cellStyle name="20% - Énfasis4 38" xfId="772" xr:uid="{438DE263-F39D-4ABE-9DB9-F74FCD57E08D}"/>
    <cellStyle name="20% - Énfasis4 39" xfId="773" xr:uid="{01AA5BC1-79C2-415D-BC0F-A7659700E5FD}"/>
    <cellStyle name="20% - Énfasis4 4" xfId="200" xr:uid="{BDB27172-78A3-4D2E-A47C-4A8E2BAFD51A}"/>
    <cellStyle name="20% - Énfasis4 4 2" xfId="201" xr:uid="{AB497121-6AD3-4C0B-B357-7D57FC5FF8A1}"/>
    <cellStyle name="20% - Énfasis4 4 3" xfId="774" xr:uid="{5922FA8C-6131-4311-8812-4921AB3DE969}"/>
    <cellStyle name="20% - Énfasis4 4 4" xfId="12342" xr:uid="{0F5956CE-B89F-4C2F-B722-160D87899016}"/>
    <cellStyle name="20% - Énfasis4 40" xfId="775" xr:uid="{6656A6D2-6F46-4DBA-93EA-EFC1CDD353AF}"/>
    <cellStyle name="20% - Énfasis4 41" xfId="776" xr:uid="{AF5E441C-58F8-4DCC-BA81-F67B3FD93880}"/>
    <cellStyle name="20% - Énfasis4 42" xfId="777" xr:uid="{2948F560-65CF-43FF-AE39-14881F962A47}"/>
    <cellStyle name="20% - Énfasis4 43" xfId="778" xr:uid="{3C41F9EF-FD29-4C6F-8205-08A94ECDD401}"/>
    <cellStyle name="20% - Énfasis4 44" xfId="779" xr:uid="{6F755435-001B-4384-AE37-D715CB28319A}"/>
    <cellStyle name="20% - Énfasis4 45" xfId="780" xr:uid="{5C40EC89-D6F2-4C42-9312-514AA496511D}"/>
    <cellStyle name="20% - Énfasis4 46" xfId="781" xr:uid="{A2488EEE-20B7-4588-A7DD-CF293D9BCC8C}"/>
    <cellStyle name="20% - Énfasis4 47" xfId="782" xr:uid="{032CA863-1093-485B-9A03-E1AB4A44D70D}"/>
    <cellStyle name="20% - Énfasis4 48" xfId="783" xr:uid="{A422F6C3-FA47-4391-82C3-69BE2A52B29C}"/>
    <cellStyle name="20% - Énfasis4 49" xfId="784" xr:uid="{6A2256DE-4E4B-4FFC-8F99-EE2553A52279}"/>
    <cellStyle name="20% - Énfasis4 5" xfId="202" xr:uid="{9903AEF6-4D85-4787-8C79-2D40BD400412}"/>
    <cellStyle name="20% - Énfasis4 5 2" xfId="203" xr:uid="{68E3E98D-DE7F-4BA7-B6EE-FD89A8E266EF}"/>
    <cellStyle name="20% - Énfasis4 5 3" xfId="785" xr:uid="{596363BE-F0FF-4993-BFC6-5FF2273129B3}"/>
    <cellStyle name="20% - Énfasis4 5 4" xfId="12664" xr:uid="{5BD7609C-B753-479E-A843-3BDD0316FDCB}"/>
    <cellStyle name="20% - Énfasis4 50" xfId="786" xr:uid="{EEA3A2E4-EFA4-4715-924F-20C6B40F9F34}"/>
    <cellStyle name="20% - Énfasis4 51" xfId="787" xr:uid="{D74FC398-B83E-4AB2-84CB-03D848E6BF71}"/>
    <cellStyle name="20% - Énfasis4 52" xfId="788" xr:uid="{A3333089-3C0F-4617-B9B8-AEAEB44FE11B}"/>
    <cellStyle name="20% - Énfasis4 53" xfId="789" xr:uid="{A8AA8184-C638-4E72-AE6A-5F22DF6E9608}"/>
    <cellStyle name="20% - Énfasis4 54" xfId="790" xr:uid="{92A469D4-8BF7-4A77-83BC-D1E2295476CC}"/>
    <cellStyle name="20% - Énfasis4 55" xfId="791" xr:uid="{15E6A688-EA5E-4A70-BC0C-C5DBD52B29E2}"/>
    <cellStyle name="20% - Énfasis4 56" xfId="792" xr:uid="{14622E9F-C6B9-490B-A9A8-79A22A40D6A0}"/>
    <cellStyle name="20% - Énfasis4 57" xfId="793" xr:uid="{9769E384-40D4-4F2B-B022-4716EBB21F40}"/>
    <cellStyle name="20% - Énfasis4 58" xfId="794" xr:uid="{90BC82F1-42C0-4BA7-9B3B-1A9687560D64}"/>
    <cellStyle name="20% - Énfasis4 59" xfId="795" xr:uid="{D2831A0B-F339-4676-9387-4DDD8DE9EB4F}"/>
    <cellStyle name="20% - Énfasis4 6" xfId="204" xr:uid="{06727818-89CF-4902-8715-B1C37CE44179}"/>
    <cellStyle name="20% - Énfasis4 6 2" xfId="205" xr:uid="{38A4E2A4-67B8-4203-A5AB-31E93EBB8ECD}"/>
    <cellStyle name="20% - Énfasis4 6 3" xfId="796" xr:uid="{9726BFB9-BE80-4CB6-ACB1-A6FB2E9EAE79}"/>
    <cellStyle name="20% - Énfasis4 6 4" xfId="13384" xr:uid="{124BCC4D-60E3-4F15-A171-5295F95F218D}"/>
    <cellStyle name="20% - Énfasis4 60" xfId="797" xr:uid="{C5475045-501C-4A34-9285-30249327FE59}"/>
    <cellStyle name="20% - Énfasis4 61" xfId="798" xr:uid="{2C5E98D2-F9C0-46FB-9348-7307801B3515}"/>
    <cellStyle name="20% - Énfasis4 62" xfId="799" xr:uid="{2BE489AA-78F0-409C-8C0A-5D15568FC974}"/>
    <cellStyle name="20% - Énfasis4 63" xfId="800" xr:uid="{38890C93-C084-4E9D-B4D8-881796E882FA}"/>
    <cellStyle name="20% - Énfasis4 64" xfId="801" xr:uid="{FB678F8F-77B9-4CD2-8953-C9B18827A07A}"/>
    <cellStyle name="20% - Énfasis4 65" xfId="802" xr:uid="{3396244F-622D-4982-94B9-DE4A974D939D}"/>
    <cellStyle name="20% - Énfasis4 66" xfId="803" xr:uid="{B56A6AA0-E0AB-4D0B-BEA5-D3031731417E}"/>
    <cellStyle name="20% - Énfasis4 67" xfId="804" xr:uid="{9E8A03F4-B60E-486D-8AF2-E7E335AC1C76}"/>
    <cellStyle name="20% - Énfasis4 68" xfId="501" xr:uid="{BF4EC66F-B9A0-49D1-B594-52973260CE74}"/>
    <cellStyle name="20% - Énfasis4 68 2" xfId="6092" xr:uid="{E71C37A9-C722-4479-A01D-447837B666F8}"/>
    <cellStyle name="20% - Énfasis4 68 3" xfId="10171" xr:uid="{09DC9B58-5E16-4235-9ED2-01D72820774C}"/>
    <cellStyle name="20% - Énfasis4 7" xfId="206" xr:uid="{95506C31-972B-4691-857C-81A643752E5E}"/>
    <cellStyle name="20% - Énfasis4 7 2" xfId="207" xr:uid="{8D7273B8-8A01-419F-B1BA-41898F6C17D1}"/>
    <cellStyle name="20% - Énfasis4 7 3" xfId="805" xr:uid="{D57B5B9B-335C-439C-80F0-5831CE9AD583}"/>
    <cellStyle name="20% - Énfasis4 7 4" xfId="12665" xr:uid="{8BA03BC0-581B-4788-8B86-61661592C93F}"/>
    <cellStyle name="20% - Énfasis4 8" xfId="208" xr:uid="{28F6033A-8B98-4B8C-9C63-151499B57979}"/>
    <cellStyle name="20% - Énfasis4 8 2" xfId="806" xr:uid="{8AA2AD8D-4AF9-4B8B-A48C-CBBCE74E1BC7}"/>
    <cellStyle name="20% - Énfasis4 9" xfId="807" xr:uid="{B789D6BB-E18E-4EA5-B44C-86606F1DF8B3}"/>
    <cellStyle name="20% - Énfasis5 10" xfId="808" xr:uid="{3DF08C29-EC06-4894-9141-332FDD68B7F1}"/>
    <cellStyle name="20% - Énfasis5 11" xfId="809" xr:uid="{016DFD95-4D72-4D73-BE02-DA82C1C644D4}"/>
    <cellStyle name="20% - Énfasis5 12" xfId="810" xr:uid="{698C1F44-7BF6-4E3C-82E8-A2CDE0300169}"/>
    <cellStyle name="20% - Énfasis5 13" xfId="811" xr:uid="{3040E01A-A628-4BF5-93DA-358698EFCF13}"/>
    <cellStyle name="20% - Énfasis5 14" xfId="812" xr:uid="{09ABC40B-B8B1-453E-97C6-6A030AEA1C67}"/>
    <cellStyle name="20% - Énfasis5 15" xfId="813" xr:uid="{87722680-D6FE-42E2-A5F1-A8F2534813BF}"/>
    <cellStyle name="20% - Énfasis5 16" xfId="814" xr:uid="{42EA360C-4ABC-46A5-A09F-8056B035D8FB}"/>
    <cellStyle name="20% - Énfasis5 17" xfId="815" xr:uid="{FF5D94CB-0260-4E76-B2A1-17A833B021EC}"/>
    <cellStyle name="20% - Énfasis5 18" xfId="816" xr:uid="{4B3EB6B6-199E-4DED-AE17-203B320B19FE}"/>
    <cellStyle name="20% - Énfasis5 19" xfId="817" xr:uid="{CFC11DA7-B89B-4242-B1E8-09A24A3DAF62}"/>
    <cellStyle name="20% - Énfasis5 2" xfId="14" xr:uid="{4B6AD333-2A37-463F-83B2-C5DB78A5F327}"/>
    <cellStyle name="20% - Énfasis5 2 2" xfId="209" xr:uid="{1680230F-1F27-4DC2-8BAD-649BA30B21C2}"/>
    <cellStyle name="20% - Énfasis5 2 3" xfId="818" xr:uid="{2C73A343-E59B-45EB-AB0C-CB85A876891D}"/>
    <cellStyle name="20% - Énfasis5 2 4" xfId="819" xr:uid="{3DCF8463-3763-4174-A76F-7EF3F1F01FDE}"/>
    <cellStyle name="20% - Énfasis5 2 5" xfId="820" xr:uid="{B2E37ACD-0184-4DF7-89AD-56AD679190A6}"/>
    <cellStyle name="20% - Énfasis5 20" xfId="821" xr:uid="{E79F6304-DA30-4D23-B00C-3B9F5D7ADA3A}"/>
    <cellStyle name="20% - Énfasis5 21" xfId="822" xr:uid="{5C403FEA-AB55-4C1D-81A2-8970CC96451E}"/>
    <cellStyle name="20% - Énfasis5 22" xfId="823" xr:uid="{1F9270DC-A584-4FE5-873C-FF1CA15CE39F}"/>
    <cellStyle name="20% - Énfasis5 23" xfId="824" xr:uid="{40C4D055-F198-4262-9069-3EE8A03767C5}"/>
    <cellStyle name="20% - Énfasis5 24" xfId="825" xr:uid="{80253349-3E83-484E-ABB0-DB5E8A9E47FE}"/>
    <cellStyle name="20% - Énfasis5 25" xfId="826" xr:uid="{2AA52712-65CD-4B56-9C7D-921DA9F7E337}"/>
    <cellStyle name="20% - Énfasis5 26" xfId="827" xr:uid="{8669043D-ECAF-4509-B648-5BCCA1929248}"/>
    <cellStyle name="20% - Énfasis5 27" xfId="828" xr:uid="{6B73329F-CAE0-4957-B5A0-C3AF18478A0F}"/>
    <cellStyle name="20% - Énfasis5 28" xfId="829" xr:uid="{A42C8DD5-4427-4CCF-921F-7B26D61165E2}"/>
    <cellStyle name="20% - Énfasis5 29" xfId="830" xr:uid="{4630A0AC-90B9-45F9-9F60-E5C19E9DF32A}"/>
    <cellStyle name="20% - Énfasis5 3" xfId="210" xr:uid="{1E7486A0-4AAC-4B25-9E77-F1F68647A3B6}"/>
    <cellStyle name="20% - Énfasis5 3 2" xfId="211" xr:uid="{A75DD2FA-7AEC-401E-8C5F-48622FE7672F}"/>
    <cellStyle name="20% - Énfasis5 30" xfId="831" xr:uid="{B606F053-FC67-40E0-8259-63A86FE1941F}"/>
    <cellStyle name="20% - Énfasis5 31" xfId="832" xr:uid="{C8DA80AA-60D4-4AED-9DB7-B07CF35E84A7}"/>
    <cellStyle name="20% - Énfasis5 32" xfId="833" xr:uid="{52A57A13-E614-4516-BB59-90FEEE286542}"/>
    <cellStyle name="20% - Énfasis5 33" xfId="834" xr:uid="{1269BEAE-A9CB-40A9-916D-E58EE443072F}"/>
    <cellStyle name="20% - Énfasis5 34" xfId="835" xr:uid="{AD234513-22FB-4C4E-B8EA-0BFC6AB134A1}"/>
    <cellStyle name="20% - Énfasis5 35" xfId="836" xr:uid="{4390B02B-DC88-4773-9898-33218544253A}"/>
    <cellStyle name="20% - Énfasis5 36" xfId="837" xr:uid="{B9037981-862E-41CA-B196-BFFA1171CA90}"/>
    <cellStyle name="20% - Énfasis5 37" xfId="838" xr:uid="{1D6E2F39-964A-4D45-9BF7-941D839B545B}"/>
    <cellStyle name="20% - Énfasis5 38" xfId="839" xr:uid="{8FCD76D1-9A43-4B4A-B4A0-C0B364F636EF}"/>
    <cellStyle name="20% - Énfasis5 39" xfId="840" xr:uid="{BE598379-ABBC-404F-93E3-7AC88FA96775}"/>
    <cellStyle name="20% - Énfasis5 4" xfId="212" xr:uid="{98912B51-9DBB-4E31-9E73-15DE2CA67034}"/>
    <cellStyle name="20% - Énfasis5 4 2" xfId="213" xr:uid="{4484B5FF-C522-4773-A184-EFC3320BD98D}"/>
    <cellStyle name="20% - Énfasis5 40" xfId="841" xr:uid="{F29C23F5-0D46-4DFE-A501-857A587B96BC}"/>
    <cellStyle name="20% - Énfasis5 41" xfId="842" xr:uid="{3186CFDA-727B-471D-A1CB-7BA5A81C39B8}"/>
    <cellStyle name="20% - Énfasis5 42" xfId="843" xr:uid="{D8E10381-660B-454F-85A9-6A801A55E6D3}"/>
    <cellStyle name="20% - Énfasis5 43" xfId="844" xr:uid="{B2A8FD81-9798-4E22-BC07-7DFEC8C62C7B}"/>
    <cellStyle name="20% - Énfasis5 44" xfId="845" xr:uid="{2AA88E2C-EC0D-4089-97CB-81E4CB41982F}"/>
    <cellStyle name="20% - Énfasis5 45" xfId="846" xr:uid="{99803ED2-4C8F-4B59-80C7-A71BA5E9BE9F}"/>
    <cellStyle name="20% - Énfasis5 46" xfId="847" xr:uid="{0BB221DB-A260-43F4-9709-17B5B360CC9A}"/>
    <cellStyle name="20% - Énfasis5 47" xfId="848" xr:uid="{D2C819CD-59BD-4C0D-9D9B-9B48855C08BE}"/>
    <cellStyle name="20% - Énfasis5 48" xfId="849" xr:uid="{143D8266-B86C-4FE3-902B-699F8A9641C2}"/>
    <cellStyle name="20% - Énfasis5 49" xfId="850" xr:uid="{01321589-55B0-4DEC-A9B7-559564E2C728}"/>
    <cellStyle name="20% - Énfasis5 5" xfId="214" xr:uid="{AC7933C4-1CD8-4399-9A21-252A576B3A13}"/>
    <cellStyle name="20% - Énfasis5 5 2" xfId="215" xr:uid="{8C2E83F1-9AC6-4497-8894-6FF1EE8D6F71}"/>
    <cellStyle name="20% - Énfasis5 50" xfId="851" xr:uid="{C9A400BE-22B6-4FC9-A866-FAA477143A97}"/>
    <cellStyle name="20% - Énfasis5 51" xfId="852" xr:uid="{AB6E772A-E180-4B73-915C-8EEE6D24EE21}"/>
    <cellStyle name="20% - Énfasis5 52" xfId="853" xr:uid="{15B4EF25-EEAB-45D7-AA6D-BEB32F0D22E3}"/>
    <cellStyle name="20% - Énfasis5 53" xfId="854" xr:uid="{7002F874-3D57-4FDC-9EB4-7C701E223710}"/>
    <cellStyle name="20% - Énfasis5 54" xfId="855" xr:uid="{1DF19657-A2C4-457C-890F-5A1EFEBE1956}"/>
    <cellStyle name="20% - Énfasis5 55" xfId="856" xr:uid="{7613858D-05A6-41EB-8FB3-77283DF171F9}"/>
    <cellStyle name="20% - Énfasis5 56" xfId="857" xr:uid="{5ECFC37C-73C0-4885-A8BA-ADAF42C9FCB0}"/>
    <cellStyle name="20% - Énfasis5 57" xfId="858" xr:uid="{BAE72907-AC30-4843-AF5C-1FBAE3331302}"/>
    <cellStyle name="20% - Énfasis5 58" xfId="859" xr:uid="{4AB2782E-FE55-4E3B-9441-F8CC6990AC1E}"/>
    <cellStyle name="20% - Énfasis5 59" xfId="860" xr:uid="{527463B8-14D2-4BDE-90D1-805A3DFB09F0}"/>
    <cellStyle name="20% - Énfasis5 6" xfId="216" xr:uid="{0A1B619E-97A1-46CE-A0AA-509CEFF4359B}"/>
    <cellStyle name="20% - Énfasis5 6 2" xfId="217" xr:uid="{7F58751A-4341-4644-80B8-63F97021C756}"/>
    <cellStyle name="20% - Énfasis5 60" xfId="861" xr:uid="{0D625259-0A11-4C8F-8D47-BDF6CE0DF232}"/>
    <cellStyle name="20% - Énfasis5 61" xfId="862" xr:uid="{1FE86835-3BCB-40F7-975C-F4CB1EE5B68B}"/>
    <cellStyle name="20% - Énfasis5 62" xfId="863" xr:uid="{207BEAA9-9EE1-43DE-8F31-BB3A146AAD98}"/>
    <cellStyle name="20% - Énfasis5 63" xfId="864" xr:uid="{34A34A4F-EC03-43F1-96E2-97CE525EA42F}"/>
    <cellStyle name="20% - Énfasis5 64" xfId="865" xr:uid="{8CD53089-22DC-4968-95C5-9EB43D068BE0}"/>
    <cellStyle name="20% - Énfasis5 65" xfId="866" xr:uid="{061D2E28-5856-4833-AB5F-7F9CF1555DA7}"/>
    <cellStyle name="20% - Énfasis5 66" xfId="867" xr:uid="{84BD7417-3952-41C5-AF97-82504EBB8909}"/>
    <cellStyle name="20% - Énfasis5 67" xfId="868" xr:uid="{14D23689-4A85-4841-957C-842675813954}"/>
    <cellStyle name="20% - Énfasis5 68" xfId="502" xr:uid="{25DE7829-BA78-4991-A0FE-5F90DEF72A07}"/>
    <cellStyle name="20% - Énfasis5 7" xfId="218" xr:uid="{BD5322F1-B07C-4035-B6E8-9D548BF2F720}"/>
    <cellStyle name="20% - Énfasis5 7 2" xfId="219" xr:uid="{3D608655-A043-4A7E-900E-E32ADF9D3AC0}"/>
    <cellStyle name="20% - Énfasis5 8" xfId="220" xr:uid="{2A43007F-8375-4B5A-86DD-DCF2284C2072}"/>
    <cellStyle name="20% - Énfasis5 9" xfId="869" xr:uid="{4CDC0EAF-F2C1-4DFD-94A0-10B3D165C468}"/>
    <cellStyle name="20% - Énfasis6 10" xfId="870" xr:uid="{BBA7BF4D-AE54-4967-B094-4EFB52B58AD5}"/>
    <cellStyle name="20% - Énfasis6 11" xfId="871" xr:uid="{B2E69050-EC1F-48C6-AE9B-7099232B84C3}"/>
    <cellStyle name="20% - Énfasis6 12" xfId="872" xr:uid="{D4A21B9F-604D-4457-9BC9-27C7B2791C8C}"/>
    <cellStyle name="20% - Énfasis6 13" xfId="873" xr:uid="{5F136805-794F-48E3-8EEB-9448B246A918}"/>
    <cellStyle name="20% - Énfasis6 14" xfId="874" xr:uid="{E4E92CCD-C320-4F90-A6D7-F24044DE6269}"/>
    <cellStyle name="20% - Énfasis6 15" xfId="875" xr:uid="{69B0DA65-6426-40D9-95AB-C704811CF501}"/>
    <cellStyle name="20% - Énfasis6 16" xfId="876" xr:uid="{CFCEEBF5-B04C-4955-931F-75921DA88BEF}"/>
    <cellStyle name="20% - Énfasis6 17" xfId="877" xr:uid="{60FC799F-E582-459D-90EC-71ABCDA3165D}"/>
    <cellStyle name="20% - Énfasis6 18" xfId="878" xr:uid="{B9A7CCF2-EE28-4E8A-8F57-0E5EA9481663}"/>
    <cellStyle name="20% - Énfasis6 19" xfId="879" xr:uid="{B2187DAD-C840-4EF1-BEB0-F82CA30A20BC}"/>
    <cellStyle name="20% - Énfasis6 2" xfId="15" xr:uid="{F8A86958-89B9-40DB-84EB-419E5A6A6365}"/>
    <cellStyle name="20% - Énfasis6 2 2" xfId="221" xr:uid="{2421BD19-5614-42EC-99D7-745AD42C4CFB}"/>
    <cellStyle name="20% - Énfasis6 2 3" xfId="880" xr:uid="{DBD9A8F9-6FF0-4AAE-8498-F3FDF7C76CC0}"/>
    <cellStyle name="20% - Énfasis6 2 4" xfId="881" xr:uid="{0B66EC6F-1F56-4600-875E-0284A990BA53}"/>
    <cellStyle name="20% - Énfasis6 2 5" xfId="882" xr:uid="{CF794463-0C8E-4746-ADFE-7217698452CE}"/>
    <cellStyle name="20% - Énfasis6 2 6" xfId="13275" xr:uid="{5E24DA12-A668-4703-9ED6-F7D41741A090}"/>
    <cellStyle name="20% - Énfasis6 20" xfId="883" xr:uid="{34DEAD57-B4FF-44EF-8308-B2F24B416AE4}"/>
    <cellStyle name="20% - Énfasis6 21" xfId="884" xr:uid="{0001D08B-51D0-4714-AD0C-2C9908C7A7D9}"/>
    <cellStyle name="20% - Énfasis6 22" xfId="885" xr:uid="{D639D95F-E41C-4FEA-B9A2-026B2817DAA5}"/>
    <cellStyle name="20% - Énfasis6 23" xfId="886" xr:uid="{87904E0D-3B2F-475A-8118-9F647EE8A336}"/>
    <cellStyle name="20% - Énfasis6 24" xfId="887" xr:uid="{715D079C-4A46-4D4B-B5BF-74E428862749}"/>
    <cellStyle name="20% - Énfasis6 25" xfId="888" xr:uid="{93506961-120C-47BE-9476-CAC54712A142}"/>
    <cellStyle name="20% - Énfasis6 26" xfId="889" xr:uid="{C7E5FD5F-7C6B-4D57-9753-D58A927A583E}"/>
    <cellStyle name="20% - Énfasis6 27" xfId="890" xr:uid="{E39F59C8-FC1B-434D-8491-7F90210C9B30}"/>
    <cellStyle name="20% - Énfasis6 28" xfId="891" xr:uid="{B57A92FD-B890-4E85-9E7C-131C84324670}"/>
    <cellStyle name="20% - Énfasis6 29" xfId="892" xr:uid="{6E865BC1-1E8E-4525-826F-C4DF3ECCB941}"/>
    <cellStyle name="20% - Énfasis6 3" xfId="222" xr:uid="{911A228B-BAB6-47F9-ADF2-B9754506E822}"/>
    <cellStyle name="20% - Énfasis6 3 2" xfId="223" xr:uid="{22F7378F-2524-4A37-B947-4582652459DA}"/>
    <cellStyle name="20% - Énfasis6 3 3" xfId="12666" xr:uid="{C192CD41-69D8-4091-A8FD-943DCD5815BE}"/>
    <cellStyle name="20% - Énfasis6 30" xfId="893" xr:uid="{B20A5AF9-08EA-424E-96E1-476C334218BB}"/>
    <cellStyle name="20% - Énfasis6 31" xfId="894" xr:uid="{CACE356D-CA2B-4D18-8229-041C3D84D3E4}"/>
    <cellStyle name="20% - Énfasis6 32" xfId="895" xr:uid="{69E59571-4820-4544-8231-9CEE7B2D7287}"/>
    <cellStyle name="20% - Énfasis6 33" xfId="896" xr:uid="{47FF64B4-6FB3-41F2-A461-39FBE36E8F66}"/>
    <cellStyle name="20% - Énfasis6 34" xfId="897" xr:uid="{722D2824-6680-497A-BA0E-B946D40E50ED}"/>
    <cellStyle name="20% - Énfasis6 35" xfId="898" xr:uid="{FE13060D-872E-4F46-BBF0-EC8E980C04CD}"/>
    <cellStyle name="20% - Énfasis6 36" xfId="899" xr:uid="{8CF845E2-8177-4265-ACD1-648039CCB150}"/>
    <cellStyle name="20% - Énfasis6 37" xfId="900" xr:uid="{997625D5-5D21-4C36-B2C6-803B01598020}"/>
    <cellStyle name="20% - Énfasis6 38" xfId="901" xr:uid="{A04B1430-571A-4147-A7E2-E81B2C93EB8D}"/>
    <cellStyle name="20% - Énfasis6 39" xfId="902" xr:uid="{6E0E825B-0142-4DC9-9498-312753B36FCA}"/>
    <cellStyle name="20% - Énfasis6 4" xfId="224" xr:uid="{35CBD34D-A445-4E40-8890-32BCA647E437}"/>
    <cellStyle name="20% - Énfasis6 4 2" xfId="225" xr:uid="{1E2E9B0C-95E9-482C-8F23-CB76EB5F8443}"/>
    <cellStyle name="20% - Énfasis6 4 3" xfId="13444" xr:uid="{DA5BFEE7-0B27-4C55-8F79-5B8CF4BD47FB}"/>
    <cellStyle name="20% - Énfasis6 40" xfId="903" xr:uid="{400B47AC-4673-407B-90BC-E452A3CBF8DC}"/>
    <cellStyle name="20% - Énfasis6 41" xfId="904" xr:uid="{F68D1958-CB3F-4105-98B1-6F6E6A4AE993}"/>
    <cellStyle name="20% - Énfasis6 42" xfId="905" xr:uid="{603BDEA2-B28E-45FB-8AEC-C3CB3DCF5346}"/>
    <cellStyle name="20% - Énfasis6 43" xfId="906" xr:uid="{86E15339-B783-4B97-B47E-15188D4F19BA}"/>
    <cellStyle name="20% - Énfasis6 44" xfId="907" xr:uid="{199BDAB5-7FBC-4384-9EEA-F1229B7E12D8}"/>
    <cellStyle name="20% - Énfasis6 45" xfId="908" xr:uid="{D1AD5142-9483-46D4-878F-9940D622CC46}"/>
    <cellStyle name="20% - Énfasis6 46" xfId="909" xr:uid="{EDA41A03-C554-4B53-A82D-1F79D11E1DE0}"/>
    <cellStyle name="20% - Énfasis6 47" xfId="910" xr:uid="{697870ED-A6BF-46A9-9534-1825BCDD5BD6}"/>
    <cellStyle name="20% - Énfasis6 48" xfId="911" xr:uid="{FF215161-9C02-4780-ACC7-56E370CB161D}"/>
    <cellStyle name="20% - Énfasis6 49" xfId="912" xr:uid="{9EEED95E-0A7C-40CD-826B-11BEB3CBADA0}"/>
    <cellStyle name="20% - Énfasis6 5" xfId="226" xr:uid="{4D89A042-5FF4-49A1-AF7E-042D3790C5B6}"/>
    <cellStyle name="20% - Énfasis6 5 2" xfId="227" xr:uid="{EBDCC833-74D2-43B4-94B4-0B610918B637}"/>
    <cellStyle name="20% - Énfasis6 5 3" xfId="12667" xr:uid="{FE509D01-48C0-40D3-BCBA-F536B0E86AA7}"/>
    <cellStyle name="20% - Énfasis6 50" xfId="913" xr:uid="{80AED5EA-3F26-49F4-A1C0-8F264EB49024}"/>
    <cellStyle name="20% - Énfasis6 51" xfId="914" xr:uid="{7396E559-190F-4BF6-B43B-CB47680C26B8}"/>
    <cellStyle name="20% - Énfasis6 52" xfId="915" xr:uid="{6F91A411-5EB7-40C1-ACF1-45BE5A4295E0}"/>
    <cellStyle name="20% - Énfasis6 53" xfId="916" xr:uid="{8B99C082-1751-4F35-9514-236B6A607FF5}"/>
    <cellStyle name="20% - Énfasis6 54" xfId="917" xr:uid="{1914E1A5-045A-4BB7-962D-FBE468BA281C}"/>
    <cellStyle name="20% - Énfasis6 55" xfId="918" xr:uid="{2C4A3133-FDED-4AEF-89BF-BFEC479B431A}"/>
    <cellStyle name="20% - Énfasis6 56" xfId="919" xr:uid="{0D0182A9-FDA7-4A1D-9C52-1C9808C3BCE8}"/>
    <cellStyle name="20% - Énfasis6 57" xfId="920" xr:uid="{90932258-591D-48CD-A354-3347F560187B}"/>
    <cellStyle name="20% - Énfasis6 58" xfId="921" xr:uid="{8E2DE919-7734-4863-BF8D-BF80B4E75BA8}"/>
    <cellStyle name="20% - Énfasis6 59" xfId="922" xr:uid="{E64AD1B9-D898-4727-82C2-8A7C3BA196C6}"/>
    <cellStyle name="20% - Énfasis6 6" xfId="228" xr:uid="{4008944B-5A5A-4EBF-B648-AB67E527ADD7}"/>
    <cellStyle name="20% - Énfasis6 6 2" xfId="229" xr:uid="{D3A06001-6BB4-460E-891E-D0C861004123}"/>
    <cellStyle name="20% - Énfasis6 6 3" xfId="12343" xr:uid="{9BA7B02D-2AB3-49EC-8C63-822AEDB5437B}"/>
    <cellStyle name="20% - Énfasis6 60" xfId="923" xr:uid="{7B572743-BB7F-4C18-B353-5BB23777E45F}"/>
    <cellStyle name="20% - Énfasis6 61" xfId="924" xr:uid="{6C14B8A0-60C0-4C60-ADE8-CB0463A33E86}"/>
    <cellStyle name="20% - Énfasis6 62" xfId="925" xr:uid="{335C4336-3FEB-429F-A0F7-71D18B3C6901}"/>
    <cellStyle name="20% - Énfasis6 63" xfId="926" xr:uid="{FC117701-4357-48C1-B413-0E5174744C01}"/>
    <cellStyle name="20% - Énfasis6 64" xfId="927" xr:uid="{FBDF53BA-DCD4-4031-82C1-149C4D74D3F7}"/>
    <cellStyle name="20% - Énfasis6 65" xfId="928" xr:uid="{ED599EF1-610A-4CEF-94BA-87138B199EFD}"/>
    <cellStyle name="20% - Énfasis6 66" xfId="929" xr:uid="{1881EC46-F9AA-46DC-A4E1-7F05A8428C60}"/>
    <cellStyle name="20% - Énfasis6 67" xfId="930" xr:uid="{3B1349BC-FCD9-40CC-9145-24F05ACDA4C7}"/>
    <cellStyle name="20% - Énfasis6 68" xfId="487" xr:uid="{E6DAB881-0D70-43F5-B8C2-F510D5F5A335}"/>
    <cellStyle name="20% - Énfasis6 7" xfId="230" xr:uid="{06EC2155-80F7-4309-906D-E90E6A8D590F}"/>
    <cellStyle name="20% - Énfasis6 7 2" xfId="231" xr:uid="{FB65D39B-DC7C-405B-A050-A2FFA5B19152}"/>
    <cellStyle name="20% - Énfasis6 7 3" xfId="12668" xr:uid="{BA1EC9DF-97C8-4E63-9B10-E86BE7EFCF44}"/>
    <cellStyle name="20% - Énfasis6 8" xfId="232" xr:uid="{A858259C-E759-4A42-8974-E4B9D50468C6}"/>
    <cellStyle name="20% - Énfasis6 9" xfId="931" xr:uid="{5B94DEBD-0D58-40BE-9BFF-594BB479B6E5}"/>
    <cellStyle name="40% - Accent1" xfId="13099" xr:uid="{0B073153-58B0-4922-8CA7-3C9BD62E272A}"/>
    <cellStyle name="40% - Accent1 10" xfId="13676" xr:uid="{52B40535-E7F0-4FAB-99B6-BB4AB6AEB89C}"/>
    <cellStyle name="40% - Accent1 11" xfId="13857" xr:uid="{5CA8FC0F-479B-4DA0-B55B-098BE5A91FD0}"/>
    <cellStyle name="40% - Accent1 12" xfId="12938" xr:uid="{A12F4E3A-6B0F-47A1-B6AF-D1360913C81D}"/>
    <cellStyle name="40% - Accent1 13" xfId="12669" xr:uid="{FD87FC9A-01E0-4B42-B732-47374B5B3356}"/>
    <cellStyle name="40% - Accent1 14" xfId="12952" xr:uid="{93604FB0-CCE6-4CFD-A941-D8BFF70E49FD}"/>
    <cellStyle name="40% - Accent1 15" xfId="13276" xr:uid="{7DF8348B-2E71-448C-8E7D-79C5FE3F48BE}"/>
    <cellStyle name="40% - Accent1 16" xfId="12670" xr:uid="{C4356C20-1E0A-4987-885D-76031330DD8D}"/>
    <cellStyle name="40% - Accent1 17" xfId="13445" xr:uid="{42C36960-3826-444F-8147-C246148F5F39}"/>
    <cellStyle name="40% - Accent1 18" xfId="12035" xr:uid="{00528369-B507-4B84-9C14-F3BADB9FA8C1}"/>
    <cellStyle name="40% - Accent1 19" xfId="12671" xr:uid="{C3544321-9C94-489D-A21A-798676A31171}"/>
    <cellStyle name="40% - Accent1 2" xfId="13100" xr:uid="{FA992C03-287C-4FA6-A0A3-445AAB849A77}"/>
    <cellStyle name="40% - Accent1 20" xfId="12344" xr:uid="{13B6788C-0953-48E2-86F8-B5BDFAADB665}"/>
    <cellStyle name="40% - Accent1 21" xfId="13677" xr:uid="{AB0D2B09-4B10-437A-B1B0-91EBB0D9069B}"/>
    <cellStyle name="40% - Accent1 22" xfId="13858" xr:uid="{7F648133-75E5-449F-9B2B-90F04CD023C9}"/>
    <cellStyle name="40% - Accent1 23" xfId="12672" xr:uid="{ED6A7C92-E702-4AA2-B152-E41BFF3DF61B}"/>
    <cellStyle name="40% - Accent1 3" xfId="11448" xr:uid="{5BC2F9C7-60EE-4BE1-90EA-6CD399AA3973}"/>
    <cellStyle name="40% - Accent1 4" xfId="11449" xr:uid="{1271B611-281F-4618-B1CC-2A644898E76E}"/>
    <cellStyle name="40% - Accent1 5" xfId="13211" xr:uid="{C74CA2FD-0F6C-4EE4-BA76-5BEA8701950D}"/>
    <cellStyle name="40% - Accent1 6" xfId="13071" xr:uid="{E695AEBE-908D-47AA-BB95-851B202FED25}"/>
    <cellStyle name="40% - Accent1 7" xfId="13609" xr:uid="{DA0269C6-1D4E-4910-B06A-2DA60DC8A78D}"/>
    <cellStyle name="40% - Accent1 8" xfId="13859" xr:uid="{5CC3B355-13C3-42CE-B34F-153FFE72B7AC}"/>
    <cellStyle name="40% - Accent1 9" xfId="11984" xr:uid="{C204B3DA-4BED-4831-8AED-50AB5264D1E1}"/>
    <cellStyle name="40% - Accent2" xfId="13383" xr:uid="{8F6D52FA-2110-4E74-A8BD-45FD23323A44}"/>
    <cellStyle name="40% - Accent3" xfId="12673" xr:uid="{7BE5E02D-D393-4597-B7CC-30842B332999}"/>
    <cellStyle name="40% - Accent3 10" xfId="12036" xr:uid="{3948E672-06AB-4041-9410-1AED81E0BDDB}"/>
    <cellStyle name="40% - Accent3 11" xfId="13586" xr:uid="{C9179A0D-E375-4B3D-BB22-84016487DEC3}"/>
    <cellStyle name="40% - Accent3 12" xfId="13036" xr:uid="{EF281111-BE71-4CBC-8217-341229A7A25F}"/>
    <cellStyle name="40% - Accent3 13" xfId="11176" xr:uid="{BBEE9FEF-2FA6-4030-903D-7FD06CEAC7D3}"/>
    <cellStyle name="40% - Accent3 14" xfId="13552" xr:uid="{775C5A1C-A818-449C-B2D3-F79A3C4AF3AE}"/>
    <cellStyle name="40% - Accent3 15" xfId="13786" xr:uid="{50B9ED98-A957-4E05-ADCD-5E1C1672B0DE}"/>
    <cellStyle name="40% - Accent3 16" xfId="10977" xr:uid="{41D01A62-9978-4593-A985-B5ECE632D586}"/>
    <cellStyle name="40% - Accent3 17" xfId="13787" xr:uid="{E43596F5-BE80-495D-9894-0A507CCDE8A8}"/>
    <cellStyle name="40% - Accent3 18" xfId="11037" xr:uid="{5893A81A-2614-40CC-B34D-071C307448FE}"/>
    <cellStyle name="40% - Accent3 19" xfId="12499" xr:uid="{9A9E3B28-D35C-4DDD-B73C-D528567B0CD3}"/>
    <cellStyle name="40% - Accent3 2" xfId="12674" xr:uid="{FE36D878-AA96-44A4-9D55-FDCD4CE08EBE}"/>
    <cellStyle name="40% - Accent3 20" xfId="13277" xr:uid="{8717AAB9-7BBD-45E7-B66B-9C877B31DED1}"/>
    <cellStyle name="40% - Accent3 21" xfId="12675" xr:uid="{C36D2D23-7FB7-4925-B208-DDE5552F9C59}"/>
    <cellStyle name="40% - Accent3 22" xfId="13446" xr:uid="{CA8169DD-0D35-444C-817F-DEA49D46AB72}"/>
    <cellStyle name="40% - Accent3 23" xfId="12676" xr:uid="{65A5FF30-D9C6-4840-89D6-E40969D0EE2C}"/>
    <cellStyle name="40% - Accent3 3" xfId="12345" xr:uid="{D21A47B1-A1F1-43FF-9BCF-C063B154D041}"/>
    <cellStyle name="40% - Accent3 4" xfId="11985" xr:uid="{D7BEAEAC-0594-4556-A71A-473E3A8DE645}"/>
    <cellStyle name="40% - Accent3 5" xfId="13101" xr:uid="{CC24485A-CDBF-4CE3-AD3C-D6BE84A81C43}"/>
    <cellStyle name="40% - Accent3 6" xfId="13678" xr:uid="{0E154E76-6C0B-4BE2-B737-8DB7C6D298DA}"/>
    <cellStyle name="40% - Accent3 7" xfId="13860" xr:uid="{596D2D57-73F9-44E8-B900-07DB86A60674}"/>
    <cellStyle name="40% - Accent3 8" xfId="12389" xr:uid="{019B17BB-3D0C-4B9A-B498-C523CAB188E7}"/>
    <cellStyle name="40% - Accent3 9" xfId="12677" xr:uid="{1E7D4DD4-FCA9-4AA4-84CB-F1CDA329F833}"/>
    <cellStyle name="40% - Accent4" xfId="13340" xr:uid="{702E800B-A1A8-4248-BFBE-F142E6B00B71}"/>
    <cellStyle name="40% - Accent4 10" xfId="13278" xr:uid="{9DC8FE6B-1C40-4C45-9F8E-ED83C30E4B7E}"/>
    <cellStyle name="40% - Accent4 11" xfId="12678" xr:uid="{70D2EA8F-8649-4EC0-8532-15AE1F536328}"/>
    <cellStyle name="40% - Accent4 12" xfId="13447" xr:uid="{EE4A3F7A-EF75-4AB9-AB3D-2377DB38A3DC}"/>
    <cellStyle name="40% - Accent4 13" xfId="12037" xr:uid="{1C5BE259-B926-4B2A-B45B-13B0E5F365D2}"/>
    <cellStyle name="40% - Accent4 14" xfId="12679" xr:uid="{9DE679A2-6A8B-4B8D-B2F4-C45B33B0FB74}"/>
    <cellStyle name="40% - Accent4 15" xfId="13102" xr:uid="{B30A816E-E073-41AE-8CCC-8782801B170E}"/>
    <cellStyle name="40% - Accent4 16" xfId="12435" xr:uid="{C7675915-B582-4F2B-A70C-FBB3C915F882}"/>
    <cellStyle name="40% - Accent4 17" xfId="13679" xr:uid="{D2B7253E-C585-48E8-AA8D-0C7DE212C850}"/>
    <cellStyle name="40% - Accent4 18" xfId="13861" xr:uid="{E1480522-8A9E-4045-A4C1-4624BB301FE2}"/>
    <cellStyle name="40% - Accent4 19" xfId="12680" xr:uid="{03A54280-3253-40D9-AEFA-F430247CABAA}"/>
    <cellStyle name="40% - Accent4 2" xfId="12681" xr:uid="{E92B88D9-0372-4CEE-B318-C84931E30515}"/>
    <cellStyle name="40% - Accent4 20" xfId="12682" xr:uid="{14387DEA-D54B-4390-A5FC-B89CC42512C2}"/>
    <cellStyle name="40% - Accent4 21" xfId="13214" xr:uid="{8E869268-8127-4193-8FBD-5E05616FBFBF}"/>
    <cellStyle name="40% - Accent4 22" xfId="13512" xr:uid="{207C12E7-0CD3-4990-9584-FF80E463C1FA}"/>
    <cellStyle name="40% - Accent4 23" xfId="13612" xr:uid="{63A87589-99F9-4500-A638-B65C78E2606A}"/>
    <cellStyle name="40% - Accent4 3" xfId="13862" xr:uid="{B8B5130E-B1B7-49A4-AB26-4B3DD67157A4}"/>
    <cellStyle name="40% - Accent4 4" xfId="12683" xr:uid="{9854DDB9-34FE-4ADB-B5D9-79EDE7C351EA}"/>
    <cellStyle name="40% - Accent4 5" xfId="13386" xr:uid="{B3B6E385-4A52-4FB5-8569-7A9AEE95E91C}"/>
    <cellStyle name="40% - Accent4 6" xfId="12684" xr:uid="{2C8DE1A1-E2BC-4947-8084-856A8C62E73E}"/>
    <cellStyle name="40% - Accent4 7" xfId="12038" xr:uid="{59B71552-87DF-468C-8F8C-BBB206527434}"/>
    <cellStyle name="40% - Accent4 8" xfId="12436" xr:uid="{010D6E74-354F-4668-B81C-717DE425811A}"/>
    <cellStyle name="40% - Accent4 9" xfId="13038" xr:uid="{02C42E3F-DA6E-43EE-824F-6726C464DCF2}"/>
    <cellStyle name="40% - Accent5" xfId="13553" xr:uid="{F026BF1A-276B-4AA2-9C9F-8892FDF07C07}"/>
    <cellStyle name="40% - Accent5 10" xfId="11843" xr:uid="{E518C83A-9D50-4297-971A-780E1EFBFB01}"/>
    <cellStyle name="40% - Accent5 11" xfId="12685" xr:uid="{3C62B9C1-AF82-4E61-9950-22D14F2E50C4}"/>
    <cellStyle name="40% - Accent5 12" xfId="13279" xr:uid="{D3449764-D144-4DA0-8126-EBEF8A829707}"/>
    <cellStyle name="40% - Accent5 13" xfId="12686" xr:uid="{B1C8403C-0121-47A5-9DBA-CBCFC209C118}"/>
    <cellStyle name="40% - Accent5 14" xfId="11520" xr:uid="{82CB5348-B7DA-4968-94C0-A84DF710E494}"/>
    <cellStyle name="40% - Accent5 15" xfId="13448" xr:uid="{40F47227-B961-4110-8D79-ED041C4D0CFF}"/>
    <cellStyle name="40% - Accent5 16" xfId="11986" xr:uid="{98C2C79F-FFC5-4E24-9837-2CDE6AC53104}"/>
    <cellStyle name="40% - Accent5 17" xfId="12687" xr:uid="{8F37D085-B4F0-481E-A8F4-13D9A544B4B1}"/>
    <cellStyle name="40% - Accent5 18" xfId="13103" xr:uid="{14C4D365-E7E8-49B5-8D92-D7A3778FF642}"/>
    <cellStyle name="40% - Accent5 19" xfId="13680" xr:uid="{D81413B4-B801-4DA1-B769-CF31C1616D2F}"/>
    <cellStyle name="40% - Accent5 2" xfId="13863" xr:uid="{61AFFD26-3E15-44CD-AE9D-E879894B8D84}"/>
    <cellStyle name="40% - Accent5 20" xfId="12953" xr:uid="{9CED2E70-3482-4452-BCA6-0E49D3B5FBCF}"/>
    <cellStyle name="40% - Accent5 21" xfId="11844" xr:uid="{3B5CC04F-E6A7-4309-9482-F0A69BBEEC6A}"/>
    <cellStyle name="40% - Accent5 22" xfId="12688" xr:uid="{904A8E79-C60D-4CEC-A574-C0878137AF01}"/>
    <cellStyle name="40% - Accent5 23" xfId="13280" xr:uid="{8514D2BC-FA15-438D-B54E-931F0DD1DDE9}"/>
    <cellStyle name="40% - Accent5 3" xfId="12689" xr:uid="{80239E20-4E03-4D85-AD66-040BD7FD5025}"/>
    <cellStyle name="40% - Accent5 4" xfId="13449" xr:uid="{3EB73D15-D5AB-428F-B20C-F9239451A0D7}"/>
    <cellStyle name="40% - Accent5 5" xfId="11471" xr:uid="{31226128-5007-4542-A6A1-90779EA89B99}"/>
    <cellStyle name="40% - Accent5 6" xfId="13169" xr:uid="{9649938A-6C90-45CF-8B48-FA5B7F035CD4}"/>
    <cellStyle name="40% - Accent5 7" xfId="12690" xr:uid="{91AD271E-35BC-4543-BEEB-2016D37D3E3A}"/>
    <cellStyle name="40% - Accent5 8" xfId="13104" xr:uid="{6CBB6E7F-A4D9-4DF9-8C20-09ACEA1DFFF9}"/>
    <cellStyle name="40% - Accent5 9" xfId="13681" xr:uid="{E0D0808E-9A93-4281-A0AA-1285099BCC07}"/>
    <cellStyle name="40% - Accent6" xfId="13864" xr:uid="{E4F478DB-ADA0-40D4-9487-477B5A7C1F4E}"/>
    <cellStyle name="40% - Accent6 10" xfId="11987" xr:uid="{5D56F5CB-A6BA-48B0-97CE-1797B926BE67}"/>
    <cellStyle name="40% - Accent6 11" xfId="12691" xr:uid="{9F95EEEA-4255-43BB-B6E6-39B0F646B9D9}"/>
    <cellStyle name="40% - Accent6 12" xfId="13742" xr:uid="{481533C2-DB8F-45B1-983A-A8046FAF48E0}"/>
    <cellStyle name="40% - Accent6 13" xfId="12692" xr:uid="{D5AAB917-ED00-464E-A827-A4740452A77A}"/>
    <cellStyle name="40% - Accent6 14" xfId="13213" xr:uid="{ADAF1CBA-88F0-4DF4-9CEF-44541FE179E3}"/>
    <cellStyle name="40% - Accent6 15" xfId="13611" xr:uid="{87F8E5B5-EE9F-4BDB-A861-40526E0F5E70}"/>
    <cellStyle name="40% - Accent6 16" xfId="13865" xr:uid="{AB47DED4-37D0-4837-A8FC-F26FE6E565CB}"/>
    <cellStyle name="40% - Accent6 17" xfId="12693" xr:uid="{A41E8BA4-9BC4-468D-B40E-3BBB5AA96285}"/>
    <cellStyle name="40% - Accent6 18" xfId="13385" xr:uid="{35D80B61-3B00-46A1-8F84-B130063D2EEE}"/>
    <cellStyle name="40% - Accent6 19" xfId="13961" xr:uid="{B968A412-BE94-495E-9EEC-1B8E8A43B946}"/>
    <cellStyle name="40% - Accent6 2" xfId="12694" xr:uid="{C7BBFA74-8257-4E47-8106-265C1C428E1F}"/>
    <cellStyle name="40% - Accent6 20" xfId="12039" xr:uid="{F87C8595-34B9-4C3B-8BA3-113CD3A4ABEC}"/>
    <cellStyle name="40% - Accent6 21" xfId="13037" xr:uid="{77ED3555-B385-4AB3-A3DC-5E94E8B9A1BB}"/>
    <cellStyle name="40% - Accent6 22" xfId="10978" xr:uid="{84AAA829-E636-46BB-AF68-5302C53137EB}"/>
    <cellStyle name="40% - Accent6 23" xfId="13554" xr:uid="{AE2FFAA8-27B0-4AE6-888D-6AE87EFD36C3}"/>
    <cellStyle name="40% - Accent6 3" xfId="13788" xr:uid="{102126E4-E94B-40CF-88C1-6F97A58A0E2F}"/>
    <cellStyle name="40% - Accent6 4" xfId="11030" xr:uid="{093438D0-6AED-4130-AD58-FB70AC679B38}"/>
    <cellStyle name="40% - Accent6 5" xfId="11177" xr:uid="{1F8D588E-1466-4B62-8F9E-E63F7E0022D8}"/>
    <cellStyle name="40% - Accent6 6" xfId="13789" xr:uid="{374CE4C3-A75D-42F0-815A-70B8FA31E67F}"/>
    <cellStyle name="40% - Accent6 7" xfId="12697" xr:uid="{D0A573D2-7390-408E-8BE3-EA84A63D2992}"/>
    <cellStyle name="40% - Accent6 8" xfId="12040" xr:uid="{40E5D3E3-936B-443F-A569-983593A438A8}"/>
    <cellStyle name="40% - Accent6 9" xfId="13281" xr:uid="{C78C105A-DFB3-4B34-A4B7-82FB15F00082}"/>
    <cellStyle name="40% - Énfasis1 10" xfId="932" xr:uid="{25D44400-E86D-4A41-95C3-4E6B571B3A39}"/>
    <cellStyle name="40% - Énfasis1 11" xfId="933" xr:uid="{1E90E200-F9E7-49E0-AD52-AE5B462DC5B9}"/>
    <cellStyle name="40% - Énfasis1 12" xfId="934" xr:uid="{55377AA0-7F4F-47D8-83BA-512875BDE01E}"/>
    <cellStyle name="40% - Énfasis1 13" xfId="935" xr:uid="{4DFE4923-3A59-4BAB-B83D-ACC53B4C46AE}"/>
    <cellStyle name="40% - Énfasis1 14" xfId="936" xr:uid="{ACC880AB-65C8-43EA-BCBE-E19A752CFE9F}"/>
    <cellStyle name="40% - Énfasis1 15" xfId="937" xr:uid="{C24F5C91-24FD-48C3-AADB-517337365520}"/>
    <cellStyle name="40% - Énfasis1 16" xfId="938" xr:uid="{97B31123-CA7B-470C-950D-D59E9C26C60D}"/>
    <cellStyle name="40% - Énfasis1 17" xfId="939" xr:uid="{C046585F-1BEB-42CD-B380-94EE4E6E4D1F}"/>
    <cellStyle name="40% - Énfasis1 18" xfId="940" xr:uid="{233AC943-6120-46D5-BC6D-9A6A23AA665D}"/>
    <cellStyle name="40% - Énfasis1 19" xfId="941" xr:uid="{CD00FFA6-0BF3-47FE-9A3A-DC203CE0443C}"/>
    <cellStyle name="40% - Énfasis1 2" xfId="16" xr:uid="{C09EF9B6-6EDC-4446-B2FA-09B3A4401E28}"/>
    <cellStyle name="40% - Énfasis1 2 2" xfId="233" xr:uid="{E5D462A3-01E6-4358-901B-413528E1D8F1}"/>
    <cellStyle name="40% - Énfasis1 2 3" xfId="942" xr:uid="{BD0CD8BE-9D6D-4C98-BF89-FF11C5A889F8}"/>
    <cellStyle name="40% - Énfasis1 2 4" xfId="943" xr:uid="{9B8EBD1F-5A0A-4B91-8147-3AC2F65717C7}"/>
    <cellStyle name="40% - Énfasis1 2 5" xfId="944" xr:uid="{222F77DD-F341-4382-9D20-D3452A6A7EEC}"/>
    <cellStyle name="40% - Énfasis1 2 6" xfId="12041" xr:uid="{97E81E63-1E33-44F4-9963-A2D8099A9462}"/>
    <cellStyle name="40% - Énfasis1 20" xfId="945" xr:uid="{2546FF06-64C0-4BB6-9BAD-EC41B81D9CE6}"/>
    <cellStyle name="40% - Énfasis1 21" xfId="946" xr:uid="{D3B6C6F3-24C9-4EB5-880D-7527F8977382}"/>
    <cellStyle name="40% - Énfasis1 22" xfId="947" xr:uid="{E8757497-BF1F-4747-A0E5-7742CB59F43D}"/>
    <cellStyle name="40% - Énfasis1 23" xfId="948" xr:uid="{A9185CF9-BDCE-4C8B-8077-56706A7D478F}"/>
    <cellStyle name="40% - Énfasis1 24" xfId="949" xr:uid="{24DEA9D7-6D2D-4AF1-ACE4-A3C885D0A9F0}"/>
    <cellStyle name="40% - Énfasis1 25" xfId="950" xr:uid="{154912E0-74D4-4ABF-B1F1-9BDA81B58855}"/>
    <cellStyle name="40% - Énfasis1 26" xfId="951" xr:uid="{FC386033-2585-49A8-8155-F2FDF3B7A120}"/>
    <cellStyle name="40% - Énfasis1 27" xfId="952" xr:uid="{AD2411CF-044C-44EC-BBC7-40102DA730C6}"/>
    <cellStyle name="40% - Énfasis1 28" xfId="953" xr:uid="{85EB5AD1-8EC2-4FEF-8C02-43678151F81E}"/>
    <cellStyle name="40% - Énfasis1 29" xfId="954" xr:uid="{22BA7396-6999-4464-9915-CD7985D36FD7}"/>
    <cellStyle name="40% - Énfasis1 3" xfId="234" xr:uid="{072B94EE-DB40-4508-BC97-D235FBBAC7ED}"/>
    <cellStyle name="40% - Énfasis1 3 2" xfId="235" xr:uid="{7B1721B8-D93E-40AE-8085-DC4A6D249DC0}"/>
    <cellStyle name="40% - Énfasis1 3 3" xfId="12346" xr:uid="{1A450C0F-2F4B-4B1F-807B-94B755BC41CC}"/>
    <cellStyle name="40% - Énfasis1 30" xfId="955" xr:uid="{B8E2D3D1-3191-4E17-A77F-6E63108E6B61}"/>
    <cellStyle name="40% - Énfasis1 31" xfId="956" xr:uid="{D98ECF38-7D65-496B-9128-38187D09AA2E}"/>
    <cellStyle name="40% - Énfasis1 32" xfId="957" xr:uid="{D8C67CDE-610E-49C6-BDE4-302EDE6BD823}"/>
    <cellStyle name="40% - Énfasis1 33" xfId="958" xr:uid="{5B9104DC-E811-4D80-9BA6-C72CED1CB476}"/>
    <cellStyle name="40% - Énfasis1 34" xfId="959" xr:uid="{5EACD678-7AEF-4BB8-9C48-94E9572CF95A}"/>
    <cellStyle name="40% - Énfasis1 35" xfId="960" xr:uid="{5999AAB1-0322-44CB-BC9A-CFF985ECA9E3}"/>
    <cellStyle name="40% - Énfasis1 36" xfId="961" xr:uid="{39D42ECC-6933-427C-B352-CDC8F9B6E57A}"/>
    <cellStyle name="40% - Énfasis1 37" xfId="962" xr:uid="{646B264C-7493-4C82-891E-2DD54F633981}"/>
    <cellStyle name="40% - Énfasis1 38" xfId="963" xr:uid="{3A3A5483-6846-4AF5-A199-AD36CEDCF304}"/>
    <cellStyle name="40% - Énfasis1 39" xfId="964" xr:uid="{E93B6A26-4CAA-4E0C-AB4A-5A03021B73F2}"/>
    <cellStyle name="40% - Énfasis1 4" xfId="236" xr:uid="{8C9983F7-0F88-4508-8E4C-EC4743E3D66B}"/>
    <cellStyle name="40% - Énfasis1 4 2" xfId="237" xr:uid="{2A4D911A-36DF-469F-A3C6-83DFF1A67572}"/>
    <cellStyle name="40% - Énfasis1 4 3" xfId="13450" xr:uid="{FA9F0963-FDF9-4CB8-8596-976E09FED788}"/>
    <cellStyle name="40% - Énfasis1 40" xfId="965" xr:uid="{CEB04397-837C-416D-BA63-780B3E636AF1}"/>
    <cellStyle name="40% - Énfasis1 41" xfId="966" xr:uid="{FD8271C4-FCC7-4C10-A6D2-F5468221439B}"/>
    <cellStyle name="40% - Énfasis1 42" xfId="967" xr:uid="{CBBC8DDC-4171-4E9C-A852-89C395C1426E}"/>
    <cellStyle name="40% - Énfasis1 43" xfId="968" xr:uid="{4121E63E-0099-4424-9E82-91991F430C7F}"/>
    <cellStyle name="40% - Énfasis1 44" xfId="969" xr:uid="{9AC82337-310A-44EC-B149-BBF0CF81134D}"/>
    <cellStyle name="40% - Énfasis1 45" xfId="970" xr:uid="{0D29FB4A-EE72-4E8B-9F9D-9B3ED5626637}"/>
    <cellStyle name="40% - Énfasis1 46" xfId="971" xr:uid="{F32F8D99-07AF-4F70-B684-29C5A2344145}"/>
    <cellStyle name="40% - Énfasis1 47" xfId="972" xr:uid="{20F78344-F851-428B-B803-2BFE13850F55}"/>
    <cellStyle name="40% - Énfasis1 48" xfId="973" xr:uid="{9790141B-C41C-4044-8EA8-31E5405E53CC}"/>
    <cellStyle name="40% - Énfasis1 49" xfId="974" xr:uid="{D9A7D3EC-A9C5-4025-9690-5ED95FD76F29}"/>
    <cellStyle name="40% - Énfasis1 5" xfId="238" xr:uid="{E9AE4A74-D5DB-493A-88B7-AA9724F94CE9}"/>
    <cellStyle name="40% - Énfasis1 5 2" xfId="239" xr:uid="{632B0F80-B82E-433B-A4DC-B1CE3F880BA2}"/>
    <cellStyle name="40% - Énfasis1 5 3" xfId="12407" xr:uid="{5F7803AC-63D3-4D3B-AD8C-77A752075643}"/>
    <cellStyle name="40% - Énfasis1 50" xfId="975" xr:uid="{3084197B-ADAC-44CB-92FD-2C55E2931189}"/>
    <cellStyle name="40% - Énfasis1 51" xfId="976" xr:uid="{87753FA4-3346-493A-B611-517D00E360B9}"/>
    <cellStyle name="40% - Énfasis1 52" xfId="977" xr:uid="{38A8113F-F5C7-4BA5-B4FA-85F92FE1E42D}"/>
    <cellStyle name="40% - Énfasis1 53" xfId="978" xr:uid="{7768A3BB-06F3-49AD-B8AA-93501571731A}"/>
    <cellStyle name="40% - Énfasis1 54" xfId="979" xr:uid="{37BB5201-4A53-4E33-B276-804C4AE364D2}"/>
    <cellStyle name="40% - Énfasis1 55" xfId="980" xr:uid="{9709F586-990A-426E-9862-0E4AEBB524A9}"/>
    <cellStyle name="40% - Énfasis1 56" xfId="981" xr:uid="{4F5416E0-1016-4E8C-9881-DCDBF9C17849}"/>
    <cellStyle name="40% - Énfasis1 57" xfId="982" xr:uid="{D6CDB741-3F4E-4143-B88D-6B4DF8E8D636}"/>
    <cellStyle name="40% - Énfasis1 58" xfId="983" xr:uid="{FE316691-4C5B-4DE4-BCE8-9B3B249E117B}"/>
    <cellStyle name="40% - Énfasis1 59" xfId="984" xr:uid="{7A0E3459-6562-4CC7-95DB-063F64266545}"/>
    <cellStyle name="40% - Énfasis1 6" xfId="240" xr:uid="{C4023EA7-90B1-4CB8-81B7-BA44E1F0D29D}"/>
    <cellStyle name="40% - Énfasis1 6 2" xfId="241" xr:uid="{00369341-8904-4783-9008-88F22F5B8499}"/>
    <cellStyle name="40% - Énfasis1 6 3" xfId="11662" xr:uid="{4481B31F-7143-4346-966C-ABE022A1D398}"/>
    <cellStyle name="40% - Énfasis1 60" xfId="985" xr:uid="{CB026A91-E4B3-4168-A90F-AFB2FB77A035}"/>
    <cellStyle name="40% - Énfasis1 61" xfId="986" xr:uid="{F9DB1D0E-7332-4918-8EC6-3BC57564054F}"/>
    <cellStyle name="40% - Énfasis1 62" xfId="987" xr:uid="{3C3EC0B3-4EF5-4D98-8A91-55F9E4D31804}"/>
    <cellStyle name="40% - Énfasis1 63" xfId="988" xr:uid="{89D7D44E-B220-4B1A-982B-37DA7B0F61E8}"/>
    <cellStyle name="40% - Énfasis1 64" xfId="989" xr:uid="{8FC03DB2-C9A0-4180-B951-ACC01F96511E}"/>
    <cellStyle name="40% - Énfasis1 65" xfId="990" xr:uid="{6C763A5D-B72E-4622-A8FE-BF1C580235EF}"/>
    <cellStyle name="40% - Énfasis1 66" xfId="991" xr:uid="{0B04FF4B-90C4-4278-9EEA-D541D22E354B}"/>
    <cellStyle name="40% - Énfasis1 67" xfId="992" xr:uid="{AB9DA870-EDAE-41C6-9777-369AFCDC303C}"/>
    <cellStyle name="40% - Énfasis1 68" xfId="503" xr:uid="{6D7222AE-B0A4-426B-8EA9-273F0161E5DA}"/>
    <cellStyle name="40% - Énfasis1 7" xfId="242" xr:uid="{86A4508A-6932-4752-A857-98879C056D7E}"/>
    <cellStyle name="40% - Énfasis1 7 2" xfId="243" xr:uid="{6B2AF54F-6B61-4854-B860-48D8A7AFFCC0}"/>
    <cellStyle name="40% - Énfasis1 7 3" xfId="13105" xr:uid="{B8206E22-F931-4E84-902A-8562E726F14D}"/>
    <cellStyle name="40% - Énfasis1 8" xfId="244" xr:uid="{5003BE24-298B-411C-8D46-AD7444352573}"/>
    <cellStyle name="40% - Énfasis1 9" xfId="993" xr:uid="{4E516CB3-0A67-4BA4-915B-1F7DD8A788B5}"/>
    <cellStyle name="40% - Énfasis2 10" xfId="994" xr:uid="{CC208A5A-4EF5-4287-BB9A-3B80CAC7B989}"/>
    <cellStyle name="40% - Énfasis2 11" xfId="995" xr:uid="{DC627C7D-14D5-443B-9C23-F44581FDAD39}"/>
    <cellStyle name="40% - Énfasis2 12" xfId="996" xr:uid="{E30E30CE-708B-46EE-A085-B23841ACA5BC}"/>
    <cellStyle name="40% - Énfasis2 13" xfId="997" xr:uid="{32847F6D-8B0D-41A7-8F6B-09AD7FC0C751}"/>
    <cellStyle name="40% - Énfasis2 14" xfId="998" xr:uid="{AE985BB8-B717-49E8-B1B4-22FE77B425F4}"/>
    <cellStyle name="40% - Énfasis2 15" xfId="999" xr:uid="{2DC4FF93-6AE2-4F7D-9C7C-7196110D64E7}"/>
    <cellStyle name="40% - Énfasis2 16" xfId="1000" xr:uid="{234FE4B2-01B6-4B93-B6E8-2EFBF2070961}"/>
    <cellStyle name="40% - Énfasis2 17" xfId="1001" xr:uid="{D99C78D2-4D5F-4396-8D29-1F68DFC0840D}"/>
    <cellStyle name="40% - Énfasis2 18" xfId="1002" xr:uid="{9ECA0A52-3E49-4FAF-8042-C3B29E4815A2}"/>
    <cellStyle name="40% - Énfasis2 19" xfId="1003" xr:uid="{3751AF57-6524-4E1F-A064-A32E969252E5}"/>
    <cellStyle name="40% - Énfasis2 2" xfId="17" xr:uid="{A8527C23-C3F2-4F07-AD63-BC565452E108}"/>
    <cellStyle name="40% - Énfasis2 2 2" xfId="245" xr:uid="{EFD58B1C-B89F-4B69-BC69-089D57AAA53A}"/>
    <cellStyle name="40% - Énfasis2 2 3" xfId="1004" xr:uid="{0F8F3ACA-DB31-4AF1-96FE-B70D5FCC08CD}"/>
    <cellStyle name="40% - Énfasis2 2 4" xfId="1005" xr:uid="{D5D3A967-914C-41CC-9E8C-40F92AA11795}"/>
    <cellStyle name="40% - Énfasis2 2 5" xfId="1006" xr:uid="{EC6A03AA-8F26-4D86-9665-FDE14B381CEC}"/>
    <cellStyle name="40% - Énfasis2 20" xfId="1007" xr:uid="{7E3C2E3F-0EA4-4017-AF62-EB59AF2B5C73}"/>
    <cellStyle name="40% - Énfasis2 21" xfId="1008" xr:uid="{02D5B916-A6D9-4506-96BE-D76E406F2AB4}"/>
    <cellStyle name="40% - Énfasis2 22" xfId="1009" xr:uid="{D942928F-74B2-462D-8656-FE588E68420B}"/>
    <cellStyle name="40% - Énfasis2 23" xfId="1010" xr:uid="{84FEA724-14B5-431C-8703-645454B9B7BB}"/>
    <cellStyle name="40% - Énfasis2 24" xfId="1011" xr:uid="{C0815945-E9BE-4BBE-B327-D02A53C72493}"/>
    <cellStyle name="40% - Énfasis2 25" xfId="1012" xr:uid="{C8655AF3-82A5-473B-B8F6-AC31EE9F3744}"/>
    <cellStyle name="40% - Énfasis2 26" xfId="1013" xr:uid="{5EC691C4-62C0-4829-B47C-C6B5495BA2BC}"/>
    <cellStyle name="40% - Énfasis2 27" xfId="1014" xr:uid="{732D482D-509E-4A88-BFB6-0B13B1D08FCF}"/>
    <cellStyle name="40% - Énfasis2 28" xfId="1015" xr:uid="{4ECF45F5-3FBF-4CCE-9C9F-2150A40EDBD6}"/>
    <cellStyle name="40% - Énfasis2 29" xfId="1016" xr:uid="{CE7B4B16-0832-4308-BBEB-8F3C69F3A3B1}"/>
    <cellStyle name="40% - Énfasis2 3" xfId="246" xr:uid="{6FE94350-B031-4A8E-BF8F-3B50034DD768}"/>
    <cellStyle name="40% - Énfasis2 3 2" xfId="247" xr:uid="{FB0007EE-DC42-412C-8C4A-5B82F197B1A9}"/>
    <cellStyle name="40% - Énfasis2 30" xfId="1017" xr:uid="{1CCAB0EA-FE10-45FB-A92E-D22046EB2520}"/>
    <cellStyle name="40% - Énfasis2 31" xfId="1018" xr:uid="{5D21D9A6-2EF6-4EA8-8BF0-6B043AE092CC}"/>
    <cellStyle name="40% - Énfasis2 32" xfId="1019" xr:uid="{B92505DF-C165-4839-A75E-C00845FC89A8}"/>
    <cellStyle name="40% - Énfasis2 33" xfId="1020" xr:uid="{741790F7-35DA-4B74-961C-9EC3B85E601B}"/>
    <cellStyle name="40% - Énfasis2 34" xfId="1021" xr:uid="{7412BCDB-471C-4D95-B777-80A390475DD6}"/>
    <cellStyle name="40% - Énfasis2 35" xfId="1022" xr:uid="{0E22471C-C219-4FA3-BF81-52193BA793F0}"/>
    <cellStyle name="40% - Énfasis2 36" xfId="1023" xr:uid="{72C5018B-787A-480B-BC3E-94A449BD27F9}"/>
    <cellStyle name="40% - Énfasis2 37" xfId="1024" xr:uid="{6908D2E7-B2CC-4D30-83D9-2FA04827B162}"/>
    <cellStyle name="40% - Énfasis2 38" xfId="1025" xr:uid="{8FDAE787-49E3-4B08-BC6C-CC600DC7A782}"/>
    <cellStyle name="40% - Énfasis2 39" xfId="1026" xr:uid="{3B47FA38-C5AD-4C2C-867A-9571808D3F14}"/>
    <cellStyle name="40% - Énfasis2 4" xfId="248" xr:uid="{A8324B08-4246-4FA6-B045-35102ACDE7DE}"/>
    <cellStyle name="40% - Énfasis2 4 2" xfId="249" xr:uid="{F4B25E00-7910-4432-BF7D-4E6D96D6CD82}"/>
    <cellStyle name="40% - Énfasis2 40" xfId="1027" xr:uid="{A34B141F-E35A-40EC-9D90-452006358B0D}"/>
    <cellStyle name="40% - Énfasis2 41" xfId="1028" xr:uid="{FE17CDD1-75AB-43EA-84FD-7AE61C022978}"/>
    <cellStyle name="40% - Énfasis2 42" xfId="1029" xr:uid="{24BADCFC-0DF6-47A0-930B-E4D043E88558}"/>
    <cellStyle name="40% - Énfasis2 43" xfId="1030" xr:uid="{BC5F7A5B-1A0A-4DC9-A3B7-9F0C4D551C9B}"/>
    <cellStyle name="40% - Énfasis2 44" xfId="1031" xr:uid="{B32F6C82-1126-428C-B103-A5651DC584AA}"/>
    <cellStyle name="40% - Énfasis2 45" xfId="1032" xr:uid="{4EDF9B37-B31E-4617-A6AD-98A10E0982E0}"/>
    <cellStyle name="40% - Énfasis2 46" xfId="1033" xr:uid="{CA36DFA1-1CF6-4898-8268-CB68B898C051}"/>
    <cellStyle name="40% - Énfasis2 47" xfId="1034" xr:uid="{0C66EC69-B2E9-40C8-8677-542E99EA13E1}"/>
    <cellStyle name="40% - Énfasis2 48" xfId="1035" xr:uid="{47B44F92-CF91-454B-9CA7-424C3A6D1C27}"/>
    <cellStyle name="40% - Énfasis2 49" xfId="1036" xr:uid="{71621BDC-76B6-4F20-8B0C-3E4F92F2022C}"/>
    <cellStyle name="40% - Énfasis2 5" xfId="250" xr:uid="{2AEDBD08-2449-47F1-B398-5A7CFB8F0108}"/>
    <cellStyle name="40% - Énfasis2 5 2" xfId="251" xr:uid="{F1E49D69-E23E-4D66-8291-9E526D4B5229}"/>
    <cellStyle name="40% - Énfasis2 50" xfId="1037" xr:uid="{6E6ADAF0-4AE7-4F33-A7E9-8A22A01AD62F}"/>
    <cellStyle name="40% - Énfasis2 51" xfId="1038" xr:uid="{B7B6A2FF-906F-492D-8595-4A39D5BF3212}"/>
    <cellStyle name="40% - Énfasis2 52" xfId="1039" xr:uid="{EDA7DF23-5256-47BF-B763-4F46E3FBE8C9}"/>
    <cellStyle name="40% - Énfasis2 53" xfId="1040" xr:uid="{D37AF952-C21E-44B2-8708-9745608232BC}"/>
    <cellStyle name="40% - Énfasis2 54" xfId="1041" xr:uid="{13EDB331-3352-4338-A9A7-967D5B5349BC}"/>
    <cellStyle name="40% - Énfasis2 55" xfId="1042" xr:uid="{024619B5-6BBC-4148-8E78-A3D53D016280}"/>
    <cellStyle name="40% - Énfasis2 56" xfId="1043" xr:uid="{32559A31-7455-4430-A171-A495876B8ECE}"/>
    <cellStyle name="40% - Énfasis2 57" xfId="1044" xr:uid="{1E6EA8A8-F05F-4497-80E1-9318B4CF8DD1}"/>
    <cellStyle name="40% - Énfasis2 58" xfId="1045" xr:uid="{357925DD-F22C-450E-9D74-B7D0B48A2255}"/>
    <cellStyle name="40% - Énfasis2 59" xfId="1046" xr:uid="{BE568F96-A3FC-4C52-9314-D8F16524FE94}"/>
    <cellStyle name="40% - Énfasis2 6" xfId="252" xr:uid="{6C6EBA0E-A27F-4C84-BDD9-04C11EA43EAB}"/>
    <cellStyle name="40% - Énfasis2 6 2" xfId="253" xr:uid="{040143FD-921F-4A10-92F8-41FD784ADE96}"/>
    <cellStyle name="40% - Énfasis2 60" xfId="1047" xr:uid="{C0B3B1D9-74B4-48E3-B0E0-920CD8F2EACA}"/>
    <cellStyle name="40% - Énfasis2 61" xfId="1048" xr:uid="{635CBEBA-9AFF-4859-8517-5FDB03FF8139}"/>
    <cellStyle name="40% - Énfasis2 62" xfId="1049" xr:uid="{DADCABB7-A209-4AFE-B9CD-FC16BB735CCC}"/>
    <cellStyle name="40% - Énfasis2 63" xfId="1050" xr:uid="{A8BC9D0C-2945-4B92-92BA-0F2840EEE3EE}"/>
    <cellStyle name="40% - Énfasis2 64" xfId="1051" xr:uid="{5BF6214F-C733-4291-94A3-D91014660F9E}"/>
    <cellStyle name="40% - Énfasis2 65" xfId="1052" xr:uid="{8102CC1F-645B-4EC0-84D7-868F4851F2FA}"/>
    <cellStyle name="40% - Énfasis2 66" xfId="1053" xr:uid="{05D8DCEF-AE45-44E0-8C22-40335EE352A9}"/>
    <cellStyle name="40% - Énfasis2 67" xfId="1054" xr:uid="{E1D064C5-C565-46B2-97B7-FC95E319C09B}"/>
    <cellStyle name="40% - Énfasis2 68" xfId="504" xr:uid="{C03DACD3-A694-4B78-963B-755E0D33525F}"/>
    <cellStyle name="40% - Énfasis2 7" xfId="254" xr:uid="{30D95F96-070D-46B4-806E-3E3EF0523455}"/>
    <cellStyle name="40% - Énfasis2 7 2" xfId="255" xr:uid="{F11196AF-BEAB-4066-830F-E0A7D15E988B}"/>
    <cellStyle name="40% - Énfasis2 8" xfId="256" xr:uid="{7B0EAC2A-32BF-42AA-8399-2A945D56F62D}"/>
    <cellStyle name="40% - Énfasis2 9" xfId="1055" xr:uid="{0916BE28-3AB3-4957-AAA1-6EC15E7FF635}"/>
    <cellStyle name="40% - Énfasis3 10" xfId="1056" xr:uid="{7B12CA75-EAE5-4E6B-BF68-46EE260441D6}"/>
    <cellStyle name="40% - Énfasis3 11" xfId="1057" xr:uid="{FAF95D03-F76F-4A81-9FD4-8849F402E17C}"/>
    <cellStyle name="40% - Énfasis3 12" xfId="1058" xr:uid="{E104959E-2E51-4F5C-AEDE-46F02E5DB673}"/>
    <cellStyle name="40% - Énfasis3 13" xfId="1059" xr:uid="{8C6DD93B-9BBD-4A5D-9B67-8B2E614D1D93}"/>
    <cellStyle name="40% - Énfasis3 14" xfId="1060" xr:uid="{38878DB2-BE30-4532-8C6E-AD2FE73DB9CA}"/>
    <cellStyle name="40% - Énfasis3 15" xfId="1061" xr:uid="{88161BD0-7AA8-44AA-B4BD-F3A715D64D02}"/>
    <cellStyle name="40% - Énfasis3 16" xfId="1062" xr:uid="{F3829197-177D-41A8-9A27-EF6D6EF91732}"/>
    <cellStyle name="40% - Énfasis3 17" xfId="1063" xr:uid="{917E50C8-09D5-4E15-9EDB-FAD4BFCC6A49}"/>
    <cellStyle name="40% - Énfasis3 18" xfId="1064" xr:uid="{FC16D936-DA66-4382-9975-B1550F4D00A5}"/>
    <cellStyle name="40% - Énfasis3 19" xfId="1065" xr:uid="{00194196-E88F-4022-82FF-FD21CDF8F67E}"/>
    <cellStyle name="40% - Énfasis3 2" xfId="18" xr:uid="{1A9AE67B-2F52-4A19-AF22-ABF962E2033F}"/>
    <cellStyle name="40% - Énfasis3 2 2" xfId="257" xr:uid="{31522DFA-EA47-469B-BACC-185E64BA1D22}"/>
    <cellStyle name="40% - Énfasis3 2 3" xfId="1066" xr:uid="{05F53EB6-EA93-48A8-B11B-090D6346BD3B}"/>
    <cellStyle name="40% - Énfasis3 2 4" xfId="1067" xr:uid="{B8E7D0DA-5848-4B65-82BC-4B44D26B1AD8}"/>
    <cellStyle name="40% - Énfasis3 2 5" xfId="1068" xr:uid="{D091E27E-3635-43C9-BB1F-911552CAE5CF}"/>
    <cellStyle name="40% - Énfasis3 2 6" xfId="12042" xr:uid="{85B67DDF-8772-45BC-88E5-AE5D51DD3CAA}"/>
    <cellStyle name="40% - Énfasis3 20" xfId="1069" xr:uid="{458D4B5A-417F-4CD7-854E-EB858F20AD44}"/>
    <cellStyle name="40% - Énfasis3 21" xfId="1070" xr:uid="{899C7B21-6AC4-4582-BEA6-6DA44C736077}"/>
    <cellStyle name="40% - Énfasis3 22" xfId="1071" xr:uid="{64D3C812-D1E1-4CB1-937F-7A3A3FF3B00C}"/>
    <cellStyle name="40% - Énfasis3 23" xfId="1072" xr:uid="{8E30D061-A0EF-42A9-B605-31D62499BFF2}"/>
    <cellStyle name="40% - Énfasis3 24" xfId="1073" xr:uid="{BCAFF1BF-6A0A-45F0-848C-5DEDEB74FE7F}"/>
    <cellStyle name="40% - Énfasis3 25" xfId="1074" xr:uid="{B80723CE-0BB6-4E1F-8A7C-880B929BF6C7}"/>
    <cellStyle name="40% - Énfasis3 26" xfId="1075" xr:uid="{233C6A09-235E-479A-893E-EFEBC4C764FF}"/>
    <cellStyle name="40% - Énfasis3 27" xfId="1076" xr:uid="{81806044-BBFF-4E0B-A4F4-C3516319C62C}"/>
    <cellStyle name="40% - Énfasis3 28" xfId="1077" xr:uid="{CAE76BA8-570E-45E3-957F-BA63333F2637}"/>
    <cellStyle name="40% - Énfasis3 29" xfId="1078" xr:uid="{8D0F3967-021A-42F7-8E66-92C567D400BB}"/>
    <cellStyle name="40% - Énfasis3 3" xfId="258" xr:uid="{32D9A3DC-9842-4F21-BBAA-831022DCB121}"/>
    <cellStyle name="40% - Énfasis3 3 2" xfId="259" xr:uid="{19730F1D-4E9C-45BA-83B8-2CF6EE94AD00}"/>
    <cellStyle name="40% - Énfasis3 3 3" xfId="13451" xr:uid="{F7B6E796-9C5C-40CE-A7A9-AB2479366224}"/>
    <cellStyle name="40% - Énfasis3 30" xfId="1079" xr:uid="{3D34A5D3-E3A5-4C45-9FB7-CAE66F5F30E6}"/>
    <cellStyle name="40% - Énfasis3 31" xfId="1080" xr:uid="{E12378BC-7A44-4B3A-9082-5EE5E3F013A0}"/>
    <cellStyle name="40% - Énfasis3 32" xfId="1081" xr:uid="{5A17198D-BAFF-49D5-98A9-BDC7D96AD9A9}"/>
    <cellStyle name="40% - Énfasis3 33" xfId="1082" xr:uid="{AFEA84FE-C0EF-4DA0-887E-ADD9454C8B40}"/>
    <cellStyle name="40% - Énfasis3 34" xfId="1083" xr:uid="{AF281DAF-6FE8-4B1C-9F5F-2C9CF109C588}"/>
    <cellStyle name="40% - Énfasis3 35" xfId="1084" xr:uid="{D3E4E575-5303-49E4-AAF2-A2F1061BF782}"/>
    <cellStyle name="40% - Énfasis3 36" xfId="1085" xr:uid="{19F75E8D-D17B-4869-A1D9-147975CA156C}"/>
    <cellStyle name="40% - Énfasis3 37" xfId="1086" xr:uid="{FB6B6B91-87BA-473E-A9DA-E4D0358D434F}"/>
    <cellStyle name="40% - Énfasis3 38" xfId="1087" xr:uid="{3977CAE7-BF85-472C-9DE5-277FFCE39845}"/>
    <cellStyle name="40% - Énfasis3 39" xfId="1088" xr:uid="{5C325970-AF5E-4E82-88C6-2FD940C17A80}"/>
    <cellStyle name="40% - Énfasis3 4" xfId="260" xr:uid="{EF462EAF-4804-4B03-AB6D-18478F213A00}"/>
    <cellStyle name="40% - Énfasis3 4 2" xfId="261" xr:uid="{050D84D5-C8BC-4C25-A6B9-5DF99DFA4D01}"/>
    <cellStyle name="40% - Énfasis3 4 3" xfId="12043" xr:uid="{D70E211E-E26C-417C-9E90-74849DB4E438}"/>
    <cellStyle name="40% - Énfasis3 40" xfId="1089" xr:uid="{F3E1F647-8FAB-47B1-AD35-010EEFD3256B}"/>
    <cellStyle name="40% - Énfasis3 41" xfId="1090" xr:uid="{F93BF59B-9134-43EC-87B1-F54795583597}"/>
    <cellStyle name="40% - Énfasis3 42" xfId="1091" xr:uid="{0F6395EB-4BBF-455F-9761-409626217F01}"/>
    <cellStyle name="40% - Énfasis3 43" xfId="1092" xr:uid="{39060176-BC7F-4207-B7F5-2C9A8A41A418}"/>
    <cellStyle name="40% - Énfasis3 44" xfId="1093" xr:uid="{B94C4D74-DD98-44BD-8CA4-8A2110C8B968}"/>
    <cellStyle name="40% - Énfasis3 45" xfId="1094" xr:uid="{7954C723-D48E-4772-AF4B-8C2C048A56CA}"/>
    <cellStyle name="40% - Énfasis3 46" xfId="1095" xr:uid="{73B059B0-687D-40B8-9AB8-C65796CF2D94}"/>
    <cellStyle name="40% - Énfasis3 47" xfId="1096" xr:uid="{D19E8AF1-36F3-4DE5-8564-9DDB0C93D3BD}"/>
    <cellStyle name="40% - Énfasis3 48" xfId="1097" xr:uid="{E191F3FC-F148-4B17-B52E-DFFEA2DE623D}"/>
    <cellStyle name="40% - Énfasis3 49" xfId="1098" xr:uid="{4FD865A9-FA5B-46CB-9361-84A313366C2E}"/>
    <cellStyle name="40% - Énfasis3 5" xfId="262" xr:uid="{6FF89DF6-713A-4393-A663-BC31C54D2AE1}"/>
    <cellStyle name="40% - Énfasis3 5 2" xfId="263" xr:uid="{A19AA1E6-EA13-405E-90AD-37698D93BB4C}"/>
    <cellStyle name="40% - Énfasis3 5 3" xfId="12347" xr:uid="{A97A646C-7151-4B6D-8B79-2E06FEDE4F2A}"/>
    <cellStyle name="40% - Énfasis3 50" xfId="1099" xr:uid="{BD862240-FEE7-4139-A4A9-54EBD01EE49D}"/>
    <cellStyle name="40% - Énfasis3 51" xfId="1100" xr:uid="{7CB2CF63-17A6-445D-B1EB-1DDAD948801B}"/>
    <cellStyle name="40% - Énfasis3 52" xfId="1101" xr:uid="{A5BDA1C5-326A-407D-95D5-FC529F1EEA63}"/>
    <cellStyle name="40% - Énfasis3 53" xfId="1102" xr:uid="{EDFB4FA1-4966-4610-888A-DBE782BCAFEA}"/>
    <cellStyle name="40% - Énfasis3 54" xfId="1103" xr:uid="{73928C88-A289-4318-95A2-BF6B76CEA90C}"/>
    <cellStyle name="40% - Énfasis3 55" xfId="1104" xr:uid="{64D777A0-2F55-4E51-A891-719C39F148B1}"/>
    <cellStyle name="40% - Énfasis3 56" xfId="1105" xr:uid="{12841FA1-88B5-42BB-B828-552D4CA0A347}"/>
    <cellStyle name="40% - Énfasis3 57" xfId="1106" xr:uid="{52A1352D-D921-4653-83D0-B586231C5C2F}"/>
    <cellStyle name="40% - Énfasis3 58" xfId="1107" xr:uid="{134DBE0F-5FB6-4DF9-92E6-85C1C4828547}"/>
    <cellStyle name="40% - Énfasis3 59" xfId="1108" xr:uid="{AA46CA47-0C8C-4262-BE33-B8C4C6131492}"/>
    <cellStyle name="40% - Énfasis3 6" xfId="264" xr:uid="{3E5E8438-2CE9-4831-B374-099112C2B363}"/>
    <cellStyle name="40% - Énfasis3 6 2" xfId="265" xr:uid="{6B67F15E-D7D0-4AB0-8004-2E2B737F3997}"/>
    <cellStyle name="40% - Énfasis3 6 3" xfId="11472" xr:uid="{BE7AB801-5CEC-4A49-BADC-0DE088532816}"/>
    <cellStyle name="40% - Énfasis3 60" xfId="1109" xr:uid="{CE409729-F4E5-495A-8E74-CB3BEAAC8FB7}"/>
    <cellStyle name="40% - Énfasis3 61" xfId="1110" xr:uid="{5E9C609D-FBC6-48BF-B860-378434FFF347}"/>
    <cellStyle name="40% - Énfasis3 62" xfId="1111" xr:uid="{8E204925-CB96-41D3-8C99-AF21AFCE780C}"/>
    <cellStyle name="40% - Énfasis3 63" xfId="1112" xr:uid="{9A194535-0136-4D80-947A-341C7E18E963}"/>
    <cellStyle name="40% - Énfasis3 64" xfId="1113" xr:uid="{512C9C35-939F-4323-B34A-FBFF0DECFB4B}"/>
    <cellStyle name="40% - Énfasis3 65" xfId="1114" xr:uid="{CEEB25CB-61CD-46CF-9EAC-15E910A27F16}"/>
    <cellStyle name="40% - Énfasis3 66" xfId="1115" xr:uid="{7160AF4E-2F5A-4A89-A9EE-94A4D6ACEF74}"/>
    <cellStyle name="40% - Énfasis3 67" xfId="1116" xr:uid="{919CA260-371D-4E73-A4D4-A72413112D5B}"/>
    <cellStyle name="40% - Énfasis3 68" xfId="511" xr:uid="{70D57929-C221-4B0F-8B7E-5A374656F336}"/>
    <cellStyle name="40% - Énfasis3 7" xfId="266" xr:uid="{C636A601-FBC5-46D7-8924-2468175E9E52}"/>
    <cellStyle name="40% - Énfasis3 7 2" xfId="267" xr:uid="{0A9EC83C-E3CE-4FF1-8164-AC41417BDE5C}"/>
    <cellStyle name="40% - Énfasis3 7 3" xfId="13106" xr:uid="{774AB8D4-008A-495E-A3BA-85ABE9787289}"/>
    <cellStyle name="40% - Énfasis3 8" xfId="268" xr:uid="{68BE1639-01FD-4CEA-8C6C-92483C31283F}"/>
    <cellStyle name="40% - Énfasis3 9" xfId="1117" xr:uid="{5E78F94B-D2F6-4689-810E-0543491E9C9A}"/>
    <cellStyle name="40% - Énfasis4 10" xfId="1118" xr:uid="{A4BDE0AF-F337-466D-AD98-8659021581F6}"/>
    <cellStyle name="40% - Énfasis4 11" xfId="1119" xr:uid="{53AF07DA-BCCB-47E1-989A-B3A267F6E6B6}"/>
    <cellStyle name="40% - Énfasis4 12" xfId="1120" xr:uid="{DFE6E74B-FAB5-4EF8-9518-F39E9BC12073}"/>
    <cellStyle name="40% - Énfasis4 13" xfId="1121" xr:uid="{468E12D2-A899-48D4-92B1-7F222A9BBB0C}"/>
    <cellStyle name="40% - Énfasis4 14" xfId="1122" xr:uid="{241CF8AA-F8D5-4004-A106-59C9BF9181DD}"/>
    <cellStyle name="40% - Énfasis4 15" xfId="1123" xr:uid="{C2F160F5-C564-41FD-A4D5-FF9A1A4240AA}"/>
    <cellStyle name="40% - Énfasis4 16" xfId="1124" xr:uid="{7AA42A95-3425-4E13-81D1-0DEE2931B4D3}"/>
    <cellStyle name="40% - Énfasis4 17" xfId="1125" xr:uid="{11131F90-0020-4656-8E45-47BA5A136F33}"/>
    <cellStyle name="40% - Énfasis4 18" xfId="1126" xr:uid="{AEB1DA1A-7AA9-4207-9242-DE893B781776}"/>
    <cellStyle name="40% - Énfasis4 19" xfId="1127" xr:uid="{47E6A27C-CD4F-4E3E-97E6-EF6EB9784FFB}"/>
    <cellStyle name="40% - Énfasis4 2" xfId="19" xr:uid="{90F22259-C5B4-4822-AA55-A4FB5FA63B7F}"/>
    <cellStyle name="40% - Énfasis4 2 2" xfId="269" xr:uid="{0827ABA5-1711-46F4-A9F2-10D6DD5A5F9E}"/>
    <cellStyle name="40% - Énfasis4 2 3" xfId="1128" xr:uid="{6C918B90-B423-4655-9012-0168553D8747}"/>
    <cellStyle name="40% - Énfasis4 2 4" xfId="1129" xr:uid="{C7F6E772-111F-4463-936A-5B45AFA91532}"/>
    <cellStyle name="40% - Énfasis4 2 5" xfId="1130" xr:uid="{1EFE55F8-2386-48C4-9C9E-E21AC1909E83}"/>
    <cellStyle name="40% - Énfasis4 2 6" xfId="13682" xr:uid="{14254AA3-0E5C-4A25-9879-05F2B1DB2AD7}"/>
    <cellStyle name="40% - Énfasis4 20" xfId="1131" xr:uid="{BD889EE2-21B6-4409-9A46-4138AC84B76B}"/>
    <cellStyle name="40% - Énfasis4 21" xfId="1132" xr:uid="{1CC445FC-0862-4362-AC2D-502F9F931432}"/>
    <cellStyle name="40% - Énfasis4 22" xfId="1133" xr:uid="{E71F6DAB-13BB-476C-B082-1067E2913D01}"/>
    <cellStyle name="40% - Énfasis4 23" xfId="1134" xr:uid="{C457FF3B-2B7D-4E21-A37E-5BDD43966765}"/>
    <cellStyle name="40% - Énfasis4 24" xfId="1135" xr:uid="{C6C3756D-8911-4E4B-A835-E6CAFC9B85FC}"/>
    <cellStyle name="40% - Énfasis4 25" xfId="1136" xr:uid="{D8279FAD-7D02-41A3-ADEB-1EF947094CA2}"/>
    <cellStyle name="40% - Énfasis4 26" xfId="1137" xr:uid="{A531F741-31F2-49B4-9DA0-1CB799899577}"/>
    <cellStyle name="40% - Énfasis4 27" xfId="1138" xr:uid="{2731088D-FFD3-4BF7-A5F0-C4C368AB1E00}"/>
    <cellStyle name="40% - Énfasis4 28" xfId="1139" xr:uid="{C8FFB7DA-3E45-428A-B5E6-58C7A7C4A93E}"/>
    <cellStyle name="40% - Énfasis4 29" xfId="1140" xr:uid="{6D21D916-80F5-4F76-95EE-2160B238A43C}"/>
    <cellStyle name="40% - Énfasis4 3" xfId="270" xr:uid="{B68F7474-D685-41BA-BF08-6AE3180D250B}"/>
    <cellStyle name="40% - Énfasis4 3 2" xfId="271" xr:uid="{CA1BBFBF-F521-46F5-827B-E3FCFA3BFB4B}"/>
    <cellStyle name="40% - Énfasis4 3 3" xfId="13866" xr:uid="{E191AE55-409E-4A9D-B00D-48C532D2C42F}"/>
    <cellStyle name="40% - Énfasis4 30" xfId="1141" xr:uid="{F82FDEB7-DE9C-44C2-9F13-9C0CA1E0E9CE}"/>
    <cellStyle name="40% - Énfasis4 31" xfId="1142" xr:uid="{BBB92F2F-E5B3-4DE4-BF12-886E04FFE965}"/>
    <cellStyle name="40% - Énfasis4 32" xfId="1143" xr:uid="{E053E66F-20AD-4517-8204-BBD911CC9FBF}"/>
    <cellStyle name="40% - Énfasis4 33" xfId="1144" xr:uid="{DC935879-7A5D-44FE-9876-8F3D5CE8D96A}"/>
    <cellStyle name="40% - Énfasis4 34" xfId="1145" xr:uid="{F79B016E-B817-4D98-BF8E-9A38CA65E58D}"/>
    <cellStyle name="40% - Énfasis4 35" xfId="1146" xr:uid="{EE9D3296-28CA-4CC8-8E90-98DA76CF77AD}"/>
    <cellStyle name="40% - Énfasis4 36" xfId="1147" xr:uid="{4A299E26-7343-41C4-9C1C-E92847A77630}"/>
    <cellStyle name="40% - Énfasis4 37" xfId="1148" xr:uid="{0ED94A0B-E70D-4B86-B017-D03D8D89B01B}"/>
    <cellStyle name="40% - Énfasis4 38" xfId="1149" xr:uid="{A2FE85BF-374A-477A-89A1-7F7F598A82AD}"/>
    <cellStyle name="40% - Énfasis4 39" xfId="1150" xr:uid="{F4B8F4A2-AF41-4ABD-94D5-378CF015C2D5}"/>
    <cellStyle name="40% - Énfasis4 4" xfId="272" xr:uid="{B021E21F-48C1-4B06-884E-815876630633}"/>
    <cellStyle name="40% - Énfasis4 4 2" xfId="273" xr:uid="{CED963E9-D7B9-4BB4-9252-FB48460A4A38}"/>
    <cellStyle name="40% - Énfasis4 4 3" xfId="12044" xr:uid="{3E1EF91F-D739-4922-96B5-B1268FCE5310}"/>
    <cellStyle name="40% - Énfasis4 40" xfId="1151" xr:uid="{35DFA34A-39AC-4DE8-8C84-EECAEE395987}"/>
    <cellStyle name="40% - Énfasis4 41" xfId="1152" xr:uid="{F9822CEA-BA25-4708-B3ED-CB7FC9B2E81B}"/>
    <cellStyle name="40% - Énfasis4 42" xfId="1153" xr:uid="{9D946089-F248-4DAE-B647-95E6F0183743}"/>
    <cellStyle name="40% - Énfasis4 43" xfId="1154" xr:uid="{F0A3988D-D1E0-4E97-BC43-C7F7B9E5CBDD}"/>
    <cellStyle name="40% - Énfasis4 44" xfId="1155" xr:uid="{0908AAD1-66D4-4BD6-A14E-40CB571E057E}"/>
    <cellStyle name="40% - Énfasis4 45" xfId="1156" xr:uid="{58E9693C-FD8D-490B-A3BC-309FF9C02B9F}"/>
    <cellStyle name="40% - Énfasis4 46" xfId="1157" xr:uid="{7386CA0F-B1A7-4EB7-B5FF-A91697801152}"/>
    <cellStyle name="40% - Énfasis4 47" xfId="1158" xr:uid="{1E66DA3F-CDFF-4071-B11C-398902A4E936}"/>
    <cellStyle name="40% - Énfasis4 48" xfId="1159" xr:uid="{A0486DAA-6237-4CEE-881C-DDE1B72F3F2A}"/>
    <cellStyle name="40% - Énfasis4 49" xfId="1160" xr:uid="{BF46BCFD-9A06-4563-801B-CB04A22431C0}"/>
    <cellStyle name="40% - Énfasis4 5" xfId="274" xr:uid="{00770752-8A70-4715-9627-81342264EA46}"/>
    <cellStyle name="40% - Énfasis4 5 2" xfId="275" xr:uid="{373EB013-6672-4D89-87E8-A48DE5D63EBA}"/>
    <cellStyle name="40% - Énfasis4 5 3" xfId="12045" xr:uid="{1BC4BC65-3B72-416F-B15D-F51195985997}"/>
    <cellStyle name="40% - Énfasis4 50" xfId="1161" xr:uid="{1E668AF8-8305-4ADB-A9EF-0321FCB9B2AF}"/>
    <cellStyle name="40% - Énfasis4 51" xfId="1162" xr:uid="{8CD9C70F-F3D8-4A54-9EB1-CD042F5A1145}"/>
    <cellStyle name="40% - Énfasis4 52" xfId="1163" xr:uid="{AA1915A1-9203-45EA-8691-A00ED2D2ED48}"/>
    <cellStyle name="40% - Énfasis4 53" xfId="1164" xr:uid="{3E9FCABA-6E65-40D9-8C43-1024401687B6}"/>
    <cellStyle name="40% - Énfasis4 54" xfId="1165" xr:uid="{C43B0703-6BE0-404C-92BD-5B032B814F67}"/>
    <cellStyle name="40% - Énfasis4 55" xfId="1166" xr:uid="{32BD48E8-DF46-47B2-9E6D-67667060DA96}"/>
    <cellStyle name="40% - Énfasis4 56" xfId="1167" xr:uid="{CC0F5C23-930E-468A-BF86-8E739BD00DD0}"/>
    <cellStyle name="40% - Énfasis4 57" xfId="1168" xr:uid="{7E823C07-6D0C-4E8B-905D-2BD2347BCC3D}"/>
    <cellStyle name="40% - Énfasis4 58" xfId="1169" xr:uid="{C942C24F-4AA6-43AD-A04C-E3BBFDD896A5}"/>
    <cellStyle name="40% - Énfasis4 59" xfId="1170" xr:uid="{5802856E-174A-46F4-B911-5AC0D6D6C4E9}"/>
    <cellStyle name="40% - Énfasis4 6" xfId="276" xr:uid="{62512998-485D-458E-93B9-930ADCBB3BBB}"/>
    <cellStyle name="40% - Énfasis4 6 2" xfId="277" xr:uid="{3B1BE167-5B2F-43E8-BC34-1021BD57C6F3}"/>
    <cellStyle name="40% - Énfasis4 6 3" xfId="13513" xr:uid="{3DA7134F-1B40-4553-B08A-AAFFBB149F38}"/>
    <cellStyle name="40% - Énfasis4 60" xfId="1171" xr:uid="{6E44FE5C-B1CA-45D2-986E-7E1976C30714}"/>
    <cellStyle name="40% - Énfasis4 61" xfId="1172" xr:uid="{D8AC1A6D-B6DD-4DF3-B9EF-E282DBD57E06}"/>
    <cellStyle name="40% - Énfasis4 62" xfId="1173" xr:uid="{13C53010-E0A8-494C-8FB3-E3E1543A4DC6}"/>
    <cellStyle name="40% - Énfasis4 63" xfId="1174" xr:uid="{3182B19D-6F9A-4775-8231-C23BF028B7CD}"/>
    <cellStyle name="40% - Énfasis4 64" xfId="1175" xr:uid="{5BDD3A8D-4E53-43E7-99CB-6E69950858C7}"/>
    <cellStyle name="40% - Énfasis4 65" xfId="1176" xr:uid="{52C431B0-44BA-442C-8D52-9D656511C502}"/>
    <cellStyle name="40% - Énfasis4 66" xfId="1177" xr:uid="{7757FC2A-02BE-478C-A727-D1B49BB32FC6}"/>
    <cellStyle name="40% - Énfasis4 67" xfId="1178" xr:uid="{0BD76BB1-E4E6-43FF-83E1-68287F1BCCEA}"/>
    <cellStyle name="40% - Énfasis4 68" xfId="505" xr:uid="{B5EA3CA2-D510-427D-BF30-3DB58CA18CD7}"/>
    <cellStyle name="40% - Énfasis4 7" xfId="278" xr:uid="{CCCABAE7-3B7C-4789-80B5-468EC2EE9CAA}"/>
    <cellStyle name="40% - Énfasis4 7 2" xfId="279" xr:uid="{9327BACA-1050-42FF-BB3E-836506C42C79}"/>
    <cellStyle name="40% - Énfasis4 7 3" xfId="12046" xr:uid="{F5FF89E5-9C87-41A6-A42D-33648D58A5A2}"/>
    <cellStyle name="40% - Énfasis4 8" xfId="280" xr:uid="{32329377-F4BB-4642-82A2-20D39074B676}"/>
    <cellStyle name="40% - Énfasis4 9" xfId="1179" xr:uid="{0E875CC6-8FC5-4B63-9BB1-97CAF563181F}"/>
    <cellStyle name="40% - Énfasis5 10" xfId="1180" xr:uid="{2F7C71CD-B762-4E02-8C28-44F8627E7F01}"/>
    <cellStyle name="40% - Énfasis5 11" xfId="1181" xr:uid="{76AACF56-2426-42DA-AFE0-95E2A6B36C41}"/>
    <cellStyle name="40% - Énfasis5 12" xfId="1182" xr:uid="{74F989EB-0316-4B48-948A-C9058091DB62}"/>
    <cellStyle name="40% - Énfasis5 13" xfId="1183" xr:uid="{13D394B1-358D-435A-B8C3-0053F172300D}"/>
    <cellStyle name="40% - Énfasis5 14" xfId="1184" xr:uid="{74BC645D-0F18-465A-B932-5018F772CE45}"/>
    <cellStyle name="40% - Énfasis5 15" xfId="1185" xr:uid="{276AD637-14E4-4474-9491-0120DE90869B}"/>
    <cellStyle name="40% - Énfasis5 16" xfId="1186" xr:uid="{75EB04ED-C63D-4452-8E6A-1CD5490BFE73}"/>
    <cellStyle name="40% - Énfasis5 17" xfId="1187" xr:uid="{38196103-196C-4C0E-8CF1-F4D8AC349C99}"/>
    <cellStyle name="40% - Énfasis5 18" xfId="1188" xr:uid="{1AC76ACC-BB4C-4583-AD64-BE4CB47E4610}"/>
    <cellStyle name="40% - Énfasis5 19" xfId="1189" xr:uid="{4AEBF966-E0C7-4ED7-8E19-BE6D8767889A}"/>
    <cellStyle name="40% - Énfasis5 2" xfId="20" xr:uid="{6F2170F1-D0B9-4415-81F6-13EE0244B33C}"/>
    <cellStyle name="40% - Énfasis5 2 2" xfId="281" xr:uid="{0C541AEA-B3F0-4E0A-A6A0-38321181E195}"/>
    <cellStyle name="40% - Énfasis5 2 3" xfId="1190" xr:uid="{EFDDEB44-FB7E-49A8-AED0-564776187609}"/>
    <cellStyle name="40% - Énfasis5 2 4" xfId="1191" xr:uid="{BFE6AC82-B2A0-4CE5-913A-13904C6CE1F3}"/>
    <cellStyle name="40% - Énfasis5 2 5" xfId="1192" xr:uid="{04DE068B-6EAA-458E-90C3-E573CE595AA9}"/>
    <cellStyle name="40% - Énfasis5 2 6" xfId="13216" xr:uid="{2655DA25-B7FD-47AD-AFA3-F161F5794CD4}"/>
    <cellStyle name="40% - Énfasis5 20" xfId="1193" xr:uid="{BD60A1FD-793A-44D1-987D-13B4E500CE97}"/>
    <cellStyle name="40% - Énfasis5 21" xfId="1194" xr:uid="{6936D783-FF4A-4940-B42C-B503D3B3B610}"/>
    <cellStyle name="40% - Énfasis5 22" xfId="1195" xr:uid="{083E6431-0CFE-45E4-9B16-2DB22A481E79}"/>
    <cellStyle name="40% - Énfasis5 23" xfId="1196" xr:uid="{1BED117F-B14F-4A7B-A715-21D998690375}"/>
    <cellStyle name="40% - Énfasis5 24" xfId="1197" xr:uid="{90B3BF38-CD76-44B6-A57D-E6139F69B9C8}"/>
    <cellStyle name="40% - Énfasis5 25" xfId="1198" xr:uid="{731A24CF-C32B-40DC-BA24-B864106677C3}"/>
    <cellStyle name="40% - Énfasis5 26" xfId="1199" xr:uid="{BA0F3C93-FD75-410B-8F18-050977352212}"/>
    <cellStyle name="40% - Énfasis5 27" xfId="1200" xr:uid="{A4C10E8E-B978-425D-9575-705448710D96}"/>
    <cellStyle name="40% - Énfasis5 28" xfId="1201" xr:uid="{A100BD3C-1521-4B96-B786-8F2DDB0A1A2F}"/>
    <cellStyle name="40% - Énfasis5 29" xfId="1202" xr:uid="{1B5F757D-EB82-4024-83AF-BD7EB87A655A}"/>
    <cellStyle name="40% - Énfasis5 3" xfId="282" xr:uid="{4FE20AFC-E9A3-47E1-8EF0-C5A0F1B692E0}"/>
    <cellStyle name="40% - Énfasis5 3 2" xfId="283" xr:uid="{7650A15A-F2BA-4B0A-A330-A43F2E2A6782}"/>
    <cellStyle name="40% - Énfasis5 3 3" xfId="13614" xr:uid="{65E6C79E-D2C0-49A4-982C-4B985C8EA267}"/>
    <cellStyle name="40% - Énfasis5 30" xfId="1203" xr:uid="{F74F16C5-6598-4B82-AEC7-D686430A5A42}"/>
    <cellStyle name="40% - Énfasis5 31" xfId="1204" xr:uid="{008CD7AE-52FD-434E-9E3C-5FC8FFF403D1}"/>
    <cellStyle name="40% - Énfasis5 32" xfId="1205" xr:uid="{8CC34339-BCD8-411F-B088-5C9FB1B19C14}"/>
    <cellStyle name="40% - Énfasis5 33" xfId="1206" xr:uid="{943470F2-3C7A-4204-8041-F3C94B3D72DB}"/>
    <cellStyle name="40% - Énfasis5 34" xfId="1207" xr:uid="{E39028E4-50A7-40B7-8231-B074C9A85556}"/>
    <cellStyle name="40% - Énfasis5 35" xfId="1208" xr:uid="{DC3E319D-05EA-4AA9-AEC6-AC8C86000268}"/>
    <cellStyle name="40% - Énfasis5 36" xfId="1209" xr:uid="{8CDE8278-DB48-4B88-A633-A9AE960F4F15}"/>
    <cellStyle name="40% - Énfasis5 37" xfId="1210" xr:uid="{BB7019C9-BD64-4344-B188-DCC514C793DA}"/>
    <cellStyle name="40% - Énfasis5 38" xfId="1211" xr:uid="{B3B0CEAE-99A9-4295-AAB9-E797063E551D}"/>
    <cellStyle name="40% - Énfasis5 39" xfId="1212" xr:uid="{D1B7337D-9431-476A-885B-BF59917E4ECD}"/>
    <cellStyle name="40% - Énfasis5 4" xfId="284" xr:uid="{3D6372E7-F7FA-4E69-A76F-36A18A77399F}"/>
    <cellStyle name="40% - Énfasis5 4 2" xfId="285" xr:uid="{50A8630E-258F-4085-86DA-711A21DEC820}"/>
    <cellStyle name="40% - Énfasis5 4 3" xfId="13867" xr:uid="{68D32B49-3452-4783-BEBA-B4C3977819C3}"/>
    <cellStyle name="40% - Énfasis5 40" xfId="1213" xr:uid="{33F80482-CE7D-4DCD-9BE8-DE140CEF7510}"/>
    <cellStyle name="40% - Énfasis5 41" xfId="1214" xr:uid="{E0E4D6A0-99DF-4DAE-81A2-397B12AF3E21}"/>
    <cellStyle name="40% - Énfasis5 42" xfId="1215" xr:uid="{C694E467-D56F-43BE-A1C4-5D1F26E13EC3}"/>
    <cellStyle name="40% - Énfasis5 43" xfId="1216" xr:uid="{10C24B0D-A292-4E0E-926F-4F4A06E1EDBE}"/>
    <cellStyle name="40% - Énfasis5 44" xfId="1217" xr:uid="{6B7B27CA-6FAC-49E2-A7A9-6E96240712D0}"/>
    <cellStyle name="40% - Énfasis5 45" xfId="1218" xr:uid="{187AA585-34C8-469E-9D64-690E57150E03}"/>
    <cellStyle name="40% - Énfasis5 46" xfId="1219" xr:uid="{A77A84AA-4A79-421B-AC6B-FE121AF2BE76}"/>
    <cellStyle name="40% - Énfasis5 47" xfId="1220" xr:uid="{AB2E9CB3-60F4-4E87-8432-9233ECC71C5B}"/>
    <cellStyle name="40% - Énfasis5 48" xfId="1221" xr:uid="{271CDA9D-6BD9-4959-9799-6637DA719E2F}"/>
    <cellStyle name="40% - Énfasis5 49" xfId="1222" xr:uid="{A6C6811A-3187-4B37-ACB4-387D51C5F5E6}"/>
    <cellStyle name="40% - Énfasis5 5" xfId="286" xr:uid="{F11AD92B-3431-4502-97FF-0678CF577B8E}"/>
    <cellStyle name="40% - Énfasis5 5 2" xfId="287" xr:uid="{51127893-BD1F-4E26-A552-A352E3E5C4B5}"/>
    <cellStyle name="40% - Énfasis5 5 3" xfId="12047" xr:uid="{3B8B1C8F-ACBF-46E5-BE6D-348FE3BF64EC}"/>
    <cellStyle name="40% - Énfasis5 50" xfId="1223" xr:uid="{9512C891-C88F-4894-A017-B18EEE3197AF}"/>
    <cellStyle name="40% - Énfasis5 51" xfId="1224" xr:uid="{9CEA99FD-59FB-4FCF-9F99-BAF63366FD0F}"/>
    <cellStyle name="40% - Énfasis5 52" xfId="1225" xr:uid="{93A22A01-105F-4BA8-8434-CEEE1A186F50}"/>
    <cellStyle name="40% - Énfasis5 53" xfId="1226" xr:uid="{000BB836-AF96-43FF-9DD8-5E89C8DF1241}"/>
    <cellStyle name="40% - Énfasis5 54" xfId="1227" xr:uid="{6889A443-B704-43AA-AC65-606174D51D42}"/>
    <cellStyle name="40% - Énfasis5 55" xfId="1228" xr:uid="{61470703-DB70-40BD-B695-BADBCEB7079E}"/>
    <cellStyle name="40% - Énfasis5 56" xfId="1229" xr:uid="{BBEF87E4-1BF7-4D2C-B2FC-2C4D5EE4D3C7}"/>
    <cellStyle name="40% - Énfasis5 57" xfId="1230" xr:uid="{CB69A8D0-7CC7-4A5B-914F-A3E14183C29B}"/>
    <cellStyle name="40% - Énfasis5 58" xfId="1231" xr:uid="{F3C0D4EC-170E-4787-9B68-656BA2522499}"/>
    <cellStyle name="40% - Énfasis5 59" xfId="1232" xr:uid="{8811A72D-0A8E-41EE-8886-E7DA033F01AC}"/>
    <cellStyle name="40% - Énfasis5 6" xfId="288" xr:uid="{3EB95268-40C8-4F8B-A252-53EDC705B289}"/>
    <cellStyle name="40% - Énfasis5 6 2" xfId="289" xr:uid="{C6B96601-0C69-475E-9F06-ED7DD5E9D6A0}"/>
    <cellStyle name="40% - Énfasis5 6 3" xfId="13388" xr:uid="{B2A9FE99-8805-4851-9469-F8FDA33C872C}"/>
    <cellStyle name="40% - Énfasis5 60" xfId="1233" xr:uid="{662EBB69-9ACE-44F8-BAD9-8B25A1D9F54D}"/>
    <cellStyle name="40% - Énfasis5 61" xfId="1234" xr:uid="{98DBCB28-65DE-4021-9590-B36AACEE7EE4}"/>
    <cellStyle name="40% - Énfasis5 62" xfId="1235" xr:uid="{9FF5ECF2-C9F1-4737-B7D1-62F59F2C008E}"/>
    <cellStyle name="40% - Énfasis5 63" xfId="1236" xr:uid="{9BC19248-A8CE-4719-944E-DD9B1B99D9FC}"/>
    <cellStyle name="40% - Énfasis5 64" xfId="1237" xr:uid="{37931C76-4A88-4764-BC1E-34E64DBD7F56}"/>
    <cellStyle name="40% - Énfasis5 65" xfId="1238" xr:uid="{DDEE5CB2-767F-4EE7-9035-0F124D04B5A7}"/>
    <cellStyle name="40% - Énfasis5 66" xfId="1239" xr:uid="{3745B659-88CD-40A1-B5F9-87D78C33852F}"/>
    <cellStyle name="40% - Énfasis5 67" xfId="1240" xr:uid="{B5E83B79-7771-47A0-A936-4599777A62D2}"/>
    <cellStyle name="40% - Énfasis5 68" xfId="506" xr:uid="{6FE21169-E21B-459B-926E-8311F85B44C5}"/>
    <cellStyle name="40% - Énfasis5 7" xfId="290" xr:uid="{C7744577-8AEB-4AF2-9774-1DEE62E79F96}"/>
    <cellStyle name="40% - Énfasis5 7 2" xfId="291" xr:uid="{4A3EEF61-8849-486D-9E8D-E6FA7DDC810B}"/>
    <cellStyle name="40% - Énfasis5 7 3" xfId="12348" xr:uid="{E6BE7CCC-533F-4103-9695-1D956C46822F}"/>
    <cellStyle name="40% - Énfasis5 8" xfId="292" xr:uid="{7A44AB3B-A171-464A-BE46-D61B6AD656AC}"/>
    <cellStyle name="40% - Énfasis5 9" xfId="1241" xr:uid="{BA494BEE-3100-44CC-B7E0-40FF4BC8D94E}"/>
    <cellStyle name="40% - Énfasis6 10" xfId="1242" xr:uid="{666C85A0-A199-438A-A15E-630A82630D16}"/>
    <cellStyle name="40% - Énfasis6 11" xfId="1243" xr:uid="{DBA4FEB3-0F1B-4DA7-9848-EE7BE83BA149}"/>
    <cellStyle name="40% - Énfasis6 12" xfId="1244" xr:uid="{EECF195E-ECBB-4EB3-9D9C-C0E7194A170E}"/>
    <cellStyle name="40% - Énfasis6 13" xfId="1245" xr:uid="{F99685D9-40E0-4A5F-9892-2178BD39BB88}"/>
    <cellStyle name="40% - Énfasis6 14" xfId="1246" xr:uid="{1CA4D26F-DAAC-495D-AFAE-974AC1E87A77}"/>
    <cellStyle name="40% - Énfasis6 15" xfId="1247" xr:uid="{ABCCFC26-CC4E-42EE-A044-D6B7FC8FF6E9}"/>
    <cellStyle name="40% - Énfasis6 16" xfId="1248" xr:uid="{82D9199F-34AC-4A27-8AE4-EB65E7B65EE1}"/>
    <cellStyle name="40% - Énfasis6 17" xfId="1249" xr:uid="{ED07CF92-4F7B-4911-993C-C48DE2E849ED}"/>
    <cellStyle name="40% - Énfasis6 18" xfId="1250" xr:uid="{73366206-457D-4C8E-8538-CCC50399B6E5}"/>
    <cellStyle name="40% - Énfasis6 19" xfId="1251" xr:uid="{1024C8BA-20C9-4CED-8703-AA6C2074D51D}"/>
    <cellStyle name="40% - Énfasis6 2" xfId="21" xr:uid="{03C32C01-EE01-4608-953F-721A51C880E0}"/>
    <cellStyle name="40% - Énfasis6 2 2" xfId="293" xr:uid="{340DE96E-541E-4D21-9C7A-C1E510E620E1}"/>
    <cellStyle name="40% - Énfasis6 2 3" xfId="1252" xr:uid="{897D2B3B-4EC0-4F43-9BEF-551F1C1FF1DD}"/>
    <cellStyle name="40% - Énfasis6 2 4" xfId="1253" xr:uid="{346B4DD1-220B-4865-82EB-9F00566D7465}"/>
    <cellStyle name="40% - Énfasis6 2 5" xfId="1254" xr:uid="{C1C0F136-855B-4EEC-B9F3-B2F46645E3F2}"/>
    <cellStyle name="40% - Énfasis6 2 6" xfId="12408" xr:uid="{1E0BF467-4DBC-4E1D-AF17-52630290B0BB}"/>
    <cellStyle name="40% - Énfasis6 20" xfId="1255" xr:uid="{31F2B9FE-FEEF-4230-9058-4F55A9FDF7C7}"/>
    <cellStyle name="40% - Énfasis6 21" xfId="1256" xr:uid="{70BDAD79-0B88-4CB7-AF7C-8C708441028A}"/>
    <cellStyle name="40% - Énfasis6 22" xfId="1257" xr:uid="{A1F861D7-D8B6-4F8B-A4EA-653C837F98F2}"/>
    <cellStyle name="40% - Énfasis6 23" xfId="1258" xr:uid="{FBF8C4D4-8E76-4493-80E0-739E2A56F8D7}"/>
    <cellStyle name="40% - Énfasis6 24" xfId="1259" xr:uid="{43B582E9-D286-4CBF-A0F9-C14FAADD344D}"/>
    <cellStyle name="40% - Énfasis6 25" xfId="1260" xr:uid="{2C101106-CA5E-4CF9-92C9-7C48AC72AEA0}"/>
    <cellStyle name="40% - Énfasis6 26" xfId="1261" xr:uid="{DD60EECB-4961-4AEE-B234-DEACE71340EC}"/>
    <cellStyle name="40% - Énfasis6 27" xfId="1262" xr:uid="{B4F4D88A-381D-457A-9678-0D01175BA3A0}"/>
    <cellStyle name="40% - Énfasis6 28" xfId="1263" xr:uid="{0CD92230-620B-4150-85DD-36EFB73D7C58}"/>
    <cellStyle name="40% - Énfasis6 29" xfId="1264" xr:uid="{C1EA4718-37E9-4338-A561-7BAA12541351}"/>
    <cellStyle name="40% - Énfasis6 3" xfId="294" xr:uid="{9B96EC33-D5BF-4987-BBB7-4686A23CABCA}"/>
    <cellStyle name="40% - Énfasis6 3 2" xfId="295" xr:uid="{33FA1AE8-2A57-4713-B178-1E20C1FF4524}"/>
    <cellStyle name="40% - Énfasis6 3 3" xfId="12048" xr:uid="{2EE68289-4AB8-4962-92EA-2B6D6570C496}"/>
    <cellStyle name="40% - Énfasis6 30" xfId="1265" xr:uid="{F06A337E-6816-4B1B-8D2A-5ABE030ACE75}"/>
    <cellStyle name="40% - Énfasis6 31" xfId="1266" xr:uid="{1742010C-C6CB-4C4F-B37E-943C1AE7E33C}"/>
    <cellStyle name="40% - Énfasis6 32" xfId="1267" xr:uid="{63C4B556-1D26-4793-8061-00550F46EB78}"/>
    <cellStyle name="40% - Énfasis6 33" xfId="1268" xr:uid="{4C43B254-BB40-4498-8864-89DFA598A49A}"/>
    <cellStyle name="40% - Énfasis6 34" xfId="1269" xr:uid="{200C989E-E33C-4065-B91A-E2C1B639403A}"/>
    <cellStyle name="40% - Énfasis6 35" xfId="1270" xr:uid="{25724F3F-6E02-4B9F-A0D7-26A63E06D514}"/>
    <cellStyle name="40% - Énfasis6 36" xfId="1271" xr:uid="{53764C4D-E9EF-4EC6-845C-74AEBC9A956F}"/>
    <cellStyle name="40% - Énfasis6 37" xfId="1272" xr:uid="{A793A394-4117-44A1-8DF5-6380D6E633C9}"/>
    <cellStyle name="40% - Énfasis6 38" xfId="1273" xr:uid="{5BDF1230-F34C-4A23-A947-B99BD4058489}"/>
    <cellStyle name="40% - Énfasis6 39" xfId="1274" xr:uid="{D830E6FE-C791-4E7F-87B2-66C472D24547}"/>
    <cellStyle name="40% - Énfasis6 4" xfId="296" xr:uid="{A57B543A-FE50-4406-88FE-AF38076D2A7C}"/>
    <cellStyle name="40% - Énfasis6 4 2" xfId="297" xr:uid="{7F6CE7D2-2BA7-46E7-9F76-FE6FF32E6A11}"/>
    <cellStyle name="40% - Énfasis6 4 3" xfId="13040" xr:uid="{64B716CC-B134-4446-A654-58111B95BEE2}"/>
    <cellStyle name="40% - Énfasis6 40" xfId="1275" xr:uid="{4F27B62B-F83B-4BAC-B2A7-105C4F4B6EEF}"/>
    <cellStyle name="40% - Énfasis6 41" xfId="1276" xr:uid="{16040039-02A4-4417-8D64-B7124BD5A334}"/>
    <cellStyle name="40% - Énfasis6 42" xfId="1277" xr:uid="{E61B32C8-6E7C-4F67-8178-B324F872FFAD}"/>
    <cellStyle name="40% - Énfasis6 43" xfId="1278" xr:uid="{16B44923-9C32-46EE-9868-D6EC8239B433}"/>
    <cellStyle name="40% - Énfasis6 44" xfId="1279" xr:uid="{E81046D5-6ABF-465A-9EE3-5E3EE28FEEDE}"/>
    <cellStyle name="40% - Énfasis6 45" xfId="1280" xr:uid="{85700619-8C15-4906-A3F8-2176D9AE8A12}"/>
    <cellStyle name="40% - Énfasis6 46" xfId="1281" xr:uid="{02D7F2B2-C052-4ACE-8441-EDE70A2E78FF}"/>
    <cellStyle name="40% - Énfasis6 47" xfId="1282" xr:uid="{323FB59B-D9A4-4CDC-BCF0-79B9AACEB80A}"/>
    <cellStyle name="40% - Énfasis6 48" xfId="1283" xr:uid="{980D0256-8EDA-4BFF-AB94-A5FC7CC06FAE}"/>
    <cellStyle name="40% - Énfasis6 49" xfId="1284" xr:uid="{CDE24ED8-C9A9-41DF-8656-05C9B64DCD06}"/>
    <cellStyle name="40% - Énfasis6 5" xfId="298" xr:uid="{A35B9DB0-28BB-4B68-84E9-F9AE83A7B844}"/>
    <cellStyle name="40% - Énfasis6 5 2" xfId="299" xr:uid="{4F13B032-509A-45B9-BBE1-D3259EF6B00B}"/>
    <cellStyle name="40% - Énfasis6 5 3" xfId="13555" xr:uid="{78646F8A-470F-49A5-BA39-51579F199ADD}"/>
    <cellStyle name="40% - Énfasis6 50" xfId="1285" xr:uid="{EDF30265-8B13-4F52-BDC1-FACD85BC2A1E}"/>
    <cellStyle name="40% - Énfasis6 51" xfId="1286" xr:uid="{612A81F4-250A-491D-8AF4-63937BF786FC}"/>
    <cellStyle name="40% - Énfasis6 52" xfId="1287" xr:uid="{69FBC19C-2F76-4E6F-AF93-58BD92CE0548}"/>
    <cellStyle name="40% - Énfasis6 53" xfId="1288" xr:uid="{4E2E25E6-6E12-4E3D-BDC3-832FB25DFD10}"/>
    <cellStyle name="40% - Énfasis6 54" xfId="1289" xr:uid="{83D4634E-6328-406B-8CDE-1FE69C5CA821}"/>
    <cellStyle name="40% - Énfasis6 55" xfId="1290" xr:uid="{57C459F5-40D6-43E4-A6F1-610A660E7D41}"/>
    <cellStyle name="40% - Énfasis6 56" xfId="1291" xr:uid="{4FF81FF2-6B01-4334-ABB3-6DDDAA98C93C}"/>
    <cellStyle name="40% - Énfasis6 57" xfId="1292" xr:uid="{969AAABD-B5E5-4B20-A702-5AA35F908E50}"/>
    <cellStyle name="40% - Énfasis6 58" xfId="1293" xr:uid="{CC6E5D21-E3E2-44B1-BE49-8ECDCC33B2C6}"/>
    <cellStyle name="40% - Énfasis6 59" xfId="1294" xr:uid="{53AE9059-0F42-4372-8F94-D09864BE4BB7}"/>
    <cellStyle name="40% - Énfasis6 6" xfId="300" xr:uid="{D4B47268-8256-4913-89C4-4D91BDF4601A}"/>
    <cellStyle name="40% - Énfasis6 6 2" xfId="301" xr:uid="{91CE54EB-0FA5-451E-BD7E-97584A2473F8}"/>
    <cellStyle name="40% - Énfasis6 6 3" xfId="11254" xr:uid="{0B78AC01-6F77-4DC6-982F-D35F56C62C83}"/>
    <cellStyle name="40% - Énfasis6 60" xfId="1295" xr:uid="{CC132225-00BF-4000-8971-0422C43E68D4}"/>
    <cellStyle name="40% - Énfasis6 61" xfId="1296" xr:uid="{5A6F38AD-24D1-4CA6-BEA0-CC407D49EAA1}"/>
    <cellStyle name="40% - Énfasis6 62" xfId="1297" xr:uid="{D2CFDB06-D86F-405C-AF7F-9FFF46C02550}"/>
    <cellStyle name="40% - Énfasis6 63" xfId="1298" xr:uid="{47270C00-BF6A-4506-A21D-79A1B83D30B7}"/>
    <cellStyle name="40% - Énfasis6 64" xfId="1299" xr:uid="{65726BC3-B172-4128-B61D-F71A8D2E398E}"/>
    <cellStyle name="40% - Énfasis6 65" xfId="1300" xr:uid="{8AE02A82-587D-4607-B77D-A1075B0A3295}"/>
    <cellStyle name="40% - Énfasis6 66" xfId="1301" xr:uid="{7D185294-2255-4F62-B2C4-E3F09B5569E0}"/>
    <cellStyle name="40% - Énfasis6 67" xfId="1302" xr:uid="{8B6E1C73-0F4D-43FE-960E-DD4BCBA41F93}"/>
    <cellStyle name="40% - Énfasis6 68" xfId="507" xr:uid="{A977A975-E603-44F7-B6A4-0DE5D869CBCF}"/>
    <cellStyle name="40% - Énfasis6 7" xfId="302" xr:uid="{EB7B830B-B285-4975-A69A-0206CDD49363}"/>
    <cellStyle name="40% - Énfasis6 7 2" xfId="303" xr:uid="{32E4AC38-085E-4977-A84C-1BFF3A2900A0}"/>
    <cellStyle name="40% - Énfasis6 7 3" xfId="12049" xr:uid="{A3E0026F-8C85-459B-801C-AEB8AFFAB7C6}"/>
    <cellStyle name="40% - Énfasis6 8" xfId="304" xr:uid="{71D0F624-A295-4A48-9135-C0B766F95BC6}"/>
    <cellStyle name="40% - Énfasis6 9" xfId="1303" xr:uid="{5E86F075-B8CC-40E8-8CBB-52BE138C2CFD}"/>
    <cellStyle name="60% - Accent1" xfId="12349" xr:uid="{1BCBB1E3-CD86-409D-BA96-78A69AC1FE61}"/>
    <cellStyle name="60% - Accent1 10" xfId="13282" xr:uid="{01BE8F30-31A5-4D60-BD31-6BF553EC8550}"/>
    <cellStyle name="60% - Accent1 11" xfId="11473" xr:uid="{E71343F6-0434-4F03-A694-39F008D72CFE}"/>
    <cellStyle name="60% - Accent1 12" xfId="13452" xr:uid="{F7A30D01-2D51-4D01-9E4B-A47720C0D5BA}"/>
    <cellStyle name="60% - Accent1 13" xfId="12050" xr:uid="{A81AFD3C-09FE-4479-87F3-F3ECD6E1A61D}"/>
    <cellStyle name="60% - Accent1 14" xfId="12051" xr:uid="{E6356F10-BEFF-4FDD-BADD-82ADAE4D9B6A}"/>
    <cellStyle name="60% - Accent1 15" xfId="13107" xr:uid="{BCBBCA4A-9D0E-4F9D-B36B-F11D9C1A9327}"/>
    <cellStyle name="60% - Accent1 16" xfId="13683" xr:uid="{14F92F6C-41DA-4612-8307-F2A301B83542}"/>
    <cellStyle name="60% - Accent1 17" xfId="13868" xr:uid="{D85B43DB-A156-4432-8FA1-A8C0680D1EB3}"/>
    <cellStyle name="60% - Accent1 18" xfId="12696" xr:uid="{99691848-BF1E-431A-AF16-F1F1A93B0E4D}"/>
    <cellStyle name="60% - Accent1 19" xfId="12052" xr:uid="{A84799BF-5266-4536-BB8B-57BFD2F5B703}"/>
    <cellStyle name="60% - Accent1 2" xfId="13170" xr:uid="{626D97F5-4103-41D3-BDD4-7F478BBC29D5}"/>
    <cellStyle name="60% - Accent1 20" xfId="13283" xr:uid="{42571825-94A4-495F-A11D-E9DBFEAFDFA1}"/>
    <cellStyle name="60% - Accent1 21" xfId="12053" xr:uid="{6EBCD3C9-5128-47EE-9D21-C3E24FD4C9AA}"/>
    <cellStyle name="60% - Accent1 22" xfId="13453" xr:uid="{961C71A1-0412-4621-A3B7-5204708A62DB}"/>
    <cellStyle name="60% - Accent1 23" xfId="12054" xr:uid="{8112E6D9-7C67-4954-A2DB-72CCCDE055F3}"/>
    <cellStyle name="60% - Accent1 3" xfId="12055" xr:uid="{09021308-9FD2-4764-8E81-0CDBB55E09A0}"/>
    <cellStyle name="60% - Accent1 4" xfId="13108" xr:uid="{05EEC4C7-74EE-417F-9081-662FBECC0644}"/>
    <cellStyle name="60% - Accent1 5" xfId="13743" xr:uid="{9F5EC304-E71A-4FF5-90CD-1ABA0379FE80}"/>
    <cellStyle name="60% - Accent1 6" xfId="13684" xr:uid="{26406E1F-57E4-415D-AA65-6DB2C4FF28CF}"/>
    <cellStyle name="60% - Accent1 7" xfId="13869" xr:uid="{5DAFE8B8-6317-41AA-A938-DDD930D74840}"/>
    <cellStyle name="60% - Accent1 8" xfId="11474" xr:uid="{2B5834BE-9B29-44D5-BE69-9C7BCAC5FC94}"/>
    <cellStyle name="60% - Accent1 9" xfId="12409" xr:uid="{2315F361-F559-4A65-8BBB-0018A4349D29}"/>
    <cellStyle name="60% - Accent2" xfId="12056" xr:uid="{B998B9B1-D00E-415E-B022-958479548EE9}"/>
    <cellStyle name="60% - Accent2 10" xfId="13215" xr:uid="{53E51E2D-F66F-4FDD-B616-CD6151FB19B3}"/>
    <cellStyle name="60% - Accent2 11" xfId="13962" xr:uid="{4FC3619F-7953-4516-BB94-A37F2EC3D629}"/>
    <cellStyle name="60% - Accent2 12" xfId="13613" xr:uid="{236E5D66-4206-4BF2-BE01-04C1AE66A5D5}"/>
    <cellStyle name="60% - Accent2 13" xfId="13870" xr:uid="{D914A66B-277C-42A8-86FC-476901439FBC}"/>
    <cellStyle name="60% - Accent2 14" xfId="12057" xr:uid="{4B63AC80-AC0E-41D9-A53C-A7CE0194A6D8}"/>
    <cellStyle name="60% - Accent2 15" xfId="13387" xr:uid="{67ECD7E1-1DA8-40F1-BD5B-471A5A63AF07}"/>
    <cellStyle name="60% - Accent2 16" xfId="12058" xr:uid="{60F14BC3-AF67-4462-AF50-8EF16C9192E2}"/>
    <cellStyle name="60% - Accent2 17" xfId="12059" xr:uid="{045E3981-9A14-466C-9F94-666C62FD04BD}"/>
    <cellStyle name="60% - Accent2 18" xfId="12350" xr:uid="{52214DC5-D47C-4B0E-901A-6E1170DF54ED}"/>
    <cellStyle name="60% - Accent2 19" xfId="13039" xr:uid="{FA1E7CB1-9E1D-4B1F-8FA8-64F5AA8D9D4C}"/>
    <cellStyle name="60% - Accent2 2" xfId="11178" xr:uid="{A10D710D-C0C2-4F07-97D3-415419B4F633}"/>
    <cellStyle name="60% - Accent2 20" xfId="11224" xr:uid="{3C27C9E2-F5FC-4B20-A200-45D6A4A78A8B}"/>
    <cellStyle name="60% - Accent2 21" xfId="13556" xr:uid="{657F114D-66F2-4B2D-96DC-280426F96B3B}"/>
    <cellStyle name="60% - Accent2 22" xfId="13790" xr:uid="{EC84B24C-3A57-4BCB-BF2F-BC5E27CE1132}"/>
    <cellStyle name="60% - Accent2 23" xfId="11179" xr:uid="{A6616ED7-E00D-4D29-9FD1-C3582558817C}"/>
    <cellStyle name="60% - Accent2 3" xfId="13791" xr:uid="{AFFB3648-51B1-4601-9471-75072758767E}"/>
    <cellStyle name="60% - Accent2 4" xfId="11845" xr:uid="{F27A2293-EC68-401E-95DC-5229473BE959}"/>
    <cellStyle name="60% - Accent2 5" xfId="12060" xr:uid="{86DB0277-5071-499B-AE17-C856D7AA8ED3}"/>
    <cellStyle name="60% - Accent2 6" xfId="12351" xr:uid="{4E105773-9082-4482-AD87-4B011D2E6160}"/>
    <cellStyle name="60% - Accent2 7" xfId="13284" xr:uid="{5F1A3B3D-8DBA-41F0-9517-6E6E212166CC}"/>
    <cellStyle name="60% - Accent2 8" xfId="12061" xr:uid="{E6587E11-C6A0-4AFD-AF53-5A869EA3D463}"/>
    <cellStyle name="60% - Accent2 9" xfId="13454" xr:uid="{D3E58F89-40E3-4A70-8D79-D45DF2F9F527}"/>
    <cellStyle name="60% - Accent3" xfId="11475" xr:uid="{964B421D-C1CD-48BF-968A-4BD531D9105C}"/>
    <cellStyle name="60% - Accent3 10" xfId="12062" xr:uid="{F1798E04-BB1B-4BDD-96C7-CB3216D36EA0}"/>
    <cellStyle name="60% - Accent3 11" xfId="13109" xr:uid="{44775E13-2356-4E23-AE44-495E8FA8554A}"/>
    <cellStyle name="60% - Accent3 12" xfId="11521" xr:uid="{37775EB2-9BA7-44FB-8031-AC0BE3AA024A}"/>
    <cellStyle name="60% - Accent3 13" xfId="13685" xr:uid="{E6069405-2C17-4741-8477-373860503872}"/>
    <cellStyle name="60% - Accent3 14" xfId="13871" xr:uid="{F79ABF33-A8C6-43DE-8F33-1212A2DCE3C2}"/>
    <cellStyle name="60% - Accent3 15" xfId="11846" xr:uid="{52F9CC08-32AC-4571-A9B3-147C9EC97C87}"/>
    <cellStyle name="60% - Accent3 16" xfId="12063" xr:uid="{CDFC2D18-84B1-4416-B381-2FC297182A47}"/>
    <cellStyle name="60% - Accent3 17" xfId="13285" xr:uid="{BAC9C30F-CDC4-40F9-AAA7-3900D38B12A3}"/>
    <cellStyle name="60% - Accent3 18" xfId="12064" xr:uid="{E2216A53-53BF-4543-B696-49F19B588391}"/>
    <cellStyle name="60% - Accent3 19" xfId="13247" xr:uid="{F19B5FAE-7246-487B-AC2E-FDA5957B70D7}"/>
    <cellStyle name="60% - Accent3 2" xfId="13455" xr:uid="{859E5129-396B-4B49-9EC6-8E3EBF152FAC}"/>
    <cellStyle name="60% - Accent3 20" xfId="11676" xr:uid="{8DBB241F-04E7-4A2A-9FDF-A39028722ECC}"/>
    <cellStyle name="60% - Accent3 21" xfId="12065" xr:uid="{C4FD1FC4-7F4D-41EF-95DA-72C662B61220}"/>
    <cellStyle name="60% - Accent3 22" xfId="13110" xr:uid="{DF3CBD13-A33F-4E26-8005-627597DF3AD2}"/>
    <cellStyle name="60% - Accent3 23" xfId="13686" xr:uid="{28C18ABD-8371-4F71-AD44-5FB99F1ACC27}"/>
    <cellStyle name="60% - Accent3 3" xfId="13872" xr:uid="{0323D2AB-9401-4A0F-BAA6-0B77753A41A6}"/>
    <cellStyle name="60% - Accent3 4" xfId="13645" xr:uid="{EDFFAFA2-3EF5-4128-BFAD-DEACD9AB5016}"/>
    <cellStyle name="60% - Accent3 5" xfId="12066" xr:uid="{B61DA948-2354-4917-ADA9-7DAE1D961377}"/>
    <cellStyle name="60% - Accent3 6" xfId="12067" xr:uid="{94C86E3B-20B4-4E82-AD9D-7DC955A5F7BE}"/>
    <cellStyle name="60% - Accent3 7" xfId="11006" xr:uid="{56AB8107-65B2-4767-A265-41441928E0B7}"/>
    <cellStyle name="60% - Accent3 8" xfId="13218" xr:uid="{C0AAB29D-1EF4-4C7D-A547-BD34B518F36D}"/>
    <cellStyle name="60% - Accent3 9" xfId="13616" xr:uid="{8D42EC5D-15F4-4657-966F-EE14261AB42F}"/>
    <cellStyle name="60% - Accent4" xfId="13873" xr:uid="{99854186-3908-40F2-9E2E-25862435DCD2}"/>
    <cellStyle name="60% - Accent4 10" xfId="13963" xr:uid="{68C6D62F-5DD6-4CAF-AE7E-37A6158824EF}"/>
    <cellStyle name="60% - Accent4 11" xfId="11007" xr:uid="{C991625A-724E-4601-B285-C6D6F5F500E9}"/>
    <cellStyle name="60% - Accent4 12" xfId="13390" xr:uid="{1C160241-C6A2-4288-AB89-D673B6282AE0}"/>
    <cellStyle name="60% - Accent4 13" xfId="12068" xr:uid="{122B3690-8028-4C10-8954-B2CF0DE2EC50}"/>
    <cellStyle name="60% - Accent4 14" xfId="11476" xr:uid="{56E8766E-1048-4D6B-8335-4841B93A1B40}"/>
    <cellStyle name="60% - Accent4 15" xfId="13042" xr:uid="{68F8E717-D043-4CA4-B231-24ED32ED6E2B}"/>
    <cellStyle name="60% - Accent4 16" xfId="13557" xr:uid="{FF1C88E4-879E-42EE-887A-190E7623F794}"/>
    <cellStyle name="60% - Accent4 17" xfId="12352" xr:uid="{BFB1A6D6-86C7-40AC-BFF3-16CDF28D4C2A}"/>
    <cellStyle name="60% - Accent4 18" xfId="12695" xr:uid="{F78FB190-95E4-4AFC-A73E-DB3919BB1C07}"/>
    <cellStyle name="60% - Accent4 19" xfId="12069" xr:uid="{27C5A58B-5E6B-4674-84C0-DD8D9AFEF1FF}"/>
    <cellStyle name="60% - Accent4 2" xfId="13286" xr:uid="{F7011477-6249-46C5-A2CE-A29BA1C49EBA}"/>
    <cellStyle name="60% - Accent4 20" xfId="12070" xr:uid="{203664BE-7CBB-42E0-B75D-2035382C0160}"/>
    <cellStyle name="60% - Accent4 21" xfId="13456" xr:uid="{04127007-7627-412F-8D0E-A5B5848BD8E5}"/>
    <cellStyle name="60% - Accent4 22" xfId="12071" xr:uid="{79FDA6D7-1E6D-4A1A-ADCE-08DD26CE2F34}"/>
    <cellStyle name="60% - Accent4 23" xfId="13418" xr:uid="{F92C10E4-5828-46CA-80AD-14DFFB008140}"/>
    <cellStyle name="60% - Accent4 3" xfId="12410" xr:uid="{B21C98F3-A58B-4EBE-958E-5DDB237C6280}"/>
    <cellStyle name="60% - Accent4 4" xfId="13111" xr:uid="{FFCDE321-9CBE-4C40-B593-271BB518FA93}"/>
    <cellStyle name="60% - Accent4 5" xfId="13687" xr:uid="{B98586B0-4A53-4C45-B909-3E72DF2A6816}"/>
    <cellStyle name="60% - Accent4 6" xfId="13874" xr:uid="{D1ABB444-129B-485D-B2B0-2FC2FACA8F1F}"/>
    <cellStyle name="60% - Accent4 7" xfId="11847" xr:uid="{707E5B79-8DEA-4451-8AA6-E836CD868D28}"/>
    <cellStyle name="60% - Accent4 8" xfId="12072" xr:uid="{4EB5B3DB-DB8A-41C7-A016-5AB690C97FCF}"/>
    <cellStyle name="60% - Accent4 9" xfId="12353" xr:uid="{4CEA810C-30CA-47D3-B687-750E5AC08FDC}"/>
    <cellStyle name="60% - Accent5" xfId="13287" xr:uid="{B78155B5-6E67-4601-8450-FFA1F0396249}"/>
    <cellStyle name="60% - Accent5 10" xfId="11477" xr:uid="{17537CCD-9457-48CA-9B3D-FA06A46FC507}"/>
    <cellStyle name="60% - Accent5 11" xfId="13457" xr:uid="{E02F6612-33C3-4EDB-B0E2-658877C0EB1D}"/>
    <cellStyle name="60% - Accent5 12" xfId="12073" xr:uid="{4219BB21-5AA4-4528-8620-CED9CD035FBC}"/>
    <cellStyle name="60% - Accent5 13" xfId="12074" xr:uid="{63C3EBFF-7D7D-47EA-B244-0368DCCAF5D4}"/>
    <cellStyle name="60% - Accent5 14" xfId="13112" xr:uid="{B6546D5C-90D3-4140-9F28-03947C1993E4}"/>
    <cellStyle name="60% - Accent5 15" xfId="12437" xr:uid="{B308F840-D828-4C5B-859B-3FA2AA1F5B06}"/>
    <cellStyle name="60% - Accent5 16" xfId="13688" xr:uid="{1E61375F-43BD-405E-A369-AA554918BFCD}"/>
    <cellStyle name="60% - Accent5 17" xfId="13875" xr:uid="{2983E7CD-6644-4FA8-A2CB-CB44FDC449A6}"/>
    <cellStyle name="60% - Accent5 18" xfId="12075" xr:uid="{5612CCA5-BEF2-4BE1-AEE9-D9CD2893507B}"/>
    <cellStyle name="60% - Accent5 19" xfId="12076" xr:uid="{3A9A883D-1D93-4FBA-A365-55398CA6DAAE}"/>
    <cellStyle name="60% - Accent5 2" xfId="12077" xr:uid="{7FF1F717-A07F-4ED9-9ED9-E13CAFD7EAFB}"/>
    <cellStyle name="60% - Accent5 20" xfId="13217" xr:uid="{46A735C5-5425-4281-AE47-2A5CC722D93E}"/>
    <cellStyle name="60% - Accent5 21" xfId="13070" xr:uid="{061E10B6-3199-4E1C-B5D5-C50CB34B43BA}"/>
    <cellStyle name="60% - Accent5 22" xfId="12954" xr:uid="{DF97C5D1-7301-4DBE-9267-7B9A6E1BBD54}"/>
    <cellStyle name="60% - Accent5 23" xfId="12955" xr:uid="{5567C0D3-33FC-49E3-BB13-710FEA7D2BA3}"/>
    <cellStyle name="60% - Accent5 3" xfId="11213" xr:uid="{C145B5DE-7544-4155-83A3-91CC3EDEAB45}"/>
    <cellStyle name="60% - Accent5 4" xfId="12832" xr:uid="{EF8C3182-AB7A-44B4-BDFB-77E751F61966}"/>
    <cellStyle name="60% - Accent5 5" xfId="11197" xr:uid="{F2FA6E89-F195-4EAD-87ED-48B9A28A7F8F}"/>
    <cellStyle name="60% - Accent5 6" xfId="13587" xr:uid="{4A6957D2-E866-4AC0-AA68-0729184E6663}"/>
    <cellStyle name="60% - Accent5 7" xfId="13820" xr:uid="{543274AB-D23F-4954-9BEC-B090206CABF3}"/>
    <cellStyle name="60% - Accent5 8" xfId="11198" xr:uid="{641CFF9B-8126-442F-8149-D429CB03C72A}"/>
    <cellStyle name="60% - Accent5 9" xfId="13821" xr:uid="{B6244BF6-B2DF-4A2E-BC0D-FC13C4E2884B}"/>
    <cellStyle name="60% - Accent6" xfId="11260" xr:uid="{E430B470-15A6-4E9C-8D9B-B32158AE5422}"/>
    <cellStyle name="60% - Accent6 10" xfId="12438" xr:uid="{53472911-5270-4D56-9EB6-5FC7C0D098C7}"/>
    <cellStyle name="60% - Accent6 11" xfId="13341" xr:uid="{5007823A-5EA5-4D6A-A4CE-4F7BEA499121}"/>
    <cellStyle name="60% - Accent6 12" xfId="12354" xr:uid="{4131866C-9D6C-4479-AA54-9835C3FC6E55}"/>
    <cellStyle name="60% - Accent6 13" xfId="13514" xr:uid="{C66BB1FC-2A93-48B2-B854-71FF10B7D980}"/>
    <cellStyle name="60% - Accent6 14" xfId="12021" xr:uid="{4A921D17-FFEB-4E73-958C-DBEDB3CEB4C8}"/>
    <cellStyle name="60% - Accent6 15" xfId="12355" xr:uid="{ADD06EE2-A8E9-4336-9C13-9778EC5F4750}"/>
    <cellStyle name="60% - Accent6 16" xfId="12356" xr:uid="{752D5F63-9D5C-4F13-8C42-BFBE6C61883F}"/>
    <cellStyle name="60% - Accent6 17" xfId="13171" xr:uid="{A02B8B27-7439-4D24-B10F-26DA6243BF94}"/>
    <cellStyle name="60% - Accent6 18" xfId="13744" xr:uid="{E2AE6C5F-1987-473D-BB35-6926C5B43F68}"/>
    <cellStyle name="60% - Accent6 19" xfId="13964" xr:uid="{840ED463-F080-4ABF-8550-E4993BC2413F}"/>
    <cellStyle name="60% - Accent6 2" xfId="11261" xr:uid="{9654B470-CE1D-4957-A81C-D77ED3B1796A}"/>
    <cellStyle name="60% - Accent6 20" xfId="12357" xr:uid="{B24AD7DC-7C95-453E-BCB5-3927F010A68B}"/>
    <cellStyle name="60% - Accent6 21" xfId="13342" xr:uid="{B386CA13-6352-4FD8-8265-538F5A56E2BA}"/>
    <cellStyle name="60% - Accent6 22" xfId="11040" xr:uid="{27F604BB-C50A-47A9-A546-5FA2A4CF08D3}"/>
    <cellStyle name="60% - Accent6 23" xfId="13515" xr:uid="{B9EBC695-A6A8-46A1-B39B-FB519EF22D25}"/>
    <cellStyle name="60% - Accent6 3" xfId="12956" xr:uid="{4922F9BB-3F46-43D4-829A-CF3AE7F83E62}"/>
    <cellStyle name="60% - Accent6 4" xfId="12358" xr:uid="{CDC7C8C4-64F4-4263-A891-E34F5D2930EC}"/>
    <cellStyle name="60% - Accent6 5" xfId="11013" xr:uid="{9F7CEDF9-696E-4073-B0EE-BD2079C066F7}"/>
    <cellStyle name="60% - Accent6 6" xfId="13172" xr:uid="{EABC69DE-093C-4CE9-812B-8410C3FB8259}"/>
    <cellStyle name="60% - Accent6 7" xfId="13745" xr:uid="{13D29C7B-8694-4B2E-A49A-69DD18DF0BC5}"/>
    <cellStyle name="60% - Accent6 8" xfId="13965" xr:uid="{7376A93B-1026-4F36-8760-1B6B4E6D20F8}"/>
    <cellStyle name="60% - Accent6 9" xfId="12359" xr:uid="{52CB80D2-2C63-4B2F-B2D9-6F1F4C4C9ECC}"/>
    <cellStyle name="60% - Énfasis1 10" xfId="1304" xr:uid="{80E1596D-2790-41DE-9B0E-FEB573BF0607}"/>
    <cellStyle name="60% - Énfasis1 11" xfId="1305" xr:uid="{6C88F010-6EC0-44F8-919D-71E411C6849C}"/>
    <cellStyle name="60% - Énfasis1 12" xfId="1306" xr:uid="{4C0B2742-7E77-4115-AF6F-B9C88AF5D558}"/>
    <cellStyle name="60% - Énfasis1 13" xfId="1307" xr:uid="{20B09F5F-14A5-471E-BD32-A43AB10EDE59}"/>
    <cellStyle name="60% - Énfasis1 14" xfId="1308" xr:uid="{509A8EE5-29B3-48FF-9583-8618178A9C15}"/>
    <cellStyle name="60% - Énfasis1 15" xfId="1309" xr:uid="{6FF640E2-5DDB-4CE5-B071-8E3D33795E8C}"/>
    <cellStyle name="60% - Énfasis1 16" xfId="1310" xr:uid="{BE887F7E-C82A-4936-A528-0065FBDC85EF}"/>
    <cellStyle name="60% - Énfasis1 17" xfId="1311" xr:uid="{C9D3F799-C27D-4769-B680-AADF3D0AF2D2}"/>
    <cellStyle name="60% - Énfasis1 18" xfId="1312" xr:uid="{8B426A3C-C50E-44E6-AB57-1CF865D0E1B9}"/>
    <cellStyle name="60% - Énfasis1 19" xfId="1313" xr:uid="{D44579D9-DFEF-4E24-8C60-1838172EAF48}"/>
    <cellStyle name="60% - Énfasis1 2" xfId="22" xr:uid="{C31E1F34-6B48-437C-A64E-0F9E3F262678}"/>
    <cellStyle name="60% - Énfasis1 2 2" xfId="1314" xr:uid="{B84D6B66-4554-4E46-BD08-4360A46EF182}"/>
    <cellStyle name="60% - Énfasis1 2 3" xfId="1315" xr:uid="{D88F7B15-1E1C-493C-A599-18D8D2984EF7}"/>
    <cellStyle name="60% - Énfasis1 2 4" xfId="1316" xr:uid="{A3E37AAD-1D3D-46E7-868F-5A3EB12BAFCE}"/>
    <cellStyle name="60% - Énfasis1 2 5" xfId="1317" xr:uid="{80E6C85B-6D9A-4F7A-906E-22561B72B41C}"/>
    <cellStyle name="60% - Énfasis1 2 6" xfId="12360" xr:uid="{196D2AD8-CE87-4ACA-B779-4CC297199782}"/>
    <cellStyle name="60% - Énfasis1 20" xfId="1318" xr:uid="{13C8388D-EC4B-4329-A47D-5541D80F2D69}"/>
    <cellStyle name="60% - Énfasis1 21" xfId="1319" xr:uid="{B1098853-071E-4906-8B4F-1B88D61EEF67}"/>
    <cellStyle name="60% - Énfasis1 22" xfId="1320" xr:uid="{01D40471-3DA0-4B37-9A2F-9EF67FDB351C}"/>
    <cellStyle name="60% - Énfasis1 23" xfId="1321" xr:uid="{5F125A5A-29E7-42D3-B160-8AEE5FF495BF}"/>
    <cellStyle name="60% - Énfasis1 24" xfId="1322" xr:uid="{B52EDD2B-7A71-4B54-9F53-2AB0C29BC1C6}"/>
    <cellStyle name="60% - Énfasis1 25" xfId="1323" xr:uid="{0C14F7F6-8F83-48FB-BE69-266528CC89E4}"/>
    <cellStyle name="60% - Énfasis1 26" xfId="1324" xr:uid="{409115B1-04FF-4C9B-95C9-D4E6BD3093A3}"/>
    <cellStyle name="60% - Énfasis1 27" xfId="1325" xr:uid="{F070D607-B53E-4B97-BFF8-277395B7AC6B}"/>
    <cellStyle name="60% - Énfasis1 28" xfId="1326" xr:uid="{6DAFA92B-258B-478F-8CAC-2A4D98F40A4A}"/>
    <cellStyle name="60% - Énfasis1 29" xfId="1327" xr:uid="{384FBF61-05B4-45CE-AE08-2F8F61AB42CC}"/>
    <cellStyle name="60% - Énfasis1 3" xfId="305" xr:uid="{0A9D510A-597E-438E-84A7-0CC0DA323416}"/>
    <cellStyle name="60% - Énfasis1 3 2" xfId="12361" xr:uid="{CBE9D041-4936-4EBF-B47F-ACE8EAC52B91}"/>
    <cellStyle name="60% - Énfasis1 30" xfId="1328" xr:uid="{59708A57-9F57-448E-B1B6-FC9D9D719660}"/>
    <cellStyle name="60% - Énfasis1 31" xfId="1329" xr:uid="{612B897D-2281-43BB-B302-3D092B4D9996}"/>
    <cellStyle name="60% - Énfasis1 32" xfId="1330" xr:uid="{B9DABD51-0C5F-4CDB-9497-9A500F520ADD}"/>
    <cellStyle name="60% - Énfasis1 33" xfId="1331" xr:uid="{01D633D4-E5A6-4A32-926A-28030E97A61B}"/>
    <cellStyle name="60% - Énfasis1 34" xfId="1332" xr:uid="{CE4E4AE1-6B45-40BA-A907-A2A982905908}"/>
    <cellStyle name="60% - Énfasis1 35" xfId="1333" xr:uid="{A48480DA-5E3A-4AA3-8971-062F408E62AE}"/>
    <cellStyle name="60% - Énfasis1 36" xfId="1334" xr:uid="{04E9A5FE-E6E5-478C-B91E-F0DAC0AA0F6C}"/>
    <cellStyle name="60% - Énfasis1 37" xfId="1335" xr:uid="{DFB999CD-C8BA-4901-A052-3F16882095A8}"/>
    <cellStyle name="60% - Énfasis1 38" xfId="1336" xr:uid="{4E1FF66B-CC46-47D5-8F22-60DA8F7B71EE}"/>
    <cellStyle name="60% - Énfasis1 39" xfId="1337" xr:uid="{204F696C-FE2C-4F8A-AE34-9E6F4704142F}"/>
    <cellStyle name="60% - Énfasis1 4" xfId="306" xr:uid="{6B29E13B-14F4-4B01-BD7C-671112F8124D}"/>
    <cellStyle name="60% - Énfasis1 4 2" xfId="13250" xr:uid="{DD034BDB-37F4-4B73-AB18-E896E7ABD614}"/>
    <cellStyle name="60% - Énfasis1 40" xfId="1338" xr:uid="{E17CDB0A-8FCC-41A8-8D4E-3D15376AD461}"/>
    <cellStyle name="60% - Énfasis1 41" xfId="1339" xr:uid="{C81B64ED-82DF-4CEC-B417-1DB333A6BE52}"/>
    <cellStyle name="60% - Énfasis1 42" xfId="1340" xr:uid="{52AB6749-8A34-4082-8D55-7119B76A0166}"/>
    <cellStyle name="60% - Énfasis1 43" xfId="1341" xr:uid="{282B9AD4-9250-40C1-A2A6-AE6DA9240264}"/>
    <cellStyle name="60% - Énfasis1 44" xfId="1342" xr:uid="{266CB5E5-FC26-4756-86E3-96433E8230A1}"/>
    <cellStyle name="60% - Énfasis1 45" xfId="1343" xr:uid="{5CDAA237-5448-4ED0-BB8D-92A97C599C1D}"/>
    <cellStyle name="60% - Énfasis1 46" xfId="1344" xr:uid="{B53A8C2E-C01E-45F0-B999-8D844296BEB9}"/>
    <cellStyle name="60% - Énfasis1 47" xfId="1345" xr:uid="{DCF84887-E960-4414-BD4D-539AFAF1CE30}"/>
    <cellStyle name="60% - Énfasis1 48" xfId="1346" xr:uid="{76D11247-2522-4D54-BEA0-90FC6BD1BC99}"/>
    <cellStyle name="60% - Énfasis1 49" xfId="1347" xr:uid="{CFD0197F-A065-42E8-88E2-00FAC8571D50}"/>
    <cellStyle name="60% - Énfasis1 5" xfId="307" xr:uid="{7F95A043-733F-4DCF-A52A-CD68C5AD3430}"/>
    <cellStyle name="60% - Énfasis1 5 2" xfId="13648" xr:uid="{419AEE28-29D5-40CC-B939-5BEC2F544904}"/>
    <cellStyle name="60% - Énfasis1 50" xfId="1348" xr:uid="{200F0757-8EDA-4595-B0C1-3BE039AD493B}"/>
    <cellStyle name="60% - Énfasis1 51" xfId="1349" xr:uid="{3610691C-C637-441E-A719-411300D25DE3}"/>
    <cellStyle name="60% - Énfasis1 52" xfId="1350" xr:uid="{6B0771F1-1A02-472B-B754-0758938E1C65}"/>
    <cellStyle name="60% - Énfasis1 53" xfId="1351" xr:uid="{8EADD36E-7C6F-4B72-9FD4-40A301E6B5A2}"/>
    <cellStyle name="60% - Énfasis1 54" xfId="1352" xr:uid="{3288440A-43B4-4CDD-9CE1-D7F9C5E5AEE7}"/>
    <cellStyle name="60% - Énfasis1 55" xfId="1353" xr:uid="{3ACECA36-9634-4F17-AF41-549ADB37512E}"/>
    <cellStyle name="60% - Énfasis1 56" xfId="1354" xr:uid="{CBBCD4EC-5973-4390-A6E4-2E6525831684}"/>
    <cellStyle name="60% - Énfasis1 57" xfId="1355" xr:uid="{2BB75A04-AB19-4289-A187-5C4889412E58}"/>
    <cellStyle name="60% - Énfasis1 58" xfId="1356" xr:uid="{5F28206E-C332-40D4-85B1-8616786CBB0B}"/>
    <cellStyle name="60% - Énfasis1 59" xfId="1357" xr:uid="{D42EFBB1-4CAB-47DD-883D-EF366F721B82}"/>
    <cellStyle name="60% - Énfasis1 6" xfId="308" xr:uid="{B668E445-D34B-49E2-A3A1-60BBF2E49421}"/>
    <cellStyle name="60% - Énfasis1 6 2" xfId="13966" xr:uid="{F0852967-8A49-4453-BD01-5E4B7983563A}"/>
    <cellStyle name="60% - Énfasis1 60" xfId="1358" xr:uid="{8CFFF1B1-61C0-412A-B279-76B8D0E0F658}"/>
    <cellStyle name="60% - Énfasis1 61" xfId="1359" xr:uid="{1EC5A251-82D4-44DF-A3E1-9C80211638B3}"/>
    <cellStyle name="60% - Énfasis1 62" xfId="1360" xr:uid="{9F6BE425-4825-4575-8EEE-B376CE7CDCAC}"/>
    <cellStyle name="60% - Énfasis1 63" xfId="1361" xr:uid="{07BCD77E-DFC0-4330-AEBF-AC867855C765}"/>
    <cellStyle name="60% - Énfasis1 64" xfId="1362" xr:uid="{DD30494D-9289-484E-82D8-E5B3B672B6F1}"/>
    <cellStyle name="60% - Énfasis1 65" xfId="1363" xr:uid="{6606FFAE-7BB1-4827-9E29-7504ACF9852A}"/>
    <cellStyle name="60% - Énfasis1 66" xfId="1364" xr:uid="{0929DC7E-3A15-4AF2-8FB7-AEB13BD383E3}"/>
    <cellStyle name="60% - Énfasis1 67" xfId="1365" xr:uid="{D36D4CB1-D0E1-4102-9C65-8879DE134E3F}"/>
    <cellStyle name="60% - Énfasis1 68" xfId="508" xr:uid="{5D15CD41-DB8B-416A-BFFD-1CDED00E604B}"/>
    <cellStyle name="60% - Énfasis1 7" xfId="309" xr:uid="{9F7B3750-523D-4745-BED9-678F7B78BE0D}"/>
    <cellStyle name="60% - Énfasis1 8" xfId="1366" xr:uid="{A6DEAC82-3EA6-404C-B800-A0470E96DAC6}"/>
    <cellStyle name="60% - Énfasis1 9" xfId="1367" xr:uid="{5212688E-985C-44B4-9428-E47CA94A1A9F}"/>
    <cellStyle name="60% - Énfasis2 10" xfId="1368" xr:uid="{E27424C0-5C13-401F-8BC3-1838B6B33822}"/>
    <cellStyle name="60% - Énfasis2 11" xfId="1369" xr:uid="{F0275821-5A51-4221-B98F-B89962871923}"/>
    <cellStyle name="60% - Énfasis2 12" xfId="1370" xr:uid="{1113F230-05A9-46F6-B2C4-5B7806BA4598}"/>
    <cellStyle name="60% - Énfasis2 13" xfId="1371" xr:uid="{445AF77F-1C5B-4C6B-8B64-D8DA5FAC80AF}"/>
    <cellStyle name="60% - Énfasis2 14" xfId="1372" xr:uid="{58B8D15E-63D8-4BAA-B243-8EB16F4D49A9}"/>
    <cellStyle name="60% - Énfasis2 15" xfId="1373" xr:uid="{22830411-2861-4D25-8166-5D92BFDA92E4}"/>
    <cellStyle name="60% - Énfasis2 16" xfId="1374" xr:uid="{929C042C-1DE5-40B5-B36E-6874653A43F7}"/>
    <cellStyle name="60% - Énfasis2 17" xfId="1375" xr:uid="{B2C6D1FB-0BD3-46A2-A5CA-CD65689B9054}"/>
    <cellStyle name="60% - Énfasis2 18" xfId="1376" xr:uid="{44D0C1F7-94DC-4D2C-B3A3-2018489EE649}"/>
    <cellStyle name="60% - Énfasis2 19" xfId="1377" xr:uid="{0D64A41E-6BE2-498F-9EC9-B53ED7082AF3}"/>
    <cellStyle name="60% - Énfasis2 2" xfId="23" xr:uid="{E96A132F-A117-4AFC-ABD1-5B4EFB7E9C27}"/>
    <cellStyle name="60% - Énfasis2 2 2" xfId="1378" xr:uid="{7BD7F589-C6ED-4D08-B3D3-7D0A7A745795}"/>
    <cellStyle name="60% - Énfasis2 2 3" xfId="1379" xr:uid="{52279784-4971-43E9-94BF-7C6F153DFEC7}"/>
    <cellStyle name="60% - Énfasis2 2 4" xfId="1380" xr:uid="{15DDCD2E-E2D5-41B5-8683-86B99707E59E}"/>
    <cellStyle name="60% - Énfasis2 2 5" xfId="1381" xr:uid="{F0679822-D6CF-478F-B989-48523B477E63}"/>
    <cellStyle name="60% - Énfasis2 2 6" xfId="12362" xr:uid="{E767AEEB-4C67-4196-8BE9-71475A5F1E79}"/>
    <cellStyle name="60% - Énfasis2 20" xfId="1382" xr:uid="{E8F7D0D7-F3E5-46EB-8456-8DBFD495D591}"/>
    <cellStyle name="60% - Énfasis2 21" xfId="1383" xr:uid="{20C86413-DA0A-484D-9863-3348A1555C36}"/>
    <cellStyle name="60% - Énfasis2 22" xfId="1384" xr:uid="{23E49EC2-FF0C-4D7D-9F6C-A84720C451F6}"/>
    <cellStyle name="60% - Énfasis2 23" xfId="1385" xr:uid="{2271472A-D443-4CF5-A508-B53FF76F2B25}"/>
    <cellStyle name="60% - Énfasis2 24" xfId="1386" xr:uid="{51A49CF0-0D1A-4C5D-9C3B-7E5C0520BDD8}"/>
    <cellStyle name="60% - Énfasis2 25" xfId="1387" xr:uid="{4561B0EC-8800-4A82-B066-31CD4F558F9A}"/>
    <cellStyle name="60% - Énfasis2 26" xfId="1388" xr:uid="{E9673E83-FE4F-40A8-858F-4961607699EB}"/>
    <cellStyle name="60% - Énfasis2 27" xfId="1389" xr:uid="{E7445D50-6FC8-4825-B883-5D1E1FF46395}"/>
    <cellStyle name="60% - Énfasis2 28" xfId="1390" xr:uid="{99EAB455-4C64-4817-99CE-CD5E08C38ED8}"/>
    <cellStyle name="60% - Énfasis2 29" xfId="1391" xr:uid="{1653C312-7849-42EC-A1B5-6E865A6A6A22}"/>
    <cellStyle name="60% - Énfasis2 3" xfId="310" xr:uid="{A2AE9718-226B-4799-AE8F-E0961479B7F1}"/>
    <cellStyle name="60% - Énfasis2 3 2" xfId="13420" xr:uid="{7CBA49F8-2D61-40D2-94CF-C4036ABAFF9A}"/>
    <cellStyle name="60% - Énfasis2 30" xfId="1392" xr:uid="{F8FDAC75-1405-4D54-9721-DB687EA69523}"/>
    <cellStyle name="60% - Énfasis2 31" xfId="1393" xr:uid="{82BB627F-46A3-4D8D-8495-F18F1AC71694}"/>
    <cellStyle name="60% - Énfasis2 32" xfId="1394" xr:uid="{40012C4C-6477-46CF-9C19-85E59AAE99C5}"/>
    <cellStyle name="60% - Énfasis2 33" xfId="1395" xr:uid="{758B4E4E-5178-45C7-8EE8-008DB0A80D47}"/>
    <cellStyle name="60% - Énfasis2 34" xfId="1396" xr:uid="{44C9837F-104E-45E9-A785-69BD536AE578}"/>
    <cellStyle name="60% - Énfasis2 35" xfId="1397" xr:uid="{52926E59-0D97-4910-8987-B929A26F8589}"/>
    <cellStyle name="60% - Énfasis2 36" xfId="1398" xr:uid="{F84902D1-0DD6-4FC2-BDC2-69C8CDA1C181}"/>
    <cellStyle name="60% - Énfasis2 37" xfId="1399" xr:uid="{20CD9EFD-2C33-4F8F-83E3-AEE33C0FE203}"/>
    <cellStyle name="60% - Énfasis2 38" xfId="1400" xr:uid="{AAB2D39A-F9BD-45AC-84DB-9426FC363DDC}"/>
    <cellStyle name="60% - Énfasis2 39" xfId="1401" xr:uid="{9F149920-4F56-405A-828D-A32F0BB14E33}"/>
    <cellStyle name="60% - Énfasis2 4" xfId="311" xr:uid="{B49074D1-FF36-4C44-B4C3-11F98E3494EA}"/>
    <cellStyle name="60% - Énfasis2 4 2" xfId="12363" xr:uid="{5C2F9DB9-AD23-4346-BC2B-1A967FFA937E}"/>
    <cellStyle name="60% - Énfasis2 40" xfId="1402" xr:uid="{4A4341A2-4D79-4145-8B16-508DD1612FBC}"/>
    <cellStyle name="60% - Énfasis2 41" xfId="1403" xr:uid="{B3466E07-E46D-4EF5-B0BC-7B7241855271}"/>
    <cellStyle name="60% - Énfasis2 42" xfId="1404" xr:uid="{617224BC-AB7C-4EAE-87BB-99C54023393F}"/>
    <cellStyle name="60% - Énfasis2 43" xfId="1405" xr:uid="{6B3E5BD2-4ECB-458B-9DB9-56F7EA32E447}"/>
    <cellStyle name="60% - Énfasis2 44" xfId="1406" xr:uid="{100AA739-961A-4C36-8C7D-2B83D40BC62F}"/>
    <cellStyle name="60% - Énfasis2 45" xfId="1407" xr:uid="{20C670E9-8407-4448-85B5-7E3D1D62D210}"/>
    <cellStyle name="60% - Énfasis2 46" xfId="1408" xr:uid="{850BF091-3F18-4AFD-8058-354ADB72FDC4}"/>
    <cellStyle name="60% - Énfasis2 47" xfId="1409" xr:uid="{C53A7248-A0D2-4150-9BEE-B03A5037769D}"/>
    <cellStyle name="60% - Énfasis2 48" xfId="1410" xr:uid="{4B29174F-E515-49BF-B8CD-AB11C2D32131}"/>
    <cellStyle name="60% - Énfasis2 49" xfId="1411" xr:uid="{2B5D1B13-EEFE-4F53-B4FB-1F4C5419FCCB}"/>
    <cellStyle name="60% - Énfasis2 5" xfId="312" xr:uid="{90B2BD30-849F-4164-A6EE-5FDA6BC2D2B0}"/>
    <cellStyle name="60% - Énfasis2 5 2" xfId="11675" xr:uid="{494AD3DC-061E-4B7A-AEA9-2E2A5727660F}"/>
    <cellStyle name="60% - Énfasis2 50" xfId="1412" xr:uid="{BA30F097-8B26-4761-B002-320A323BCEC8}"/>
    <cellStyle name="60% - Énfasis2 51" xfId="1413" xr:uid="{F6A8BA79-C3DD-4CE3-A716-E36C34BF10A5}"/>
    <cellStyle name="60% - Énfasis2 52" xfId="1414" xr:uid="{E954317E-FE1D-48D8-93F6-49E26E46CDA7}"/>
    <cellStyle name="60% - Énfasis2 53" xfId="1415" xr:uid="{54B3B743-EAA0-408E-AE37-518D8C851E05}"/>
    <cellStyle name="60% - Énfasis2 54" xfId="1416" xr:uid="{6B9F6F4A-20EC-4B75-B264-84B8E2E30066}"/>
    <cellStyle name="60% - Énfasis2 55" xfId="1417" xr:uid="{063BB304-817E-4C21-B624-088E4A828EF4}"/>
    <cellStyle name="60% - Énfasis2 56" xfId="1418" xr:uid="{06DA392C-0875-45C7-8912-D04EF2FACE1F}"/>
    <cellStyle name="60% - Énfasis2 57" xfId="1419" xr:uid="{453F379D-C468-4975-9C04-DC00594669EB}"/>
    <cellStyle name="60% - Énfasis2 58" xfId="1420" xr:uid="{A800CBA1-C25E-4D8C-8576-15D0204DA82A}"/>
    <cellStyle name="60% - Énfasis2 59" xfId="1421" xr:uid="{5AD807C1-A2B7-4448-80F1-64CF1D96C85E}"/>
    <cellStyle name="60% - Énfasis2 6" xfId="313" xr:uid="{BD93D732-2074-4FC2-92A1-E64F1CE31766}"/>
    <cellStyle name="60% - Énfasis2 6 2" xfId="12364" xr:uid="{50196DF4-52EB-4B67-A2EF-46E949841387}"/>
    <cellStyle name="60% - Énfasis2 60" xfId="1422" xr:uid="{42A7825A-7709-4750-84A1-7CEF74111B5D}"/>
    <cellStyle name="60% - Énfasis2 61" xfId="1423" xr:uid="{68DC86F6-5DAA-4DB9-825F-3D0955B9596E}"/>
    <cellStyle name="60% - Énfasis2 62" xfId="1424" xr:uid="{6D3C1362-AF6A-4309-8AFA-B338BFE57CE8}"/>
    <cellStyle name="60% - Énfasis2 63" xfId="1425" xr:uid="{E051DF4F-4FAA-4458-A143-0F40179D4A8B}"/>
    <cellStyle name="60% - Énfasis2 64" xfId="1426" xr:uid="{EF40C957-6299-4354-AC61-5BD134F4D6B6}"/>
    <cellStyle name="60% - Énfasis2 65" xfId="1427" xr:uid="{F947D2E6-BE49-49A9-AD0D-4A05FC6985E6}"/>
    <cellStyle name="60% - Énfasis2 66" xfId="1428" xr:uid="{3F057CA2-4B01-4FF0-841E-4F73EDA9C992}"/>
    <cellStyle name="60% - Énfasis2 67" xfId="1429" xr:uid="{0D307D26-3AD7-4999-8DA4-C607312CFA02}"/>
    <cellStyle name="60% - Énfasis2 68" xfId="509" xr:uid="{F8D7BF62-B685-4973-BC49-22F09E4959D4}"/>
    <cellStyle name="60% - Énfasis2 7" xfId="314" xr:uid="{F35AB4E6-C630-4E89-B1EC-C206F9DC7829}"/>
    <cellStyle name="60% - Énfasis2 8" xfId="1430" xr:uid="{24CCE121-36A4-4DF8-9855-7150CB4C50FF}"/>
    <cellStyle name="60% - Énfasis2 9" xfId="1431" xr:uid="{7654DFD0-8C24-4260-9AED-62432EAEC5CD}"/>
    <cellStyle name="60% - Énfasis3 10" xfId="1432" xr:uid="{A2CBC2C7-3184-4F7B-B2E5-8823433FED1A}"/>
    <cellStyle name="60% - Énfasis3 11" xfId="1433" xr:uid="{07D8512B-5C0D-4568-8799-071168FAC677}"/>
    <cellStyle name="60% - Énfasis3 12" xfId="1434" xr:uid="{ECC08FFF-F18E-4BD0-9F45-FE3197D3C730}"/>
    <cellStyle name="60% - Énfasis3 13" xfId="1435" xr:uid="{8F9A9F48-8CED-4836-A593-88869C6D20AD}"/>
    <cellStyle name="60% - Énfasis3 14" xfId="1436" xr:uid="{A795644C-5D68-4F3F-9496-2001A7DD83C7}"/>
    <cellStyle name="60% - Énfasis3 15" xfId="1437" xr:uid="{7779CE08-08C4-4209-BCDA-FF49983F272C}"/>
    <cellStyle name="60% - Énfasis3 16" xfId="1438" xr:uid="{25E2B58C-7F0D-4B2B-BF08-E18DE67ABA9B}"/>
    <cellStyle name="60% - Énfasis3 17" xfId="1439" xr:uid="{09029106-3218-4A44-A227-B59C456248D0}"/>
    <cellStyle name="60% - Énfasis3 18" xfId="1440" xr:uid="{E22E911B-165A-4DFA-A457-D6642FE5AFB5}"/>
    <cellStyle name="60% - Énfasis3 19" xfId="1441" xr:uid="{9AF41022-0A9E-42F2-9E7D-2612997636A9}"/>
    <cellStyle name="60% - Énfasis3 2" xfId="24" xr:uid="{F6A26777-1B1E-4D0B-89C5-95D3BE6D3566}"/>
    <cellStyle name="60% - Énfasis3 2 2" xfId="1442" xr:uid="{9D56E6F6-87D8-46B0-A008-CF607E9E7B4D}"/>
    <cellStyle name="60% - Énfasis3 2 3" xfId="1443" xr:uid="{1DAEAEAB-EF36-43C3-A290-07E7913F0E27}"/>
    <cellStyle name="60% - Énfasis3 2 4" xfId="1444" xr:uid="{131DC1FA-A8C4-4E21-8BE1-25DD9C4BC8EE}"/>
    <cellStyle name="60% - Énfasis3 2 5" xfId="1445" xr:uid="{66127262-AE24-4E47-BF1A-317E4EC53E20}"/>
    <cellStyle name="60% - Énfasis3 2 6" xfId="13073" xr:uid="{63906D5D-A9C7-4028-A016-6D9ACB00CFE6}"/>
    <cellStyle name="60% - Énfasis3 20" xfId="1446" xr:uid="{D7CC3BA8-041A-46DC-9FA7-070D2DABFFA5}"/>
    <cellStyle name="60% - Énfasis3 21" xfId="1447" xr:uid="{6A958C23-55A3-461D-B042-B69187983D2E}"/>
    <cellStyle name="60% - Énfasis3 22" xfId="1448" xr:uid="{5785B2D8-0BB1-4F76-96D9-3B48C92DB42A}"/>
    <cellStyle name="60% - Énfasis3 23" xfId="1449" xr:uid="{AE6C0137-951F-42EC-80A8-D404BEB08D1F}"/>
    <cellStyle name="60% - Énfasis3 24" xfId="1450" xr:uid="{D3561F0B-F6DB-432D-9695-87C429A84A88}"/>
    <cellStyle name="60% - Énfasis3 25" xfId="1451" xr:uid="{6B9FB80F-DB9A-4C24-95E3-F100E0B7B90B}"/>
    <cellStyle name="60% - Énfasis3 26" xfId="1452" xr:uid="{7296EBA1-6042-4A42-89B3-1E2026C3B3CB}"/>
    <cellStyle name="60% - Énfasis3 27" xfId="1453" xr:uid="{AB342A6A-1320-4311-A470-EB4111B284D4}"/>
    <cellStyle name="60% - Énfasis3 28" xfId="1454" xr:uid="{FA9AAB80-DE0B-45EE-9773-DB7F04BB6234}"/>
    <cellStyle name="60% - Énfasis3 29" xfId="1455" xr:uid="{BC8D88D5-2CFB-4B6C-96D1-5F1CB23C7813}"/>
    <cellStyle name="60% - Énfasis3 3" xfId="315" xr:uid="{3B645684-D1B4-45AD-B446-F171DBFC7B8A}"/>
    <cellStyle name="60% - Énfasis3 3 2" xfId="13588" xr:uid="{ADF4F54E-1B51-43B3-8818-E24B0BCF80F1}"/>
    <cellStyle name="60% - Énfasis3 30" xfId="1456" xr:uid="{E10DA446-9EF8-4EE7-9FA3-AB331C0114C9}"/>
    <cellStyle name="60% - Énfasis3 31" xfId="1457" xr:uid="{354D4382-CF9B-447E-977A-32E22AF6AD31}"/>
    <cellStyle name="60% - Énfasis3 32" xfId="1458" xr:uid="{7214A4ED-571E-42C6-91EA-5C14C8DBD3B1}"/>
    <cellStyle name="60% - Énfasis3 33" xfId="1459" xr:uid="{9671F1F6-5BA8-48B4-812B-CE5F45692D10}"/>
    <cellStyle name="60% - Énfasis3 34" xfId="1460" xr:uid="{4E17C185-918B-43F7-ACCD-04D4AB7DAEAE}"/>
    <cellStyle name="60% - Énfasis3 35" xfId="1461" xr:uid="{DB6D9A98-1CF3-431D-AB3B-A47F7B23B28C}"/>
    <cellStyle name="60% - Énfasis3 36" xfId="1462" xr:uid="{69B6EFA2-EACE-4C0F-9CA9-0CB220A4D61D}"/>
    <cellStyle name="60% - Énfasis3 37" xfId="1463" xr:uid="{88B4A86F-60DF-4F94-93F5-A91CDB4AB80B}"/>
    <cellStyle name="60% - Énfasis3 38" xfId="1464" xr:uid="{F2833C3B-6C8D-4B19-9258-D706084ABBD5}"/>
    <cellStyle name="60% - Énfasis3 39" xfId="1465" xr:uid="{72DAEBB9-E064-4203-8487-52C759597196}"/>
    <cellStyle name="60% - Énfasis3 4" xfId="316" xr:uid="{C5ADE7C2-6043-452F-9A98-C8F40DC68146}"/>
    <cellStyle name="60% - Énfasis3 4 2" xfId="11262" xr:uid="{F7FF6938-8EAD-45DC-A6D6-A47C855961B0}"/>
    <cellStyle name="60% - Énfasis3 40" xfId="1466" xr:uid="{286CC01D-9FB0-4EF8-AD67-BD23AE0B8430}"/>
    <cellStyle name="60% - Énfasis3 41" xfId="1467" xr:uid="{E77C8118-3FAE-41FB-8242-AD05DCB33313}"/>
    <cellStyle name="60% - Énfasis3 42" xfId="1468" xr:uid="{D26E6D4F-1539-4683-9974-A479F3699CF8}"/>
    <cellStyle name="60% - Énfasis3 43" xfId="1469" xr:uid="{ECDF604F-CC20-4593-99E3-7B057DE471A8}"/>
    <cellStyle name="60% - Énfasis3 44" xfId="1470" xr:uid="{B54332E1-F725-4327-81A7-BA5578668D05}"/>
    <cellStyle name="60% - Énfasis3 45" xfId="1471" xr:uid="{47A06F36-38E2-45A8-A740-3693D06E1606}"/>
    <cellStyle name="60% - Énfasis3 46" xfId="1472" xr:uid="{811714CE-EC43-4E7A-9A13-C89F4703F239}"/>
    <cellStyle name="60% - Énfasis3 47" xfId="1473" xr:uid="{41ECE31F-B962-477B-A243-A3B0BDAD3FF5}"/>
    <cellStyle name="60% - Énfasis3 48" xfId="1474" xr:uid="{6064786D-225D-436F-AF65-9276E33AC389}"/>
    <cellStyle name="60% - Énfasis3 49" xfId="1475" xr:uid="{E2FD86AD-1C90-4C8D-A175-B33F0BAE6FC2}"/>
    <cellStyle name="60% - Énfasis3 5" xfId="317" xr:uid="{90AA5562-604C-44A3-B798-E73DBAA0F403}"/>
    <cellStyle name="60% - Énfasis3 5 2" xfId="12439" xr:uid="{0A75D119-8830-435F-A867-E52A216CDF1A}"/>
    <cellStyle name="60% - Énfasis3 50" xfId="1476" xr:uid="{DB0247D0-9FC8-47BC-AE83-968B7D8B2D50}"/>
    <cellStyle name="60% - Énfasis3 51" xfId="1477" xr:uid="{0DAFD56A-BB0B-46AB-9EAD-7576394DD20D}"/>
    <cellStyle name="60% - Énfasis3 52" xfId="1478" xr:uid="{9535A535-7CA8-41B0-A0CA-8F2C6029BF5B}"/>
    <cellStyle name="60% - Énfasis3 53" xfId="1479" xr:uid="{D951D12E-0AEC-4792-A0BC-73745087F6C9}"/>
    <cellStyle name="60% - Énfasis3 54" xfId="1480" xr:uid="{4ABF8811-9496-464E-BE01-B4C7844C59A0}"/>
    <cellStyle name="60% - Énfasis3 55" xfId="1481" xr:uid="{1495C1D2-E335-4218-AAFF-2016BF131D38}"/>
    <cellStyle name="60% - Énfasis3 56" xfId="1482" xr:uid="{DF5AD350-1F09-4A65-9435-85FAC3EA306A}"/>
    <cellStyle name="60% - Énfasis3 57" xfId="1483" xr:uid="{5C35C438-BD7E-4DD8-9E1C-16E2A3F155F5}"/>
    <cellStyle name="60% - Énfasis3 58" xfId="1484" xr:uid="{484E8F4B-6D7D-417B-B6BE-2F19122D68EC}"/>
    <cellStyle name="60% - Énfasis3 59" xfId="1485" xr:uid="{88F98684-3CBE-4C17-94A7-4E0E71152FD7}"/>
    <cellStyle name="60% - Énfasis3 6" xfId="318" xr:uid="{6A8891B7-EABC-4BD3-A6E2-9926A5F364C3}"/>
    <cellStyle name="60% - Énfasis3 6 2" xfId="13343" xr:uid="{5AF9BAC5-7CE0-49A4-88EF-D034885334CB}"/>
    <cellStyle name="60% - Énfasis3 60" xfId="1486" xr:uid="{6D8E0A06-2518-45B7-9080-2F72814E453A}"/>
    <cellStyle name="60% - Énfasis3 61" xfId="1487" xr:uid="{44546E58-DAA7-4CF2-A608-5BBA28B6A6A9}"/>
    <cellStyle name="60% - Énfasis3 62" xfId="1488" xr:uid="{93577745-1E1B-4834-96FE-9DB8AC78667F}"/>
    <cellStyle name="60% - Énfasis3 63" xfId="1489" xr:uid="{31FDF892-23FC-4C4B-B462-5B2EF3DE4F84}"/>
    <cellStyle name="60% - Énfasis3 64" xfId="1490" xr:uid="{7D568C47-6ABC-4975-B57A-0C774D37189F}"/>
    <cellStyle name="60% - Énfasis3 65" xfId="1491" xr:uid="{89501EE0-6EBB-410F-B581-FF2BDEC2E61C}"/>
    <cellStyle name="60% - Énfasis3 66" xfId="1492" xr:uid="{5935FD27-645B-476D-8BE0-5BB3AF4D7E90}"/>
    <cellStyle name="60% - Énfasis3 67" xfId="1493" xr:uid="{E434D800-3A2D-4CF6-8B93-BEDB9D1F8314}"/>
    <cellStyle name="60% - Énfasis3 68" xfId="510" xr:uid="{5F260AF3-09AA-4970-A4A5-29C341516DE9}"/>
    <cellStyle name="60% - Énfasis3 7" xfId="319" xr:uid="{4C9F85F6-B5B6-499B-A523-C385A1B56AA2}"/>
    <cellStyle name="60% - Énfasis3 8" xfId="1494" xr:uid="{776E4AF3-C624-40F6-B2C7-E37617D72A57}"/>
    <cellStyle name="60% - Énfasis3 9" xfId="1495" xr:uid="{D6D7461C-6B1E-4B8E-B8DD-8C5E296E0890}"/>
    <cellStyle name="60% - Énfasis4 10" xfId="1496" xr:uid="{184D9807-CF7F-44D0-B82D-9123C320D927}"/>
    <cellStyle name="60% - Énfasis4 11" xfId="1497" xr:uid="{542B233C-3D1C-4592-9A0B-74454107544B}"/>
    <cellStyle name="60% - Énfasis4 12" xfId="1498" xr:uid="{5711F977-9478-4DA2-ACF2-738698C05180}"/>
    <cellStyle name="60% - Énfasis4 13" xfId="1499" xr:uid="{57398237-065F-4E80-9CB6-D600608E7BF3}"/>
    <cellStyle name="60% - Énfasis4 14" xfId="1500" xr:uid="{E99A6A6F-2ED7-4F07-BEBB-F0D71689AB00}"/>
    <cellStyle name="60% - Énfasis4 15" xfId="1501" xr:uid="{F8D068D3-C047-4DCD-A029-EA1AB0CC8994}"/>
    <cellStyle name="60% - Énfasis4 16" xfId="1502" xr:uid="{77091581-38B4-4861-A1B7-5F882C300CB8}"/>
    <cellStyle name="60% - Énfasis4 17" xfId="1503" xr:uid="{4084A81E-455C-4AF2-9AEA-267FDC53AA97}"/>
    <cellStyle name="60% - Énfasis4 18" xfId="1504" xr:uid="{AFED6A56-47E4-4B42-981E-703AC12C554D}"/>
    <cellStyle name="60% - Énfasis4 19" xfId="1505" xr:uid="{A9DD23FF-EF27-4CFF-AF78-2192F38FA104}"/>
    <cellStyle name="60% - Énfasis4 2" xfId="25" xr:uid="{F45B179A-0E61-40E9-8995-0E3BF0440E57}"/>
    <cellStyle name="60% - Énfasis4 2 2" xfId="1506" xr:uid="{0CC0C818-5B72-4CD3-9502-BF4DF0E0FA35}"/>
    <cellStyle name="60% - Énfasis4 2 3" xfId="1507" xr:uid="{1F3B5610-E613-4E9A-825A-D732A51CBEE7}"/>
    <cellStyle name="60% - Énfasis4 2 4" xfId="1508" xr:uid="{59559482-B9C1-4C1B-918A-E9291913FE75}"/>
    <cellStyle name="60% - Énfasis4 2 5" xfId="1509" xr:uid="{67904DF5-497D-4ADC-912C-A373D8457D10}"/>
    <cellStyle name="60% - Énfasis4 2 6" xfId="12515" xr:uid="{D0798FA0-F9BC-4445-B36D-88EF9EF88916}"/>
    <cellStyle name="60% - Énfasis4 20" xfId="1510" xr:uid="{9F8E66DA-A9C1-45D3-ADF6-D9DFCDA519C6}"/>
    <cellStyle name="60% - Énfasis4 21" xfId="1511" xr:uid="{905F5140-574E-406B-BE55-4091FAD6FB47}"/>
    <cellStyle name="60% - Énfasis4 22" xfId="1512" xr:uid="{225DBDE3-1196-4D05-9B24-C79B259CFF10}"/>
    <cellStyle name="60% - Énfasis4 23" xfId="1513" xr:uid="{A9F55C57-2F4F-4F05-BA46-A17342FFEEEB}"/>
    <cellStyle name="60% - Énfasis4 24" xfId="1514" xr:uid="{FFBB8EC5-5CF8-4761-9CDB-FD3F66CCA777}"/>
    <cellStyle name="60% - Énfasis4 25" xfId="1515" xr:uid="{CA3BE35D-1BF3-45D1-8EA7-7B05F1470CA9}"/>
    <cellStyle name="60% - Énfasis4 26" xfId="1516" xr:uid="{3B47CE15-8076-4C89-9A62-338577C2A530}"/>
    <cellStyle name="60% - Énfasis4 27" xfId="1517" xr:uid="{3B8E2873-B222-460E-9F7E-6C4071E81658}"/>
    <cellStyle name="60% - Énfasis4 28" xfId="1518" xr:uid="{EA548453-9669-4898-B709-247064AE13CE}"/>
    <cellStyle name="60% - Énfasis4 29" xfId="1519" xr:uid="{0F02B02A-85BF-4107-9F63-7943D06A5663}"/>
    <cellStyle name="60% - Énfasis4 3" xfId="320" xr:uid="{3819D10C-B184-4DC9-B986-CAE8FC43935B}"/>
    <cellStyle name="60% - Énfasis4 3 2" xfId="13516" xr:uid="{58A3E7BE-8EE6-4E04-A57F-BB0B04348C73}"/>
    <cellStyle name="60% - Énfasis4 30" xfId="1520" xr:uid="{6B81E3FD-2D24-4BDD-84CA-AD0429F89511}"/>
    <cellStyle name="60% - Énfasis4 31" xfId="1521" xr:uid="{2C09D4AF-7C9F-446D-8184-B50DC33D51EB}"/>
    <cellStyle name="60% - Énfasis4 32" xfId="1522" xr:uid="{236D2F9E-4B0E-4510-830F-3278B2487997}"/>
    <cellStyle name="60% - Énfasis4 33" xfId="1523" xr:uid="{CF14FF81-ABA0-4854-B716-4D3136C3D0B3}"/>
    <cellStyle name="60% - Énfasis4 34" xfId="1524" xr:uid="{C7B7CBF8-B48F-435B-BC69-56077E7143CE}"/>
    <cellStyle name="60% - Énfasis4 35" xfId="1525" xr:uid="{49EEB05D-D783-4EED-ABA4-860377EFEC13}"/>
    <cellStyle name="60% - Énfasis4 36" xfId="1526" xr:uid="{54B05359-E0E3-4069-A5C4-B38F1F4D96B3}"/>
    <cellStyle name="60% - Énfasis4 37" xfId="1527" xr:uid="{D99C38DF-C5F2-4BBA-887A-2E773C1A7445}"/>
    <cellStyle name="60% - Énfasis4 38" xfId="1528" xr:uid="{443C864C-27B5-488A-AC1F-6DE92B8C090B}"/>
    <cellStyle name="60% - Énfasis4 39" xfId="1529" xr:uid="{2AA1F257-3277-433C-A86A-B8CB8FAE20C7}"/>
    <cellStyle name="60% - Énfasis4 4" xfId="321" xr:uid="{8D6961D1-4EAC-443D-84CF-11E1289025E5}"/>
    <cellStyle name="60% - Énfasis4 4 2" xfId="12365" xr:uid="{941A9173-2DF6-4FF0-9516-0B773B0DABF9}"/>
    <cellStyle name="60% - Énfasis4 40" xfId="1530" xr:uid="{2DA6C70C-375A-4F72-86E9-D2D2E7E3F0F3}"/>
    <cellStyle name="60% - Énfasis4 41" xfId="1531" xr:uid="{13D0AFF0-3519-4475-9E99-4DF04261E24B}"/>
    <cellStyle name="60% - Énfasis4 42" xfId="1532" xr:uid="{63015634-EB3F-4BF6-8BDF-55D51B21CCEE}"/>
    <cellStyle name="60% - Énfasis4 43" xfId="1533" xr:uid="{C6E0F8C0-E428-48A0-833E-B21D0C2CCA02}"/>
    <cellStyle name="60% - Énfasis4 44" xfId="1534" xr:uid="{D7D11378-4C86-4AD8-AF50-770C84105648}"/>
    <cellStyle name="60% - Énfasis4 45" xfId="1535" xr:uid="{B5343DAA-D922-4CAB-856B-CCFA441B99AF}"/>
    <cellStyle name="60% - Énfasis4 46" xfId="1536" xr:uid="{22708864-B2A2-4903-A6BF-5325FEFEB364}"/>
    <cellStyle name="60% - Énfasis4 47" xfId="1537" xr:uid="{4CF6625A-E914-4276-8F0E-C7366DF83007}"/>
    <cellStyle name="60% - Énfasis4 48" xfId="1538" xr:uid="{6F432088-D894-4C36-A801-3B342AFB0237}"/>
    <cellStyle name="60% - Énfasis4 49" xfId="1539" xr:uid="{2135E4D7-F618-45E9-B058-317922277C60}"/>
    <cellStyle name="60% - Énfasis4 5" xfId="322" xr:uid="{AF51A889-17C8-410E-9967-03CA5F4E57A9}"/>
    <cellStyle name="60% - Énfasis4 5 2" xfId="12366" xr:uid="{634814E3-54FE-4657-A00E-EB741FCFFC1D}"/>
    <cellStyle name="60% - Énfasis4 50" xfId="1540" xr:uid="{D62ED528-2F88-4E2F-AEFA-5F9217E5C112}"/>
    <cellStyle name="60% - Énfasis4 51" xfId="1541" xr:uid="{82F68C02-5374-49E5-A95F-702A340AFBA2}"/>
    <cellStyle name="60% - Énfasis4 52" xfId="1542" xr:uid="{E64DA882-FCD0-4B9A-AF38-0264B5C62A8B}"/>
    <cellStyle name="60% - Énfasis4 53" xfId="1543" xr:uid="{F46E58A0-651F-49F2-8492-29D92B69DBF8}"/>
    <cellStyle name="60% - Énfasis4 54" xfId="1544" xr:uid="{2CE88FBA-6486-408D-9FA1-15EB59BEB598}"/>
    <cellStyle name="60% - Énfasis4 55" xfId="1545" xr:uid="{DA4C46FF-3743-456B-B0A4-7929D3B768B3}"/>
    <cellStyle name="60% - Énfasis4 56" xfId="1546" xr:uid="{B9B660AA-6143-4104-8877-0FB226230C78}"/>
    <cellStyle name="60% - Énfasis4 57" xfId="1547" xr:uid="{6768369E-A412-4395-AA32-EB302C987D63}"/>
    <cellStyle name="60% - Énfasis4 58" xfId="1548" xr:uid="{4977CD68-AE93-4EDD-84DC-40804AE6E507}"/>
    <cellStyle name="60% - Énfasis4 59" xfId="1549" xr:uid="{7F5B8533-2904-49E2-BCAD-2A0F028133DA}"/>
    <cellStyle name="60% - Énfasis4 6" xfId="323" xr:uid="{EC3B6A6A-1FEE-4736-BF30-44D42DA5B653}"/>
    <cellStyle name="60% - Énfasis4 6 2" xfId="13173" xr:uid="{AB5E349D-D993-42F8-8885-13D6AD1FDD10}"/>
    <cellStyle name="60% - Énfasis4 60" xfId="1550" xr:uid="{6892B3A4-7308-41EF-9077-122A026A7FCD}"/>
    <cellStyle name="60% - Énfasis4 61" xfId="1551" xr:uid="{4CB98A7F-25D6-43C1-85A5-3E38B9DE7DA7}"/>
    <cellStyle name="60% - Énfasis4 62" xfId="1552" xr:uid="{C16DE55C-B97A-4ED5-8A21-41C18D65D42D}"/>
    <cellStyle name="60% - Énfasis4 63" xfId="1553" xr:uid="{9303B083-2A5D-4750-A938-DC7193762832}"/>
    <cellStyle name="60% - Énfasis4 64" xfId="1554" xr:uid="{5F7D2D6C-D78E-4D84-9BA8-53F06F73C89B}"/>
    <cellStyle name="60% - Énfasis4 65" xfId="1555" xr:uid="{22E95DFF-65C8-4C98-BEF2-02D01CA77428}"/>
    <cellStyle name="60% - Énfasis4 66" xfId="1556" xr:uid="{9798859A-17FC-4FB3-944A-38DE7AA26846}"/>
    <cellStyle name="60% - Énfasis4 67" xfId="1557" xr:uid="{6CE094B3-AD63-44A6-A965-8E012A07B449}"/>
    <cellStyle name="60% - Énfasis4 68" xfId="512" xr:uid="{157E6FFA-543B-4344-95C5-1FA2B4F64A1A}"/>
    <cellStyle name="60% - Énfasis4 7" xfId="324" xr:uid="{04E5921A-2394-4A24-8056-44A7DA281D14}"/>
    <cellStyle name="60% - Énfasis4 8" xfId="1558" xr:uid="{403AFBBD-CDB8-48D5-A66A-ECFA9B46877E}"/>
    <cellStyle name="60% - Énfasis4 9" xfId="1559" xr:uid="{2FC638FD-925A-41CD-A6BE-632CA8287840}"/>
    <cellStyle name="60% - Énfasis5 10" xfId="1560" xr:uid="{1D02F20A-1A9C-41FA-9C65-4C0B562AF404}"/>
    <cellStyle name="60% - Énfasis5 11" xfId="1561" xr:uid="{80D6B4E5-22C0-4EE1-A77C-F59603DA7AD3}"/>
    <cellStyle name="60% - Énfasis5 12" xfId="1562" xr:uid="{7BD92C0E-6245-4817-A970-E90CFB9781AF}"/>
    <cellStyle name="60% - Énfasis5 13" xfId="1563" xr:uid="{CDE11BA7-FC6A-46ED-B4C1-0D1CF6F3306C}"/>
    <cellStyle name="60% - Énfasis5 14" xfId="1564" xr:uid="{D6BF2472-83C2-47D2-BC79-2F03BB9CDCB3}"/>
    <cellStyle name="60% - Énfasis5 15" xfId="1565" xr:uid="{C0E8E978-DF45-40CA-9390-D1DB541F7DAB}"/>
    <cellStyle name="60% - Énfasis5 16" xfId="1566" xr:uid="{543CACC7-B953-488F-9F36-8FEF202734D2}"/>
    <cellStyle name="60% - Énfasis5 17" xfId="1567" xr:uid="{238FD6C1-9104-4CC7-AF03-ED449E4868C0}"/>
    <cellStyle name="60% - Énfasis5 18" xfId="1568" xr:uid="{1960F1EF-7169-45FC-AFE4-9FD7E7B502FB}"/>
    <cellStyle name="60% - Énfasis5 19" xfId="1569" xr:uid="{17917825-DFBE-4465-8F7D-9A5CBFD0603F}"/>
    <cellStyle name="60% - Énfasis5 2" xfId="26" xr:uid="{CE047963-5D58-4C26-835D-C62F9FB16850}"/>
    <cellStyle name="60% - Énfasis5 2 2" xfId="1570" xr:uid="{B64A4DC5-2DC3-4796-8CFE-0618E19A7438}"/>
    <cellStyle name="60% - Énfasis5 2 3" xfId="1571" xr:uid="{3639D165-F5CB-4E52-BA1D-B2CADEFD4938}"/>
    <cellStyle name="60% - Énfasis5 2 4" xfId="1572" xr:uid="{FB87B637-428C-408E-AF27-E95C635C3C5B}"/>
    <cellStyle name="60% - Énfasis5 2 5" xfId="1573" xr:uid="{F21A7565-FAE4-4EC0-B897-CAD6B2DD8F94}"/>
    <cellStyle name="60% - Énfasis5 2 6" xfId="13746" xr:uid="{DF1E181E-AE76-4059-A717-B341AE44380A}"/>
    <cellStyle name="60% - Énfasis5 20" xfId="1574" xr:uid="{F51ADE0B-F4FA-40AA-BC7A-099642815837}"/>
    <cellStyle name="60% - Énfasis5 21" xfId="1575" xr:uid="{445590ED-81DB-46DB-9B9E-71D3C57E15A9}"/>
    <cellStyle name="60% - Énfasis5 22" xfId="1576" xr:uid="{4FFB857F-6C77-4FB6-9975-4BDE1A4E0BE6}"/>
    <cellStyle name="60% - Énfasis5 23" xfId="1577" xr:uid="{70A6F216-4073-47D4-8E10-F079352162D4}"/>
    <cellStyle name="60% - Énfasis5 24" xfId="1578" xr:uid="{6959FA6A-1CD8-40B7-AC39-D4C9D11430CE}"/>
    <cellStyle name="60% - Énfasis5 25" xfId="1579" xr:uid="{6693FF87-C795-49BA-9870-11E98E51259F}"/>
    <cellStyle name="60% - Énfasis5 26" xfId="1580" xr:uid="{991B053D-FFB4-4215-BD78-5803B8F7A26B}"/>
    <cellStyle name="60% - Énfasis5 27" xfId="1581" xr:uid="{9D968158-BEE3-4B0A-A5F1-7D8428E6DCCC}"/>
    <cellStyle name="60% - Énfasis5 28" xfId="1582" xr:uid="{7C840B63-2EAA-40AB-8BCD-F0651004866B}"/>
    <cellStyle name="60% - Énfasis5 29" xfId="1583" xr:uid="{F3A8EEF1-938E-4AF7-9E22-6461D6FF8E2D}"/>
    <cellStyle name="60% - Énfasis5 3" xfId="325" xr:uid="{F4AEA12B-35AD-4314-A054-679D856E96D1}"/>
    <cellStyle name="60% - Énfasis5 3 2" xfId="12957" xr:uid="{BE6143A5-7961-420C-B38C-7594FE5CAE82}"/>
    <cellStyle name="60% - Énfasis5 30" xfId="1584" xr:uid="{9F87B3A2-0692-42F3-BA9F-8AAEA2372B14}"/>
    <cellStyle name="60% - Énfasis5 31" xfId="1585" xr:uid="{3919CEE6-2576-43D0-BA46-72081679E97D}"/>
    <cellStyle name="60% - Énfasis5 32" xfId="1586" xr:uid="{166C02AA-4167-49BD-AFF3-2409C07EE01B}"/>
    <cellStyle name="60% - Énfasis5 33" xfId="1587" xr:uid="{B8D1C54E-B4F9-41F4-AA31-384A8B0202FC}"/>
    <cellStyle name="60% - Énfasis5 34" xfId="1588" xr:uid="{D686FBD1-CBFC-434D-B506-DAC5EC0BEEC2}"/>
    <cellStyle name="60% - Énfasis5 35" xfId="1589" xr:uid="{A849F166-27E5-4B0E-BB2C-1E08D412DAAD}"/>
    <cellStyle name="60% - Énfasis5 36" xfId="1590" xr:uid="{4FBAFBF8-46D6-474E-96E7-FC5D3118A735}"/>
    <cellStyle name="60% - Énfasis5 37" xfId="1591" xr:uid="{F75D94A7-4856-4FC9-8C13-3AEE71861780}"/>
    <cellStyle name="60% - Énfasis5 38" xfId="1592" xr:uid="{0004BF34-4A4B-4603-8698-3D77330C9D14}"/>
    <cellStyle name="60% - Énfasis5 39" xfId="1593" xr:uid="{C8E9BE02-12BB-4B49-9C43-4CA07F8A47DE}"/>
    <cellStyle name="60% - Énfasis5 4" xfId="326" xr:uid="{E3FCB0F6-14F8-409D-A92A-A47384265E44}"/>
    <cellStyle name="60% - Énfasis5 4 2" xfId="11211" xr:uid="{4C3C2C09-4D12-488A-817A-41615714CBFD}"/>
    <cellStyle name="60% - Énfasis5 40" xfId="1594" xr:uid="{CEE6FA9B-C5F7-4376-BC9E-C4A67479B8B4}"/>
    <cellStyle name="60% - Énfasis5 41" xfId="1595" xr:uid="{72ADDB2E-D7E0-4268-BA82-97EE4EA11F72}"/>
    <cellStyle name="60% - Énfasis5 42" xfId="1596" xr:uid="{01CA5589-5EE3-4251-BBA7-158030E9F898}"/>
    <cellStyle name="60% - Énfasis5 43" xfId="1597" xr:uid="{D001211F-49F4-4A2B-A6D3-1593366EA1C2}"/>
    <cellStyle name="60% - Énfasis5 44" xfId="1598" xr:uid="{A78BE953-9CB9-4450-A1C3-46A90AB4946F}"/>
    <cellStyle name="60% - Énfasis5 45" xfId="1599" xr:uid="{C1923F29-BAFC-4063-85DA-B4ED04AA487D}"/>
    <cellStyle name="60% - Énfasis5 46" xfId="1600" xr:uid="{0ECBBB33-F2CC-460D-A402-F92499A54558}"/>
    <cellStyle name="60% - Énfasis5 47" xfId="1601" xr:uid="{E4E28A50-765F-48B5-B8E6-C4F0EA94877D}"/>
    <cellStyle name="60% - Énfasis5 48" xfId="1602" xr:uid="{E4EB9EAB-52D1-4E95-80F9-A1089485B6D6}"/>
    <cellStyle name="60% - Énfasis5 49" xfId="1603" xr:uid="{E131B7AC-94EF-4FEA-9B9E-6638E331A09F}"/>
    <cellStyle name="60% - Énfasis5 5" xfId="327" xr:uid="{FDFAA6CF-A0B8-455C-B4D6-73D148C638D0}"/>
    <cellStyle name="60% - Énfasis5 5 2" xfId="13967" xr:uid="{23C9B9A7-8E39-49B3-9277-4EA3674668FB}"/>
    <cellStyle name="60% - Énfasis5 50" xfId="1604" xr:uid="{DB200D13-89F8-4CDE-8242-5BE311BE5B22}"/>
    <cellStyle name="60% - Énfasis5 51" xfId="1605" xr:uid="{265C80D6-F84B-4428-B7F9-F3433FC8395C}"/>
    <cellStyle name="60% - Énfasis5 52" xfId="1606" xr:uid="{1A243603-DBC3-44AE-A9E1-DA7BE8EBF522}"/>
    <cellStyle name="60% - Énfasis5 53" xfId="1607" xr:uid="{99725B4A-F874-419E-9165-576A15CAB5C0}"/>
    <cellStyle name="60% - Énfasis5 54" xfId="1608" xr:uid="{1AF1A3F6-DD4E-4FE2-A40A-C716805A30C8}"/>
    <cellStyle name="60% - Énfasis5 55" xfId="1609" xr:uid="{0D275646-C8B9-4541-903E-D655717EA768}"/>
    <cellStyle name="60% - Énfasis5 56" xfId="1610" xr:uid="{CCD835DE-69C3-4286-8E72-446FF49F8744}"/>
    <cellStyle name="60% - Énfasis5 57" xfId="1611" xr:uid="{DB8E8830-98B4-46D3-8111-5FDC8C2CF362}"/>
    <cellStyle name="60% - Énfasis5 58" xfId="1612" xr:uid="{511E3BBC-6F26-4CD3-ABCF-B28A4177547B}"/>
    <cellStyle name="60% - Énfasis5 59" xfId="1613" xr:uid="{9186CE15-5B93-4BF4-87AE-327AF23EAFEE}"/>
    <cellStyle name="60% - Énfasis5 6" xfId="328" xr:uid="{F7948C7A-007A-44FE-9255-4E9F8AAE4DF2}"/>
    <cellStyle name="60% - Énfasis5 6 2" xfId="12610" xr:uid="{124CA7E5-8470-4D3B-BB7E-6074219E4E56}"/>
    <cellStyle name="60% - Énfasis5 60" xfId="1614" xr:uid="{5C5D1A68-B1B2-467F-B8B5-D03E9430963D}"/>
    <cellStyle name="60% - Énfasis5 61" xfId="1615" xr:uid="{FC4339AB-E7E9-4BBC-B537-48E6BB354367}"/>
    <cellStyle name="60% - Énfasis5 62" xfId="1616" xr:uid="{1450D5EC-9ECD-47F4-90C9-8B4154793F0D}"/>
    <cellStyle name="60% - Énfasis5 63" xfId="1617" xr:uid="{E4172780-8CAD-42C4-857E-339B41D58D84}"/>
    <cellStyle name="60% - Énfasis5 64" xfId="1618" xr:uid="{DC74FE6E-8A31-4B31-9B88-C3A30B68884F}"/>
    <cellStyle name="60% - Énfasis5 65" xfId="1619" xr:uid="{B1A22655-4794-4FA3-87BE-FD033507D12B}"/>
    <cellStyle name="60% - Énfasis5 66" xfId="1620" xr:uid="{B76C78DD-5BE0-4099-B8C8-BA9105AE5ED6}"/>
    <cellStyle name="60% - Énfasis5 67" xfId="1621" xr:uid="{77C6BF36-628C-4300-8582-27E6A85D1F55}"/>
    <cellStyle name="60% - Énfasis5 68" xfId="513" xr:uid="{DFDDD49C-A67D-4415-85F9-A136532B2E40}"/>
    <cellStyle name="60% - Énfasis5 7" xfId="329" xr:uid="{8A7A9EF9-500D-46FA-8803-65049200689F}"/>
    <cellStyle name="60% - Énfasis5 8" xfId="1622" xr:uid="{ADF7DFE0-581A-45D0-9ADB-57B8D241D8B0}"/>
    <cellStyle name="60% - Énfasis5 9" xfId="1623" xr:uid="{8B0F72BD-0B73-4226-951A-B40BCE26D40B}"/>
    <cellStyle name="60% - Énfasis6 10" xfId="1624" xr:uid="{6905D7BF-00B2-4DA1-834C-7DFB5BD9BC10}"/>
    <cellStyle name="60% - Énfasis6 11" xfId="1625" xr:uid="{377B3A33-C5DF-4555-8D2A-C439F8A05DBC}"/>
    <cellStyle name="60% - Énfasis6 12" xfId="1626" xr:uid="{03A7FADD-8242-48EE-8632-7225790D8E90}"/>
    <cellStyle name="60% - Énfasis6 13" xfId="1627" xr:uid="{17D6924E-27B5-45EC-A704-1F8AF9A53C34}"/>
    <cellStyle name="60% - Énfasis6 14" xfId="1628" xr:uid="{7D1DF99D-954E-40DB-B9E9-E11B27A66131}"/>
    <cellStyle name="60% - Énfasis6 15" xfId="1629" xr:uid="{FA300FD2-EAC4-4747-BDFA-D5DAE277A1ED}"/>
    <cellStyle name="60% - Énfasis6 16" xfId="1630" xr:uid="{23D42212-6B90-4462-9C3C-21F610D8A539}"/>
    <cellStyle name="60% - Énfasis6 17" xfId="1631" xr:uid="{FF3EF1D1-F32A-4DDC-B2BA-087DB4E29690}"/>
    <cellStyle name="60% - Énfasis6 18" xfId="1632" xr:uid="{4C274BDB-BE17-4606-9447-37E2BE9230B2}"/>
    <cellStyle name="60% - Énfasis6 19" xfId="1633" xr:uid="{9C0E12B7-9A98-4700-979C-D2DC8632B95B}"/>
    <cellStyle name="60% - Énfasis6 2" xfId="27" xr:uid="{58AB5F02-FED6-41AE-B196-51025A1805FD}"/>
    <cellStyle name="60% - Énfasis6 2 2" xfId="1634" xr:uid="{F9D0FD0A-A340-4EA9-80EC-41270F46C2F7}"/>
    <cellStyle name="60% - Énfasis6 2 3" xfId="1635" xr:uid="{D0BCD042-6647-429E-854A-E620BAF9C798}"/>
    <cellStyle name="60% - Énfasis6 2 4" xfId="1636" xr:uid="{9C1E9C3E-CA47-4910-B571-0A119A4ECA6B}"/>
    <cellStyle name="60% - Énfasis6 2 5" xfId="1637" xr:uid="{0DCA15DA-AD23-4CA0-A4C1-FF37524D7FA7}"/>
    <cellStyle name="60% - Énfasis6 2 6" xfId="12367" xr:uid="{FAA4FFC9-431D-4D64-9774-35AEF7B3893A}"/>
    <cellStyle name="60% - Énfasis6 20" xfId="1638" xr:uid="{EC5180DE-0117-4D88-A8CD-9BDF1E031897}"/>
    <cellStyle name="60% - Énfasis6 21" xfId="1639" xr:uid="{59BFFF1C-7FB6-44B9-A61F-B6F385B78DBC}"/>
    <cellStyle name="60% - Énfasis6 22" xfId="1640" xr:uid="{9AE19E70-327D-41A0-BB99-018B62D8CE88}"/>
    <cellStyle name="60% - Énfasis6 23" xfId="1641" xr:uid="{17E88829-3A1C-4392-88BC-21DED732A355}"/>
    <cellStyle name="60% - Énfasis6 24" xfId="1642" xr:uid="{FF792C36-895D-485E-935F-FA5823CD49E2}"/>
    <cellStyle name="60% - Énfasis6 25" xfId="1643" xr:uid="{D479693C-BAB9-478A-8AC3-29823D216A30}"/>
    <cellStyle name="60% - Énfasis6 26" xfId="1644" xr:uid="{E6B1C6FF-1C60-4792-8E24-FB26B0DC988D}"/>
    <cellStyle name="60% - Énfasis6 27" xfId="1645" xr:uid="{6BE93AD6-251E-4D7E-8BFC-AF0FC2E1C4D3}"/>
    <cellStyle name="60% - Énfasis6 28" xfId="1646" xr:uid="{D3477CAC-70E6-47DF-94F3-66CF9E98637A}"/>
    <cellStyle name="60% - Énfasis6 29" xfId="1647" xr:uid="{52C7FC59-D8DE-4AAF-9EC0-EDD4EB08F541}"/>
    <cellStyle name="60% - Énfasis6 3" xfId="330" xr:uid="{ADC6DFC2-211E-421D-85F3-3B07C79D783E}"/>
    <cellStyle name="60% - Énfasis6 3 2" xfId="13344" xr:uid="{75DBD245-A669-4267-ACA6-541B845934FB}"/>
    <cellStyle name="60% - Énfasis6 30" xfId="1648" xr:uid="{24BA8CB4-CE13-4D07-BDDE-4B98C3827BE7}"/>
    <cellStyle name="60% - Énfasis6 31" xfId="1649" xr:uid="{7024E9D4-DC0D-426B-A7A2-15B00F8E9869}"/>
    <cellStyle name="60% - Énfasis6 32" xfId="1650" xr:uid="{AEE48034-4894-4982-A915-9EA8B160D61C}"/>
    <cellStyle name="60% - Énfasis6 33" xfId="1651" xr:uid="{9D5BBCDF-4205-4556-817E-FC820EF587E6}"/>
    <cellStyle name="60% - Énfasis6 34" xfId="1652" xr:uid="{38C91352-6039-46E6-AB9B-6063CF89F58F}"/>
    <cellStyle name="60% - Énfasis6 35" xfId="1653" xr:uid="{1D927005-EC5D-47B9-A3B8-F310B6AB7C7F}"/>
    <cellStyle name="60% - Énfasis6 36" xfId="1654" xr:uid="{5271A7D5-95A7-4190-98CF-B88EE37D2E9B}"/>
    <cellStyle name="60% - Énfasis6 37" xfId="1655" xr:uid="{200E72F3-79E8-4DAB-876F-85BF4B0BAFE4}"/>
    <cellStyle name="60% - Énfasis6 38" xfId="1656" xr:uid="{9D10E6F9-D00A-4281-823E-2C3AE2C081D3}"/>
    <cellStyle name="60% - Énfasis6 39" xfId="1657" xr:uid="{689E4173-3669-431A-8A49-3D0FC200D944}"/>
    <cellStyle name="60% - Énfasis6 4" xfId="331" xr:uid="{9FE4339A-2C27-41E0-B549-D8054DA5599D}"/>
    <cellStyle name="60% - Énfasis6 4 2" xfId="12368" xr:uid="{816BDBD0-4B22-48E2-B972-EDF4CA0F1F84}"/>
    <cellStyle name="60% - Énfasis6 40" xfId="1658" xr:uid="{62987086-2202-4C28-A8F9-AD3921A0B5A7}"/>
    <cellStyle name="60% - Énfasis6 41" xfId="1659" xr:uid="{CE27A434-BEC8-481E-BB2A-35F3B8E29266}"/>
    <cellStyle name="60% - Énfasis6 42" xfId="1660" xr:uid="{3FDBAFFF-16D9-4C6B-A443-4544D8C4DA4C}"/>
    <cellStyle name="60% - Énfasis6 43" xfId="1661" xr:uid="{C746CDEC-1160-4BDF-A9A8-50BC2617B8DD}"/>
    <cellStyle name="60% - Énfasis6 44" xfId="1662" xr:uid="{E0E00E9C-ED12-42F8-B9BB-E9D1231E5817}"/>
    <cellStyle name="60% - Énfasis6 45" xfId="1663" xr:uid="{073E4202-BA17-450C-A943-0D684187278D}"/>
    <cellStyle name="60% - Énfasis6 46" xfId="1664" xr:uid="{F15D9F80-F17D-47CD-A24D-F968CAD2824E}"/>
    <cellStyle name="60% - Énfasis6 47" xfId="1665" xr:uid="{022B22BD-01D9-4391-ADDE-FCCF510B4907}"/>
    <cellStyle name="60% - Énfasis6 48" xfId="1666" xr:uid="{8374C1C3-CF79-4B77-BA60-4D7986439590}"/>
    <cellStyle name="60% - Énfasis6 49" xfId="1667" xr:uid="{14235625-1EFE-4C90-B735-0EC15621C017}"/>
    <cellStyle name="60% - Énfasis6 5" xfId="332" xr:uid="{2F50388A-F13C-42A1-A4E7-FE05948C5C46}"/>
    <cellStyle name="60% - Énfasis6 5 2" xfId="13517" xr:uid="{F91F579A-C559-4113-AFA4-48E9CCEC7362}"/>
    <cellStyle name="60% - Énfasis6 50" xfId="1668" xr:uid="{4F93188B-618C-4B6F-991F-0806AB5F5272}"/>
    <cellStyle name="60% - Énfasis6 51" xfId="1669" xr:uid="{0DAE87B4-312B-4777-B510-7D0986F500D7}"/>
    <cellStyle name="60% - Énfasis6 52" xfId="1670" xr:uid="{E415703A-8E70-4DC8-8904-C7F89D7F1CFB}"/>
    <cellStyle name="60% - Énfasis6 53" xfId="1671" xr:uid="{A0A2ABC4-7C59-47BC-BD18-927B37A3DC84}"/>
    <cellStyle name="60% - Énfasis6 54" xfId="1672" xr:uid="{56560954-F315-4651-9D50-AEA6346A184A}"/>
    <cellStyle name="60% - Énfasis6 55" xfId="1673" xr:uid="{282FF441-EED9-4DE1-8C1E-482BC6028A0A}"/>
    <cellStyle name="60% - Énfasis6 56" xfId="1674" xr:uid="{5E5BC5BA-90D5-4778-85C0-3920146B5659}"/>
    <cellStyle name="60% - Énfasis6 57" xfId="1675" xr:uid="{5C17C817-9771-4594-87B1-07F4C615325D}"/>
    <cellStyle name="60% - Énfasis6 58" xfId="1676" xr:uid="{D7523606-8969-42E2-843D-95E0701F09CF}"/>
    <cellStyle name="60% - Énfasis6 59" xfId="1677" xr:uid="{3B10474D-68E7-4E54-B0B0-8888E9F9F01E}"/>
    <cellStyle name="60% - Énfasis6 6" xfId="333" xr:uid="{EE1F8AC8-90A1-4381-B469-88624B29EDEF}"/>
    <cellStyle name="60% - Énfasis6 6 2" xfId="11522" xr:uid="{28DD5CE6-F059-42DE-9E33-E117BBB23EFC}"/>
    <cellStyle name="60% - Énfasis6 60" xfId="1678" xr:uid="{AECF33AD-EB9D-47A2-8E5E-1F126C2A9115}"/>
    <cellStyle name="60% - Énfasis6 61" xfId="1679" xr:uid="{0CAD7B98-6CF6-48B2-B752-53846D892905}"/>
    <cellStyle name="60% - Énfasis6 62" xfId="1680" xr:uid="{167A03F2-F6EE-4EA2-AAFB-ED507DBFA8DF}"/>
    <cellStyle name="60% - Énfasis6 63" xfId="1681" xr:uid="{C2A4FF33-8392-4B24-BFC2-21CEF529F382}"/>
    <cellStyle name="60% - Énfasis6 64" xfId="1682" xr:uid="{561F0C60-FCB7-42A7-850C-CB34CDEF9C6F}"/>
    <cellStyle name="60% - Énfasis6 65" xfId="1683" xr:uid="{8EE55EEB-8BFC-4D11-9901-B46465487CBB}"/>
    <cellStyle name="60% - Énfasis6 66" xfId="1684" xr:uid="{7F5DE10A-1C7A-47BD-BA50-38DE290038C1}"/>
    <cellStyle name="60% - Énfasis6 67" xfId="1685" xr:uid="{CF5F9354-3191-4E86-BCF4-6953B5E45BF4}"/>
    <cellStyle name="60% - Énfasis6 68" xfId="514" xr:uid="{804042B7-1A8E-4F96-ACAF-9CCAF0D43CAD}"/>
    <cellStyle name="60% - Énfasis6 7" xfId="334" xr:uid="{621B612D-8DB2-4874-A9CA-676FE50C0C46}"/>
    <cellStyle name="60% - Énfasis6 8" xfId="1686" xr:uid="{CF1FAB91-BE4D-4CD3-9222-6506FD69DE46}"/>
    <cellStyle name="60% - Énfasis6 9" xfId="1687" xr:uid="{03295D55-3F78-4D89-A207-DBBCEEBBDDF0}"/>
    <cellStyle name="A3 297 x 420 mm" xfId="12369" xr:uid="{6854074B-5E54-4937-AC38-6B4704022B19}"/>
    <cellStyle name="Accent1" xfId="12402" xr:uid="{C2D749EE-E590-4382-89C0-C7BDB507B28F}"/>
    <cellStyle name="Accent1 10" xfId="13174" xr:uid="{90725ED4-C5FD-440A-AE3C-F859D35A1132}"/>
    <cellStyle name="Accent1 11" xfId="13747" xr:uid="{5FB9C587-F778-4791-96E2-FC4F412137B3}"/>
    <cellStyle name="Accent1 12" xfId="13968" xr:uid="{7ED14D4F-DA71-41FF-A458-4A8B102C9191}"/>
    <cellStyle name="Accent1 13" xfId="12370" xr:uid="{D1CA7FF2-513B-4EB5-9C00-C06289721C26}"/>
    <cellStyle name="Accent1 14" xfId="12371" xr:uid="{C3FC9E09-8403-4970-A789-95E99183B7BA}"/>
    <cellStyle name="Accent1 15" xfId="12372" xr:uid="{26CE1533-7FA3-47C5-A844-E45B44E90E57}"/>
    <cellStyle name="Accent1 16" xfId="13249" xr:uid="{F41D9DCA-0521-4DCE-A9D8-DF12895F8670}"/>
    <cellStyle name="Accent1 17" xfId="13647" xr:uid="{764654DC-AC04-45BD-8C8B-AFC66786497E}"/>
    <cellStyle name="Accent1 18" xfId="13969" xr:uid="{22A20381-F7FD-4D3A-A233-0012EA9CD64D}"/>
    <cellStyle name="Accent1 19" xfId="12373" xr:uid="{DE46E1DF-420B-48CC-B5A0-DF762183FD21}"/>
    <cellStyle name="Accent1 2" xfId="12958" xr:uid="{17CD6FC7-F07A-466A-9441-9C9A6CA6DA6F}"/>
    <cellStyle name="Accent1 20" xfId="13419" xr:uid="{DB045BA1-14E0-4128-A89B-8DFB4A976BE8}"/>
    <cellStyle name="Accent1 21" xfId="12374" xr:uid="{C06A6FA8-ED43-4BBD-B918-184ABDD55B49}"/>
    <cellStyle name="Accent1 22" xfId="12440" xr:uid="{DE5E0BFB-8A7C-4F3D-93E4-D86118DAFA3C}"/>
    <cellStyle name="Accent1 23" xfId="13072" xr:uid="{E715694D-283B-4DEA-BF88-FFE8E78963DE}"/>
    <cellStyle name="Accent1 3" xfId="11199" xr:uid="{EAC4D477-402A-43E4-AE2B-515A61CDBE62}"/>
    <cellStyle name="Accent1 4" xfId="13822" xr:uid="{80AE60F3-607F-4D5B-AB6A-5C528EDADD86}"/>
    <cellStyle name="Accent1 5" xfId="11263" xr:uid="{CF5AF9A0-09FE-4B43-9393-6C19C14D89C9}"/>
    <cellStyle name="Accent1 6" xfId="11681" xr:uid="{9D570354-7697-4E8C-AC34-D66F393B8EE4}"/>
    <cellStyle name="Accent1 7" xfId="13345" xr:uid="{D6ED65AC-EA13-48C0-B947-A4E62E832402}"/>
    <cellStyle name="Accent1 8" xfId="12441" xr:uid="{D1C8CF1E-C9B9-4DB6-A882-17F79B21442B}"/>
    <cellStyle name="Accent1 9" xfId="12500" xr:uid="{1196102C-1F30-4578-8B1B-F4CA02922A7A}"/>
    <cellStyle name="Accent2" xfId="13518" xr:uid="{F98F12F0-7714-4B14-B86B-B6763D8CB72D}"/>
    <cellStyle name="Accent2 10" xfId="12383" xr:uid="{B467952C-5087-461E-9759-CA4D3BCBBE29}"/>
    <cellStyle name="Accent2 11" xfId="11523" xr:uid="{3503FCF1-0F25-49C4-87D3-0DEF69FD813E}"/>
    <cellStyle name="Accent2 12" xfId="13175" xr:uid="{2A12BE67-34FD-4F9F-8ED8-C109B1B0202E}"/>
    <cellStyle name="Accent2 13" xfId="13748" xr:uid="{E12893F5-F80F-4E37-B36E-599386C9BE1C}"/>
    <cellStyle name="Accent2 14" xfId="13970" xr:uid="{532E1C9E-64C6-4723-B940-5550B30E53A1}"/>
    <cellStyle name="Accent2 15" xfId="11264" xr:uid="{B083306B-C087-4DA5-88CC-2D03C3CF33F7}"/>
    <cellStyle name="Accent2 16" xfId="12375" xr:uid="{3988775C-43EB-406B-B038-E318A54DDE3D}"/>
    <cellStyle name="Accent2 17" xfId="13346" xr:uid="{1BFEDD6F-D1D5-4753-A74C-846C6B93411D}"/>
    <cellStyle name="Accent2 18" xfId="12376" xr:uid="{32C8F3C3-758D-4CA1-BE09-4B64885034E7}"/>
    <cellStyle name="Accent2 19" xfId="12959" xr:uid="{3F3810DB-0435-4900-8467-6DE649DC8545}"/>
    <cellStyle name="Accent2 2" xfId="13519" xr:uid="{B0D3E9F5-781E-4C50-8A09-ABCEB57C686F}"/>
    <cellStyle name="Accent2 20" xfId="12377" xr:uid="{0B116924-4394-44D2-ABDA-54E732AFFB7A}"/>
    <cellStyle name="Accent2 21" xfId="12378" xr:uid="{9D2692D8-C533-424C-BFD2-142BC5AC71EC}"/>
    <cellStyle name="Accent2 22" xfId="13176" xr:uid="{28274659-FA13-4541-8E21-899AC59173FD}"/>
    <cellStyle name="Accent2 23" xfId="13749" xr:uid="{57FD681F-AE97-4276-8155-107B47C3B6F2}"/>
    <cellStyle name="Accent2 3" xfId="13971" xr:uid="{D81F7C84-B628-4354-8F54-B00A546F098B}"/>
    <cellStyle name="Accent2 4" xfId="12379" xr:uid="{EB7BE1BD-EB12-4535-9735-0C9010161ECC}"/>
    <cellStyle name="Accent2 5" xfId="12380" xr:uid="{4E8ABCBD-72A8-4BC8-BBC5-B5281C5EC185}"/>
    <cellStyle name="Accent2 6" xfId="11524" xr:uid="{76890615-C423-4576-A639-8C93AB890A2F}"/>
    <cellStyle name="Accent2 7" xfId="13251" xr:uid="{F59BEAAC-34B3-4DDA-BD21-9A431ADCDADB}"/>
    <cellStyle name="Accent2 8" xfId="13649" xr:uid="{66FC7182-20CA-4C3E-9CBA-1EB1203B3842}"/>
    <cellStyle name="Accent2 9" xfId="13972" xr:uid="{D1CA5E0A-304A-4C5F-9B44-6346C275DF90}"/>
    <cellStyle name="Accent3" xfId="12442" xr:uid="{FA819586-CAA1-4EAD-8F10-DFE3724BADAF}"/>
    <cellStyle name="Accent3 10" xfId="13421" xr:uid="{451643C9-58E5-401D-A504-78892485F4B3}"/>
    <cellStyle name="Accent3 11" xfId="12995" xr:uid="{F9D4A9EC-B551-479C-A9FA-D8CFD6EDA68E}"/>
    <cellStyle name="Accent3 12" xfId="12443" xr:uid="{35D8864E-38B0-4B81-9A40-468B0FF7A4A6}"/>
    <cellStyle name="Accent3 13" xfId="11525" xr:uid="{C04DD2AE-A978-450F-B04D-985CEE1ACE50}"/>
    <cellStyle name="Accent3 14" xfId="13074" xr:uid="{C3F07934-3810-4F68-9201-17A8AA153B1E}"/>
    <cellStyle name="Accent3 15" xfId="13589" xr:uid="{EA70D160-4D6F-487A-993F-C5A071C301B2}"/>
    <cellStyle name="Accent3 16" xfId="11200" xr:uid="{98433355-9893-41BF-A580-0E47CDADF775}"/>
    <cellStyle name="Accent3 17" xfId="11265" xr:uid="{584C65D9-DCD0-497C-AB5E-0D43A0A0622E}"/>
    <cellStyle name="Accent3 18" xfId="11526" xr:uid="{55C3440F-A639-4F72-8678-13C1930735A0}"/>
    <cellStyle name="Accent3 19" xfId="13347" xr:uid="{C52A2D46-1692-4C1F-8C01-11531AB54581}"/>
    <cellStyle name="Accent3 2" xfId="11527" xr:uid="{754966E8-CBA4-41A4-97E0-39BAEF333FAE}"/>
    <cellStyle name="Accent3 20" xfId="13520" xr:uid="{91F9691A-9084-425E-9208-8EE8B00665AD}"/>
    <cellStyle name="Accent3 21" xfId="11528" xr:uid="{BFCA746E-4091-45E9-870D-2D7905ADF23F}"/>
    <cellStyle name="Accent3 22" xfId="11529" xr:uid="{24A7105F-33D1-408F-B51D-BF5039D099C2}"/>
    <cellStyle name="Accent3 23" xfId="13177" xr:uid="{A0B94CC5-CF67-45D8-910B-1D162D3FB4B4}"/>
    <cellStyle name="Accent3 3" xfId="13750" xr:uid="{77018F1E-BDB8-461F-BF25-4B34655EE12B}"/>
    <cellStyle name="Accent3 4" xfId="13973" xr:uid="{39D64C39-E0E7-4A07-A34F-506043F2C22D}"/>
    <cellStyle name="Accent3 5" xfId="11266" xr:uid="{5AC7FD89-2F5E-4C5D-B370-C3BE41CB2F7E}"/>
    <cellStyle name="Accent3 6" xfId="11530" xr:uid="{851A178C-0B02-4595-B11A-EB61AA25A8DC}"/>
    <cellStyle name="Accent3 7" xfId="13348" xr:uid="{10F349C1-D95C-4DB8-A4C2-6285A76983CB}"/>
    <cellStyle name="Accent3 8" xfId="11531" xr:uid="{000FA4FA-5683-4D84-9F85-543EC4F939F6}"/>
    <cellStyle name="Accent3 9" xfId="13521" xr:uid="{AC871967-3FB6-433C-BB2A-60A45D57EE29}"/>
    <cellStyle name="Accent4" xfId="11532" xr:uid="{713A857E-1A60-4419-9A5A-13B08DF0F2C5}"/>
    <cellStyle name="Accent4 10" xfId="11533" xr:uid="{D2E55CBE-FF77-4975-BE30-E39EEBA1E725}"/>
    <cellStyle name="Accent4 11" xfId="12960" xr:uid="{02514054-EC5D-408E-A0ED-88B8EDAB3536}"/>
    <cellStyle name="Accent4 12" xfId="11212" xr:uid="{1AB1E71A-7EBC-43A6-847B-B7AFE666B1D2}"/>
    <cellStyle name="Accent4 13" xfId="13178" xr:uid="{B25DA0F1-2CA4-4720-BE8D-13052B640C33}"/>
    <cellStyle name="Accent4 14" xfId="13751" xr:uid="{07B36DB4-4F3B-4896-A49C-C22189A79FAE}"/>
    <cellStyle name="Accent4 15" xfId="13974" xr:uid="{7CA2A782-464C-464B-864E-3030F55B87C5}"/>
    <cellStyle name="Accent4 16" xfId="10924" xr:uid="{23D5B868-A955-4DED-995C-D69EDEA1AA80}"/>
    <cellStyle name="Accent4 17" xfId="12444" xr:uid="{6B51957F-B238-4749-8AC4-29BCC4375793}"/>
    <cellStyle name="Accent4 18" xfId="12445" xr:uid="{DC5300A1-CD2C-492D-BFA8-8B4BBFC84B36}"/>
    <cellStyle name="Accent4 19" xfId="13252" xr:uid="{E10DB46B-7395-41B7-84D8-E1F7440F9E2A}"/>
    <cellStyle name="Accent4 2" xfId="13650" xr:uid="{EF286622-3B9E-4677-BF7E-68443C4C96EC}"/>
    <cellStyle name="Accent4 20" xfId="12961" xr:uid="{CC51D06E-34F1-463D-A15F-050A8B48AF57}"/>
    <cellStyle name="Accent4 21" xfId="13975" xr:uid="{0669A444-83C1-478A-A289-B4D2D68BD3C5}"/>
    <cellStyle name="Accent4 22" xfId="11534" xr:uid="{673419D1-E072-40E4-AE7F-99C350FAD1B0}"/>
    <cellStyle name="Accent4 23" xfId="13422" xr:uid="{095081A6-378C-42F6-9377-B9F02A81DF29}"/>
    <cellStyle name="Accent4 3" xfId="11535" xr:uid="{EA6C5C73-FAFA-4187-A8C7-CC341043FF40}"/>
    <cellStyle name="Accent4 4" xfId="11536" xr:uid="{A3FF38A7-9425-4942-905B-E72AD0F55CE9}"/>
    <cellStyle name="Accent4 5" xfId="13075" xr:uid="{BC7E808A-B769-43D7-B072-FD1F5842D4BF}"/>
    <cellStyle name="Accent4 6" xfId="13590" xr:uid="{05FCDB8A-3320-40FA-91BC-D02BD8AE22C3}"/>
    <cellStyle name="Accent4 7" xfId="13823" xr:uid="{69112873-50F0-4CAB-B42D-6790939C418A}"/>
    <cellStyle name="Accent4 8" xfId="11201" xr:uid="{80AEB9F4-2D54-4869-9B4F-709261C9CB19}"/>
    <cellStyle name="Accent4 9" xfId="13591" xr:uid="{355BD3CE-AB2D-42C6-B38E-123E3F7E03E5}"/>
    <cellStyle name="Accent5" xfId="12962" xr:uid="{108DACED-CEEA-423E-ABD4-33ADCD40AAE9}"/>
    <cellStyle name="Accent6" xfId="13824" xr:uid="{11624FED-8EDE-4753-8BF2-C7828B3A0BD3}"/>
    <cellStyle name="Accent6 10" xfId="11202" xr:uid="{BF33B2A7-6D2A-4E19-A98A-F8C7279CAA3C}"/>
    <cellStyle name="Accent6 11" xfId="13825" xr:uid="{6EFEE14A-27F3-4CCC-B60A-20FF44F285F0}"/>
    <cellStyle name="Accent6 12" xfId="12947" xr:uid="{C4E76963-4068-4C0E-8BFE-C6A723BE9FE9}"/>
    <cellStyle name="Accent6 13" xfId="11537" xr:uid="{798EE71B-B54F-411C-9A58-0E651675F693}"/>
    <cellStyle name="Accent6 14" xfId="13349" xr:uid="{C4D7FD08-AE63-4184-B6B2-BAD4D01BB71D}"/>
    <cellStyle name="Accent6 15" xfId="11538" xr:uid="{E9FE41CB-A78C-4E66-9583-69AA13267F18}"/>
    <cellStyle name="Accent6 16" xfId="13522" xr:uid="{33576F13-F49F-4ECF-9AC6-257727BFFA60}"/>
    <cellStyle name="Accent6 17" xfId="11539" xr:uid="{B77918F4-053A-49E1-840F-D6336CD2A26F}"/>
    <cellStyle name="Accent6 18" xfId="11540" xr:uid="{5EBF7766-A4B4-4538-88D0-A31A92BA11AC}"/>
    <cellStyle name="Accent6 19" xfId="12963" xr:uid="{387A1CD9-CB18-4483-A5E8-03069A108DCE}"/>
    <cellStyle name="Accent6 2" xfId="13179" xr:uid="{0EBB7470-53CF-40D1-8C92-CF3F76B68CC1}"/>
    <cellStyle name="Accent6 20" xfId="13752" xr:uid="{E4DA7463-E9AF-4DBD-8921-A117C484762B}"/>
    <cellStyle name="Accent6 21" xfId="13976" xr:uid="{17D9B397-0F70-4EB8-B38C-1F9AE23663E9}"/>
    <cellStyle name="Accent6 22" xfId="11267" xr:uid="{1E20CB33-3B0D-4856-8B2A-A8A4D6AFF1E6}"/>
    <cellStyle name="Accent6 23" xfId="11541" xr:uid="{D567B744-50E4-45B0-918B-813DECE33E6D}"/>
    <cellStyle name="Accent6 3" xfId="13350" xr:uid="{7D094686-E891-41C4-BD6D-3852290F1C5E}"/>
    <cellStyle name="Accent6 4" xfId="11542" xr:uid="{173596D8-7102-43EA-BE60-6E4584E07D3B}"/>
    <cellStyle name="Accent6 5" xfId="13523" xr:uid="{22176162-809F-42BE-AF75-54F25439DB5A}"/>
    <cellStyle name="Accent6 6" xfId="11543" xr:uid="{D5DD4695-E3F8-4A7D-A981-2E825514C8D4}"/>
    <cellStyle name="Accent6 7" xfId="12446" xr:uid="{8FFA7869-C31F-477B-87FA-7AA5A2F9D4F1}"/>
    <cellStyle name="Accent6 8" xfId="12964" xr:uid="{5896CE3A-40BE-46E8-820F-44E71AD7E48A}"/>
    <cellStyle name="Accent6 9" xfId="13180" xr:uid="{EBEE5B4E-99AA-4561-BA1F-F4857087F3EB}"/>
    <cellStyle name="Bad" xfId="13753" xr:uid="{5821CCE1-1E02-4CCA-8C14-687DB13251AA}"/>
    <cellStyle name="Bad 10" xfId="13977" xr:uid="{90B51158-FA11-4B81-894E-7689175E0AE9}"/>
    <cellStyle name="Bad 11" xfId="11682" xr:uid="{834263F0-A75B-4D28-A0E0-E33682E33388}"/>
    <cellStyle name="Bad 12" xfId="11544" xr:uid="{F338B4AC-FB9C-4565-9AD4-B43A653B8622}"/>
    <cellStyle name="Bad 13" xfId="11545" xr:uid="{ADCB0693-C2E8-4186-9976-15656C6C0998}"/>
    <cellStyle name="Bad 14" xfId="13254" xr:uid="{376377D7-1CA2-42AA-92BC-6259B885EB8B}"/>
    <cellStyle name="Bad 15" xfId="13652" xr:uid="{788CD53D-2AEB-4983-B6FE-1D7F6FA95A9B}"/>
    <cellStyle name="Bad 16" xfId="13978" xr:uid="{EB68E93A-C29D-4324-872D-4EA327DE20A5}"/>
    <cellStyle name="Bad 17" xfId="11546" xr:uid="{1140BFEA-5A31-41EA-AD09-97B142106C04}"/>
    <cellStyle name="Bad 18" xfId="13424" xr:uid="{F8B6073C-0DE4-4522-A9BA-AF9A0F55A99C}"/>
    <cellStyle name="Bad 19" xfId="11547" xr:uid="{443BBB9C-97D6-45CE-A11E-D5F017A59CB9}"/>
    <cellStyle name="Bad 2" xfId="11014" xr:uid="{578CDFCA-0652-4E37-8A73-4C2EF7C5A209}"/>
    <cellStyle name="Bad 20" xfId="13077" xr:uid="{0A2CB3CC-478E-4490-BDD5-980B0C50677D}"/>
    <cellStyle name="Bad 21" xfId="12996" xr:uid="{5D7393EA-4905-4BA8-86FB-D7E666D3E33D}"/>
    <cellStyle name="Bad 22" xfId="13592" xr:uid="{8C44ACC7-B824-409D-9E52-0DC3DF4D8046}"/>
    <cellStyle name="Bad 23" xfId="11268" xr:uid="{EFDAD873-E829-4C0C-A18D-D5FBF1344E7B}"/>
    <cellStyle name="Bad 3" xfId="11548" xr:uid="{0E8E7C13-180A-4210-9592-76369CC4834B}"/>
    <cellStyle name="Bad 4" xfId="13351" xr:uid="{0CE628E0-8A15-4B3C-98AA-301044D4A91E}"/>
    <cellStyle name="Bad 5" xfId="11549" xr:uid="{05D1DDB8-95E4-4F2D-837E-51501AF70B3E}"/>
    <cellStyle name="Bad 6" xfId="13524" xr:uid="{085D89EA-94B7-4FF5-BCA9-6C650151B273}"/>
    <cellStyle name="Bad 7" xfId="11550" xr:uid="{E79C70F2-6276-414C-94CF-1364226B4C49}"/>
    <cellStyle name="Bad 8" xfId="11551" xr:uid="{6F20657D-7F3C-448E-92D7-7680A6578F44}"/>
    <cellStyle name="Bad 9" xfId="13181" xr:uid="{FA32BD65-9FD8-4707-9E04-0A15B8804590}"/>
    <cellStyle name="Buena 10" xfId="1688" xr:uid="{40C33B9B-5A2B-429B-B1DE-35FE1881FBDE}"/>
    <cellStyle name="Buena 11" xfId="1689" xr:uid="{C76E9455-D8DE-4BDA-A644-2EE025CFEA7D}"/>
    <cellStyle name="Buena 12" xfId="1690" xr:uid="{5CF9952D-76B1-406C-80EB-13D4DEB9B6EF}"/>
    <cellStyle name="Buena 13" xfId="1691" xr:uid="{7949213E-2A20-4AA0-8254-482EAA0301CB}"/>
    <cellStyle name="Buena 14" xfId="1692" xr:uid="{0DA1C139-DCB3-4D09-BFA1-FB43475CEF71}"/>
    <cellStyle name="Buena 15" xfId="1693" xr:uid="{3F1864A2-E7B4-4EE6-AC64-058378794057}"/>
    <cellStyle name="Buena 16" xfId="1694" xr:uid="{5BFDE742-37DB-4214-A210-7D4D35333DA8}"/>
    <cellStyle name="Buena 17" xfId="1695" xr:uid="{732F24B5-0D3C-46B8-B4BB-15ABB8DFA3A0}"/>
    <cellStyle name="Buena 18" xfId="1696" xr:uid="{B3D4A79D-AD3D-46F4-85CE-55ACB3E0596A}"/>
    <cellStyle name="Buena 19" xfId="1697" xr:uid="{C7551B92-5EF9-4FBA-85AC-49FAA32719BC}"/>
    <cellStyle name="Buena 2" xfId="28" xr:uid="{4C465422-BFB2-4D87-9DDA-CA67C8EB7447}"/>
    <cellStyle name="Buena 2 2" xfId="1698" xr:uid="{EEA8C9BB-ADAA-4C7E-9DD5-C22AB4D5B4E0}"/>
    <cellStyle name="Buena 2 3" xfId="1699" xr:uid="{FB17D091-3ED7-4B16-8D60-110A154DE208}"/>
    <cellStyle name="Buena 2 4" xfId="1700" xr:uid="{0D653A5D-040A-44BA-AD4C-4B52BF54A7C7}"/>
    <cellStyle name="Buena 2 5" xfId="1701" xr:uid="{70ACD6ED-29C6-44F0-BBFD-53A724F9F1D1}"/>
    <cellStyle name="Buena 2 6" xfId="13754" xr:uid="{27283795-FE32-4FD1-861B-FFF396B72477}"/>
    <cellStyle name="Buena 20" xfId="1702" xr:uid="{34A30BB8-2D3C-4D11-9F47-08215D71A840}"/>
    <cellStyle name="Buena 21" xfId="1703" xr:uid="{F7ABB9B4-FE49-4905-8ED6-889E6B30FFCC}"/>
    <cellStyle name="Buena 22" xfId="1704" xr:uid="{FFE29FC4-92D5-4EA2-B99E-C16455FAF3B6}"/>
    <cellStyle name="Buena 23" xfId="1705" xr:uid="{1E7D56FD-9C4C-4C5C-B6EA-019F7E8A303C}"/>
    <cellStyle name="Buena 24" xfId="1706" xr:uid="{3C748404-8DFD-4C48-A670-2A237EBB0CF4}"/>
    <cellStyle name="Buena 25" xfId="1707" xr:uid="{F023B295-5623-4EFB-AA81-CBADA87084CB}"/>
    <cellStyle name="Buena 26" xfId="1708" xr:uid="{637DFC83-B970-4450-8622-C8396E0C01BA}"/>
    <cellStyle name="Buena 27" xfId="1709" xr:uid="{44BFDB38-945B-4757-B550-A1FA128D220A}"/>
    <cellStyle name="Buena 28" xfId="1710" xr:uid="{63A07C74-0228-4E96-9B8E-A9F1D15297A0}"/>
    <cellStyle name="Buena 29" xfId="1711" xr:uid="{B1CD569B-F26B-4B35-A082-2EE7459ACA31}"/>
    <cellStyle name="Buena 3" xfId="335" xr:uid="{6DCB1642-FC48-4B3F-87DB-632B81AC1EA0}"/>
    <cellStyle name="Buena 3 2" xfId="13979" xr:uid="{3D0FCEA8-79D5-45D0-B1D4-73546B1369F6}"/>
    <cellStyle name="Buena 30" xfId="1712" xr:uid="{2ABB1843-CAEE-4BA2-9867-B94DCE8FC8F5}"/>
    <cellStyle name="Buena 31" xfId="1713" xr:uid="{3A981E13-8469-4EE9-B93A-78B48D6C92C8}"/>
    <cellStyle name="Buena 32" xfId="1714" xr:uid="{E410C77C-C4C2-4CC1-9233-E54311E8DD64}"/>
    <cellStyle name="Buena 33" xfId="1715" xr:uid="{8EB61689-E479-4E04-ABC7-079B6EA03622}"/>
    <cellStyle name="Buena 34" xfId="1716" xr:uid="{96614560-98E3-4CDC-9548-2B338E5EE9FA}"/>
    <cellStyle name="Buena 35" xfId="1717" xr:uid="{1EA6EC12-B0DE-4246-9AA8-31C92986ACE0}"/>
    <cellStyle name="Buena 36" xfId="1718" xr:uid="{B369AD9C-6F07-4064-96E6-27115D54B939}"/>
    <cellStyle name="Buena 37" xfId="1719" xr:uid="{CFEE276F-C33D-46BC-97A0-A1B6C1650189}"/>
    <cellStyle name="Buena 38" xfId="1720" xr:uid="{BD365A3E-DF48-4981-8E27-09923379FEDD}"/>
    <cellStyle name="Buena 39" xfId="1721" xr:uid="{A246485B-BE92-4418-A50B-B5FF4B38AEA5}"/>
    <cellStyle name="Buena 4" xfId="336" xr:uid="{BE0AC45B-1C0A-41D9-BF24-C6D8C7493042}"/>
    <cellStyle name="Buena 4 2" xfId="11269" xr:uid="{C46A81F7-2173-4B59-BB9D-FB94945733C4}"/>
    <cellStyle name="Buena 40" xfId="1722" xr:uid="{762EFE63-8E3B-4F38-8C67-702BCE9E84C3}"/>
    <cellStyle name="Buena 41" xfId="1723" xr:uid="{BF2AC042-13EB-46F0-AD21-087E84C47420}"/>
    <cellStyle name="Buena 42" xfId="1724" xr:uid="{843094E3-53AD-4280-A0B0-D36348646C32}"/>
    <cellStyle name="Buena 43" xfId="1725" xr:uid="{D7AFF410-EE10-4FAD-8D5E-B63C353AB981}"/>
    <cellStyle name="Buena 44" xfId="1726" xr:uid="{9B392EA9-177A-498A-8384-1EAA5D018CFE}"/>
    <cellStyle name="Buena 45" xfId="1727" xr:uid="{6BDEEEB6-B907-4425-A5D4-83F95520BF03}"/>
    <cellStyle name="Buena 46" xfId="1728" xr:uid="{F22680B6-5EBB-4BD9-B1DF-CA06E19E8B5C}"/>
    <cellStyle name="Buena 47" xfId="1729" xr:uid="{F4EA260A-2D9F-480F-87C2-0471D714C65B}"/>
    <cellStyle name="Buena 48" xfId="1730" xr:uid="{AE54EE15-64A5-4682-87B5-46B40F9218FC}"/>
    <cellStyle name="Buena 49" xfId="1731" xr:uid="{A43E87C3-CC42-4496-8125-715D9B5D7D32}"/>
    <cellStyle name="Buena 5" xfId="337" xr:uid="{02F5C452-3667-4ABE-80EA-A04B38D5AF99}"/>
    <cellStyle name="Buena 5 2" xfId="11552" xr:uid="{C268A612-3849-4ACC-A4C5-607CE8A6B646}"/>
    <cellStyle name="Buena 50" xfId="1732" xr:uid="{E66A636C-6F95-4374-8393-35CA6AE45B47}"/>
    <cellStyle name="Buena 51" xfId="1733" xr:uid="{4302EDF8-8AEC-4583-973E-C184553517FF}"/>
    <cellStyle name="Buena 52" xfId="1734" xr:uid="{7EB0B125-EA10-4763-B116-D8139109D596}"/>
    <cellStyle name="Buena 53" xfId="1735" xr:uid="{5CD4A1CB-5534-4563-95D8-D79ED6870ECE}"/>
    <cellStyle name="Buena 54" xfId="1736" xr:uid="{99BB84D5-9905-4245-A609-6E7CB591521D}"/>
    <cellStyle name="Buena 55" xfId="1737" xr:uid="{0A41E79E-FDBB-4028-8060-6BA05E57C239}"/>
    <cellStyle name="Buena 56" xfId="1738" xr:uid="{84C6E678-B845-41AF-8D05-A891CCE23CA0}"/>
    <cellStyle name="Buena 57" xfId="1739" xr:uid="{A13DD729-B968-4710-95EE-0C339EFE0EA8}"/>
    <cellStyle name="Buena 58" xfId="1740" xr:uid="{B6372CE6-43DF-4516-A60F-5CB6B6605546}"/>
    <cellStyle name="Buena 59" xfId="1741" xr:uid="{E954E682-B3E3-4B6D-B85F-72F3DBC23B49}"/>
    <cellStyle name="Buena 6" xfId="338" xr:uid="{756C5975-D3A0-4897-AC9B-A68A27F61016}"/>
    <cellStyle name="Buena 6 2" xfId="13352" xr:uid="{78195778-CA85-4B5D-8928-5377F76C3BFF}"/>
    <cellStyle name="Buena 60" xfId="1742" xr:uid="{422A66D0-969E-4C8F-849F-161E07099295}"/>
    <cellStyle name="Buena 61" xfId="1743" xr:uid="{89B46D66-5ECB-496F-9ABB-1C909044B58F}"/>
    <cellStyle name="Buena 62" xfId="1744" xr:uid="{8E108956-B8F4-459B-B2F4-7AB517795D8E}"/>
    <cellStyle name="Buena 63" xfId="1745" xr:uid="{58E89A96-F4AE-4771-ACBF-53C722F42C65}"/>
    <cellStyle name="Buena 64" xfId="1746" xr:uid="{98B07D16-BAB6-4B73-84C2-DCED835189C3}"/>
    <cellStyle name="Buena 65" xfId="1747" xr:uid="{A7260A94-BF0A-4D81-99FD-D762922F998E}"/>
    <cellStyle name="Buena 66" xfId="1748" xr:uid="{65CA142F-277A-4AF5-8C56-6F0E8EA7E5D1}"/>
    <cellStyle name="Buena 67" xfId="1749" xr:uid="{088523D3-7EF7-4DC8-81F6-F1C33FF85938}"/>
    <cellStyle name="Buena 68" xfId="515" xr:uid="{844D3E4B-77C1-4819-A8A7-7FE95DFE04AE}"/>
    <cellStyle name="Buena 7" xfId="339" xr:uid="{B3C78345-ECF9-43D6-9605-11A1389AD451}"/>
    <cellStyle name="Buena 8" xfId="1750" xr:uid="{F46AD0C9-8A7B-4720-8275-91B370883B53}"/>
    <cellStyle name="Buena 9" xfId="1751" xr:uid="{3F25027D-4D54-42D1-910E-65C0A81DEC55}"/>
    <cellStyle name="Calculation" xfId="12447" xr:uid="{97D7585D-B0C1-4166-B88C-469DCFCDA3A2}"/>
    <cellStyle name="Calculation 10" xfId="13525" xr:uid="{26D3D58F-A40F-4715-B4EB-E297FA84387D}"/>
    <cellStyle name="Calculation 11" xfId="12448" xr:uid="{CC4E16E8-1C6D-4427-A013-3F4D1485C369}"/>
    <cellStyle name="Calculation 12" xfId="11553" xr:uid="{2F71AA38-F914-4A58-AE5A-48B6F881B5A3}"/>
    <cellStyle name="Calculation 13" xfId="13182" xr:uid="{28C2A9FB-BB16-48EA-B724-C853612CB653}"/>
    <cellStyle name="Calculation 14" xfId="13755" xr:uid="{7DE41F2B-8E71-47EC-860C-6F4272494CB0}"/>
    <cellStyle name="Calculation 15" xfId="13980" xr:uid="{817D8BE5-A0C4-40EC-9183-715F77CFD73E}"/>
    <cellStyle name="Calculation 16" xfId="11554" xr:uid="{EB5CBF76-A861-4C6D-9FFB-CEA88074C74E}"/>
    <cellStyle name="Calculation 17" xfId="11218" xr:uid="{A70F7A72-61B6-4BB5-A918-9FDF04492A72}"/>
    <cellStyle name="Calculation 18" xfId="12522" xr:uid="{2B89D791-FC32-4779-8428-F0AD7D85249E}"/>
    <cellStyle name="Calculation 19" xfId="11555" xr:uid="{8ACA456F-F5EE-41B3-B277-BC8232679FC1}"/>
    <cellStyle name="Calculation 2" xfId="11556" xr:uid="{E5161E18-A0B5-4867-847A-B66C5DE7ED5D}"/>
    <cellStyle name="Calculation 20" xfId="13253" xr:uid="{A0164D76-24B7-4D82-BEA1-0BDF5F41CC75}"/>
    <cellStyle name="Calculation 21" xfId="13651" xr:uid="{1DC70B83-E58D-4D30-A868-F79C5A2AC728}"/>
    <cellStyle name="Calculation 22" xfId="13981" xr:uid="{137945BF-47A5-448E-A462-F329EF58C682}"/>
    <cellStyle name="Calculation 23" xfId="11557" xr:uid="{493F4E69-FF02-41F8-BBBE-23FAFF5ACA0E}"/>
    <cellStyle name="Calculation 3" xfId="13423" xr:uid="{4D05D87A-A263-4DAE-A4EC-81CA618308DA}"/>
    <cellStyle name="Calculation 4" xfId="11015" xr:uid="{2A39BBB6-BA3B-4760-92EB-14464048FDF5}"/>
    <cellStyle name="Calculation 5" xfId="11466" xr:uid="{AF9007E4-65E9-4C56-83F2-74A9944014C4}"/>
    <cellStyle name="Calculation 6" xfId="11558" xr:uid="{92547970-15E2-451D-82AC-1358FFAB5F29}"/>
    <cellStyle name="Calculation 7" xfId="13076" xr:uid="{20F7C2E8-7133-4F61-B867-0FCC9BDB0611}"/>
    <cellStyle name="Calculation 8" xfId="11203" xr:uid="{8B5427A6-5506-4C77-A0CF-E2218CB2E53E}"/>
    <cellStyle name="Calculation 9" xfId="13593" xr:uid="{1ABEE272-FD1F-4713-8CFF-65C4B0977B97}"/>
    <cellStyle name="Cálculo 10" xfId="1752" xr:uid="{199790EE-150E-4F3F-8023-40B5992BE1D1}"/>
    <cellStyle name="Cálculo 10 2" xfId="3555" xr:uid="{BDE8E1FC-2ED8-4BEF-A84B-C7012031E72E}"/>
    <cellStyle name="Cálculo 10 3" xfId="3556" xr:uid="{79352A09-8FDD-4F1B-BDC3-F7C67DA49568}"/>
    <cellStyle name="Cálculo 10 4" xfId="3557" xr:uid="{1BEF9E8F-02B1-4328-96DB-A3AC1369DBA1}"/>
    <cellStyle name="Cálculo 10 5" xfId="3558" xr:uid="{A0D45CE1-DD21-48E0-BC60-542DF13BB3FF}"/>
    <cellStyle name="Cálculo 10 6" xfId="3559" xr:uid="{E7C747D9-AA57-4F29-B612-21D05C79C09A}"/>
    <cellStyle name="Cálculo 10 7" xfId="3560" xr:uid="{B7427340-1E69-4CA1-B055-88CBF676A49C}"/>
    <cellStyle name="Cálculo 11" xfId="1753" xr:uid="{371F5EC1-9375-4660-9F61-32B7BFE25BFA}"/>
    <cellStyle name="Cálculo 11 2" xfId="3561" xr:uid="{5BA337A8-03DB-4599-9062-999A8CAFAEFF}"/>
    <cellStyle name="Cálculo 11 3" xfId="3562" xr:uid="{BCF4D8AF-C50D-4212-8C63-84B17404C62A}"/>
    <cellStyle name="Cálculo 11 4" xfId="3563" xr:uid="{348EC279-F14B-44DD-9AC2-076BD8993648}"/>
    <cellStyle name="Cálculo 11 5" xfId="3564" xr:uid="{F10DDE75-E237-4BFB-A631-75B121A452C4}"/>
    <cellStyle name="Cálculo 11 6" xfId="3565" xr:uid="{400A6D50-AE0A-42EC-8451-C8E660E1A021}"/>
    <cellStyle name="Cálculo 11 7" xfId="3566" xr:uid="{1AC8CA41-CFB0-446E-AC1A-70D09F207DDA}"/>
    <cellStyle name="Cálculo 12" xfId="1754" xr:uid="{7980EB00-7D17-4AFD-9238-0F0194E2FABB}"/>
    <cellStyle name="Cálculo 12 2" xfId="3567" xr:uid="{E3711465-D229-4F7B-BDCF-D6A0E341A5C1}"/>
    <cellStyle name="Cálculo 12 3" xfId="3568" xr:uid="{FFDD6804-D715-483A-8D9D-E8B4A2AE925A}"/>
    <cellStyle name="Cálculo 12 4" xfId="3569" xr:uid="{074AA59E-F1E8-45BA-9C74-7CFC1E25B2DF}"/>
    <cellStyle name="Cálculo 12 5" xfId="3570" xr:uid="{8351F7EB-C0FC-4A48-A489-133BC88207EE}"/>
    <cellStyle name="Cálculo 12 6" xfId="3571" xr:uid="{49747E23-69C4-4494-A625-3F17C1509F45}"/>
    <cellStyle name="Cálculo 12 7" xfId="3572" xr:uid="{AF54BB47-1020-4096-A269-15CEAB4D9ED0}"/>
    <cellStyle name="Cálculo 13" xfId="1755" xr:uid="{7FA7913F-CF23-42B5-BEFE-24BCCBC5841A}"/>
    <cellStyle name="Cálculo 13 2" xfId="3573" xr:uid="{3A0758F1-A159-49D2-B8A0-1A56B612766D}"/>
    <cellStyle name="Cálculo 13 3" xfId="3574" xr:uid="{371ECBE9-ACD8-42A5-B1E4-4789BEEF8CAA}"/>
    <cellStyle name="Cálculo 13 4" xfId="3575" xr:uid="{5E463D8B-F86C-435B-930A-4CAF9485B0B2}"/>
    <cellStyle name="Cálculo 13 5" xfId="3576" xr:uid="{EF7922DD-AC87-4CCC-BF14-59C052E4A00A}"/>
    <cellStyle name="Cálculo 13 6" xfId="3577" xr:uid="{C56CD4A1-01A5-4282-9FBE-BA68B6F7247F}"/>
    <cellStyle name="Cálculo 13 7" xfId="3578" xr:uid="{1A5A45A7-1B5C-49B3-AA73-83B3352DFE27}"/>
    <cellStyle name="Cálculo 14" xfId="1756" xr:uid="{13C9B01C-43AB-4D8B-A97A-8D26CD7B52CC}"/>
    <cellStyle name="Cálculo 14 2" xfId="3579" xr:uid="{78B485B6-0896-45DE-A137-8D8671320292}"/>
    <cellStyle name="Cálculo 14 3" xfId="3580" xr:uid="{9566948B-08E5-4901-9A82-950D51B5FBD4}"/>
    <cellStyle name="Cálculo 14 4" xfId="3581" xr:uid="{6DC842C7-6153-464B-9FCF-41788724944A}"/>
    <cellStyle name="Cálculo 14 5" xfId="3582" xr:uid="{E0F55B85-F60F-4711-824B-0AB34EE89BE5}"/>
    <cellStyle name="Cálculo 14 6" xfId="3583" xr:uid="{878DC8F6-0467-49F7-B41A-B44FBD3B5798}"/>
    <cellStyle name="Cálculo 14 7" xfId="3584" xr:uid="{5D9C7813-2802-48EC-BC40-A8B9C8B6194E}"/>
    <cellStyle name="Cálculo 15" xfId="1757" xr:uid="{158D05F8-BE77-4658-814D-FDEC092E17C3}"/>
    <cellStyle name="Cálculo 15 2" xfId="3585" xr:uid="{F4F214D9-AE12-485B-97B0-8291D0FDA05E}"/>
    <cellStyle name="Cálculo 15 3" xfId="3586" xr:uid="{64AB12F8-3154-4886-BA75-017940B59399}"/>
    <cellStyle name="Cálculo 15 4" xfId="3587" xr:uid="{6C978F35-47C3-48FE-99C9-65EE5790452B}"/>
    <cellStyle name="Cálculo 15 5" xfId="3588" xr:uid="{2F15EA24-BD7C-427F-9C46-BA27F6EA909F}"/>
    <cellStyle name="Cálculo 15 6" xfId="3589" xr:uid="{FB6F48E9-2047-40E6-863F-4D898AF03C74}"/>
    <cellStyle name="Cálculo 15 7" xfId="3590" xr:uid="{9278236C-9A00-4ECA-B1F0-643D368BFDC5}"/>
    <cellStyle name="Cálculo 16" xfId="1758" xr:uid="{B8345865-1F7D-4292-A932-2CCC77E3CF85}"/>
    <cellStyle name="Cálculo 16 2" xfId="3591" xr:uid="{003FAA3A-9FE2-4BA3-A513-0129D4189C66}"/>
    <cellStyle name="Cálculo 16 3" xfId="3592" xr:uid="{9C44FB99-9C3C-4E21-A7F7-C45AA6621E18}"/>
    <cellStyle name="Cálculo 16 4" xfId="3593" xr:uid="{3CF2C1D5-11EB-4E7A-AB8C-88C8A763A35E}"/>
    <cellStyle name="Cálculo 16 5" xfId="3594" xr:uid="{A30D1D2E-0CF4-4F28-B24C-4DA743C5B032}"/>
    <cellStyle name="Cálculo 16 6" xfId="4299" xr:uid="{841C68F5-9E15-4BC2-9D72-85DD5A58E39F}"/>
    <cellStyle name="Cálculo 16 7" xfId="3595" xr:uid="{2F1A2880-5071-4782-809C-8F8885285DCB}"/>
    <cellStyle name="Cálculo 17" xfId="1759" xr:uid="{E79D6F00-0B97-40B1-A58A-7E9097B49F9F}"/>
    <cellStyle name="Cálculo 17 2" xfId="3596" xr:uid="{A4A66E2C-E73E-45BE-B4FD-08423CBEB804}"/>
    <cellStyle name="Cálculo 17 3" xfId="3597" xr:uid="{928B198F-290E-4975-A086-5E3706D6355B}"/>
    <cellStyle name="Cálculo 17 4" xfId="3598" xr:uid="{87DE3D3A-DCDA-40FF-A4CD-61C07CCD68E3}"/>
    <cellStyle name="Cálculo 17 5" xfId="3599" xr:uid="{BC68A7B4-09A4-4028-A9B0-D42D5002025B}"/>
    <cellStyle name="Cálculo 17 6" xfId="3600" xr:uid="{9431B59C-337D-4E8F-A818-23C9CB75F5A5}"/>
    <cellStyle name="Cálculo 17 7" xfId="3601" xr:uid="{45DDD0B4-7BCF-4F16-9EE0-2FC1B3E05997}"/>
    <cellStyle name="Cálculo 18" xfId="1760" xr:uid="{658B632C-B41E-4567-8F37-3D74593AFDD2}"/>
    <cellStyle name="Cálculo 18 2" xfId="3602" xr:uid="{57D859D1-1724-462D-BBF8-B0E4F56584E6}"/>
    <cellStyle name="Cálculo 18 3" xfId="3603" xr:uid="{7A9F179A-F0F6-4679-A592-06242E710ADF}"/>
    <cellStyle name="Cálculo 18 4" xfId="3604" xr:uid="{0640B680-9D84-4047-99B8-361D50102F63}"/>
    <cellStyle name="Cálculo 18 5" xfId="3605" xr:uid="{3243FAC9-3A96-481F-A2FC-4DC35EFB73EF}"/>
    <cellStyle name="Cálculo 18 6" xfId="3606" xr:uid="{F57AB754-B5CF-4C06-A57C-66FD4FFBCD89}"/>
    <cellStyle name="Cálculo 18 7" xfId="3607" xr:uid="{1FD8FB4E-6E6C-4E16-A19A-09D9261D11B8}"/>
    <cellStyle name="Cálculo 19" xfId="1761" xr:uid="{483CDA7D-DC08-44FF-AC5D-8CE795E0B99C}"/>
    <cellStyle name="Cálculo 19 2" xfId="3608" xr:uid="{CAB953D3-48CD-4884-9B2A-570D1BBF673C}"/>
    <cellStyle name="Cálculo 19 3" xfId="3532" xr:uid="{EDFC7654-D769-4B0F-AA9F-A46C9D10E87D}"/>
    <cellStyle name="Cálculo 19 4" xfId="3609" xr:uid="{FB4EAA05-7687-473B-A846-09F1795981B2}"/>
    <cellStyle name="Cálculo 19 5" xfId="3610" xr:uid="{752E0D9B-DA46-4A9C-B9F1-AE8FFF039CD3}"/>
    <cellStyle name="Cálculo 19 6" xfId="3611" xr:uid="{4DDBCF9E-7870-4ACC-B576-249F6A24C149}"/>
    <cellStyle name="Cálculo 19 7" xfId="3612" xr:uid="{FE001856-13B5-48BB-B62F-1F3D99CCE5FC}"/>
    <cellStyle name="Cálculo 2" xfId="29" xr:uid="{44D33550-E84E-4D5E-99EB-07E8C8DAC999}"/>
    <cellStyle name="Cálculo 2 10" xfId="3613" xr:uid="{95B5101F-7FE8-4958-B599-C682F0FF1761}"/>
    <cellStyle name="Cálculo 2 11" xfId="3614" xr:uid="{976D5721-11CB-45E6-B80F-ACB54AFC10AE}"/>
    <cellStyle name="Cálculo 2 12" xfId="13826" xr:uid="{DDC7F7CC-7066-4D99-AC6F-4438506BE449}"/>
    <cellStyle name="Cálculo 2 2" xfId="1762" xr:uid="{561022D2-F159-4053-AD24-388ADBC3E8A1}"/>
    <cellStyle name="Cálculo 2 2 2" xfId="3615" xr:uid="{06192C59-EB0C-482F-8095-A291AD586231}"/>
    <cellStyle name="Cálculo 2 2 3" xfId="3616" xr:uid="{140CEAFA-5C9E-4AFC-BEFC-85522B60FAC9}"/>
    <cellStyle name="Cálculo 2 2 4" xfId="3617" xr:uid="{5A3D7753-5A84-4029-AF50-090B894659F1}"/>
    <cellStyle name="Cálculo 2 2 5" xfId="3618" xr:uid="{975EC873-2150-4A40-9BFF-93FAE8ADEF48}"/>
    <cellStyle name="Cálculo 2 2 6" xfId="3619" xr:uid="{9EABEBE9-8F14-448B-A88F-E13C1906552D}"/>
    <cellStyle name="Cálculo 2 2 7" xfId="3620" xr:uid="{DD015227-C10C-43E0-BF20-7B68E23C2CC8}"/>
    <cellStyle name="Cálculo 2 3" xfId="1763" xr:uid="{7CF905F7-B770-41F6-B415-738AEFD10D37}"/>
    <cellStyle name="Cálculo 2 3 2" xfId="3621" xr:uid="{74FE74A8-693B-4B7C-92CE-23B5580378A1}"/>
    <cellStyle name="Cálculo 2 3 3" xfId="3622" xr:uid="{56D1F86F-F76E-4D10-9069-1BABFBADDFCA}"/>
    <cellStyle name="Cálculo 2 3 4" xfId="3623" xr:uid="{68BCAA4A-02A2-4AA3-AC82-571655E63F32}"/>
    <cellStyle name="Cálculo 2 3 5" xfId="3624" xr:uid="{3C1B252C-C13C-4AD2-A4CE-9D7FA80E7B56}"/>
    <cellStyle name="Cálculo 2 3 6" xfId="3625" xr:uid="{7BC6E703-F728-4440-B7B4-B24C6F408F5C}"/>
    <cellStyle name="Cálculo 2 3 7" xfId="3626" xr:uid="{97CF747A-7570-46F4-AFED-F568C0928EF8}"/>
    <cellStyle name="Cálculo 2 4" xfId="1764" xr:uid="{D51E29EB-5C2E-4E67-85A1-F4399419FD2B}"/>
    <cellStyle name="Cálculo 2 4 2" xfId="3627" xr:uid="{CAB0B362-EBE0-4F78-917D-5CF0C1E6AF09}"/>
    <cellStyle name="Cálculo 2 4 3" xfId="3628" xr:uid="{CF818B73-A3B4-479C-8EEE-0FDA3F8E9D82}"/>
    <cellStyle name="Cálculo 2 4 4" xfId="3629" xr:uid="{AA574379-F5A5-4CFC-88CD-139B3B169FC0}"/>
    <cellStyle name="Cálculo 2 4 5" xfId="3630" xr:uid="{93D18336-F5F8-4A0D-8B75-AFC881695D67}"/>
    <cellStyle name="Cálculo 2 4 6" xfId="3631" xr:uid="{1FB93B05-346C-40B7-88B0-4CCC23833F21}"/>
    <cellStyle name="Cálculo 2 4 7" xfId="3632" xr:uid="{4E85A2F4-E22B-499B-9702-F5F88D0FF144}"/>
    <cellStyle name="Cálculo 2 5" xfId="1765" xr:uid="{E4702B69-6817-40CB-8962-F66F3585E9E3}"/>
    <cellStyle name="Cálculo 2 5 2" xfId="3633" xr:uid="{51955DE9-4618-4D66-9AF4-28C40F72B346}"/>
    <cellStyle name="Cálculo 2 5 3" xfId="3634" xr:uid="{50B615AC-7ACF-4C9D-ACD0-615C6706A2F4}"/>
    <cellStyle name="Cálculo 2 5 4" xfId="3635" xr:uid="{88D0CFA3-D842-48BB-88F3-95656D506E2B}"/>
    <cellStyle name="Cálculo 2 5 5" xfId="3636" xr:uid="{3F0E4DA0-EB12-435C-9CAD-3668F8203B04}"/>
    <cellStyle name="Cálculo 2 5 6" xfId="3637" xr:uid="{9533BEAC-F889-4759-A2E8-A6B010BBBD37}"/>
    <cellStyle name="Cálculo 2 5 7" xfId="3638" xr:uid="{03F383BC-CEDD-4C95-BFD1-1BA4FFED5617}"/>
    <cellStyle name="Cálculo 2 6" xfId="3639" xr:uid="{DF110FE0-AB80-461E-AF00-C13E75922EFC}"/>
    <cellStyle name="Cálculo 2 7" xfId="3640" xr:uid="{92094503-2D0A-4C25-943B-E43E39434246}"/>
    <cellStyle name="Cálculo 2 8" xfId="3641" xr:uid="{8079860E-1BDB-45FB-933A-14BA3BBF4253}"/>
    <cellStyle name="Cálculo 2 9" xfId="3642" xr:uid="{136FC98B-7116-4182-B132-EBD1F7FC6130}"/>
    <cellStyle name="Cálculo 20" xfId="1766" xr:uid="{9A00AB43-0A54-4C04-91E8-12A65EDC7277}"/>
    <cellStyle name="Cálculo 20 2" xfId="3643" xr:uid="{2AFCF441-BB1D-4C8C-8E56-0C1B7B5017F4}"/>
    <cellStyle name="Cálculo 20 3" xfId="3644" xr:uid="{137657CE-2EE5-4A64-8813-1B54D955882B}"/>
    <cellStyle name="Cálculo 20 4" xfId="3645" xr:uid="{F156C084-C396-4644-9679-CBAD7A87B030}"/>
    <cellStyle name="Cálculo 20 5" xfId="3646" xr:uid="{3CE26D82-3BA0-4959-93CE-06102C3C2161}"/>
    <cellStyle name="Cálculo 20 6" xfId="3647" xr:uid="{A1316A1C-A982-463E-9DDE-09AAC9B1C20E}"/>
    <cellStyle name="Cálculo 20 7" xfId="3648" xr:uid="{C8D6131D-88E8-4DC4-BA26-47C98FD11AAF}"/>
    <cellStyle name="Cálculo 21" xfId="1767" xr:uid="{45C3274D-B340-488F-96FB-3533F7AC9BEA}"/>
    <cellStyle name="Cálculo 21 2" xfId="3649" xr:uid="{42642C5D-EED6-43E1-9E50-6ECD926BB877}"/>
    <cellStyle name="Cálculo 21 3" xfId="3650" xr:uid="{EDDF2D05-6F10-4D68-9B00-627808F0E828}"/>
    <cellStyle name="Cálculo 21 4" xfId="4312" xr:uid="{66E344E9-2DB9-4753-B904-EA3911DFAB58}"/>
    <cellStyle name="Cálculo 21 5" xfId="4300" xr:uid="{1447E9A3-CD61-4994-8386-7A5D0C8B88AF}"/>
    <cellStyle name="Cálculo 21 6" xfId="4313" xr:uid="{ED8587B2-1958-409A-8666-B3ADA5B8EFD9}"/>
    <cellStyle name="Cálculo 21 7" xfId="3651" xr:uid="{415F4B09-E249-49A9-A85D-8C7D7FC401B4}"/>
    <cellStyle name="Cálculo 22" xfId="1768" xr:uid="{A7EB7FB8-A761-4E63-9A48-08FFEF49519F}"/>
    <cellStyle name="Cálculo 22 2" xfId="3652" xr:uid="{1FBD1547-537E-4D43-BEA8-11B9D8B87F68}"/>
    <cellStyle name="Cálculo 22 3" xfId="4301" xr:uid="{B411A857-2B86-4498-86DE-963D46D2B114}"/>
    <cellStyle name="Cálculo 22 4" xfId="3653" xr:uid="{1C132B65-FA5F-4448-8396-4737F9697FCD}"/>
    <cellStyle name="Cálculo 22 5" xfId="3654" xr:uid="{C4DCD93C-AB52-490E-80D7-38EB76BD8498}"/>
    <cellStyle name="Cálculo 22 6" xfId="3655" xr:uid="{AB86F34F-F0E7-4EBF-8DFE-B343B9445690}"/>
    <cellStyle name="Cálculo 22 7" xfId="3656" xr:uid="{CB69AFB3-E063-40F6-A5A1-4A5BC402392C}"/>
    <cellStyle name="Cálculo 23" xfId="1769" xr:uid="{334004F5-858E-465C-BCC3-EA06CC524557}"/>
    <cellStyle name="Cálculo 23 2" xfId="3657" xr:uid="{CDA47E7E-7434-43D0-9FE5-A8DA06029C8D}"/>
    <cellStyle name="Cálculo 23 3" xfId="3658" xr:uid="{9E6F3B5B-734A-4409-89FA-8F64C3565282}"/>
    <cellStyle name="Cálculo 23 4" xfId="3659" xr:uid="{6EE7FBD0-12E9-41C1-B566-6F7EB870CD88}"/>
    <cellStyle name="Cálculo 23 5" xfId="3660" xr:uid="{415FA2DF-F400-4E74-A392-CE41450FF612}"/>
    <cellStyle name="Cálculo 23 6" xfId="3661" xr:uid="{1F84789C-D501-4EAA-A902-0109A9D7ED7D}"/>
    <cellStyle name="Cálculo 23 7" xfId="3662" xr:uid="{04A257A3-B3DB-483A-803A-78B6C131DC64}"/>
    <cellStyle name="Cálculo 24" xfId="1770" xr:uid="{CEBEF6E7-F5FC-41CF-B44C-D7C383DBB0BF}"/>
    <cellStyle name="Cálculo 24 2" xfId="3663" xr:uid="{E09DFCE5-5AAD-497E-89A1-7431A36AF3C7}"/>
    <cellStyle name="Cálculo 24 3" xfId="3664" xr:uid="{2B417DE9-E149-4366-8046-881EB134D046}"/>
    <cellStyle name="Cálculo 24 4" xfId="3665" xr:uid="{8441B52F-FF98-449C-8E36-EC779C89F15F}"/>
    <cellStyle name="Cálculo 24 5" xfId="3666" xr:uid="{93E309DA-36E1-4619-B2AF-89F24092CFCC}"/>
    <cellStyle name="Cálculo 24 6" xfId="3667" xr:uid="{786130A6-BA4F-4576-9AF7-1FA74D12D783}"/>
    <cellStyle name="Cálculo 24 7" xfId="3668" xr:uid="{9A445724-7674-4632-A51E-E8A618355994}"/>
    <cellStyle name="Cálculo 25" xfId="1771" xr:uid="{0F047169-256A-40C7-BF9D-F1B7DB7AA3C0}"/>
    <cellStyle name="Cálculo 25 2" xfId="3669" xr:uid="{67447169-05AE-4584-BF46-DC4A96071175}"/>
    <cellStyle name="Cálculo 25 3" xfId="3670" xr:uid="{0A86639D-A674-4C9C-8FB4-2925C9C321E3}"/>
    <cellStyle name="Cálculo 25 4" xfId="3671" xr:uid="{784B1667-89C9-4F56-A324-0E4CC892E47F}"/>
    <cellStyle name="Cálculo 25 5" xfId="3672" xr:uid="{E2B6C3F2-9E63-40D4-A8FD-93E4A30A179A}"/>
    <cellStyle name="Cálculo 25 6" xfId="3673" xr:uid="{D2AAAA96-1581-4C3D-8632-C6B354EAF8CB}"/>
    <cellStyle name="Cálculo 25 7" xfId="3674" xr:uid="{314E92BC-E300-44D2-BA74-EB1360830ED6}"/>
    <cellStyle name="Cálculo 26" xfId="1772" xr:uid="{675B9B98-C16C-4E92-8560-840F0FA44CEB}"/>
    <cellStyle name="Cálculo 26 2" xfId="3675" xr:uid="{47FC38F6-D4C8-4967-AFFE-70D0412DC778}"/>
    <cellStyle name="Cálculo 26 3" xfId="3676" xr:uid="{2B3A5A06-E516-4294-8873-3946607085D3}"/>
    <cellStyle name="Cálculo 26 4" xfId="3677" xr:uid="{B9129D31-B7E4-4C3E-9249-BA155108168D}"/>
    <cellStyle name="Cálculo 26 5" xfId="3678" xr:uid="{1E11D4D4-2620-49F1-8429-AFB8A5608D05}"/>
    <cellStyle name="Cálculo 26 6" xfId="3679" xr:uid="{B5847E04-9309-4325-BBD0-759E35BFE9DF}"/>
    <cellStyle name="Cálculo 26 7" xfId="3680" xr:uid="{1DCF751E-D770-48AB-858F-9A90123F3923}"/>
    <cellStyle name="Cálculo 27" xfId="1773" xr:uid="{6556921A-7CB7-4A5F-B95B-BF11F4CCCA54}"/>
    <cellStyle name="Cálculo 27 2" xfId="3681" xr:uid="{719A524D-2E7F-4BD8-B322-F450CA32BFD8}"/>
    <cellStyle name="Cálculo 27 3" xfId="3682" xr:uid="{7F927EB4-FC45-4CF3-B417-F00D85D73BAA}"/>
    <cellStyle name="Cálculo 27 4" xfId="3683" xr:uid="{F1580266-0454-4A40-91D5-34DF76272DAC}"/>
    <cellStyle name="Cálculo 27 5" xfId="3684" xr:uid="{B5FCC4AD-506C-4E02-93CD-82FCC58CA77D}"/>
    <cellStyle name="Cálculo 27 6" xfId="3685" xr:uid="{9DDDE6BD-079A-4B52-9B8C-81BDDDC70466}"/>
    <cellStyle name="Cálculo 27 7" xfId="3686" xr:uid="{1DEF4981-D7E8-4D6E-9844-7FF4F760EEB2}"/>
    <cellStyle name="Cálculo 28" xfId="1774" xr:uid="{8C16B87C-305E-4175-B581-5D8A20BF3CFC}"/>
    <cellStyle name="Cálculo 28 2" xfId="3687" xr:uid="{5575F6AD-6E54-42C5-9FF8-2410627571F8}"/>
    <cellStyle name="Cálculo 28 3" xfId="3688" xr:uid="{3400A320-8045-407C-91A9-4DCF54A98856}"/>
    <cellStyle name="Cálculo 28 4" xfId="3689" xr:uid="{DAA7D7B0-B032-4A94-8A78-C4268FF2B5ED}"/>
    <cellStyle name="Cálculo 28 5" xfId="3690" xr:uid="{481A5D56-41C8-469B-A612-1D5567BDBE3E}"/>
    <cellStyle name="Cálculo 28 6" xfId="3691" xr:uid="{AA25A3EC-37BE-487A-8D2C-B00C76F0EEEA}"/>
    <cellStyle name="Cálculo 28 7" xfId="3692" xr:uid="{47F67161-AD48-4BA8-B5FD-9791F49E2144}"/>
    <cellStyle name="Cálculo 29" xfId="1775" xr:uid="{E54038C9-A777-4B01-8E3F-1CE9431F1E46}"/>
    <cellStyle name="Cálculo 29 2" xfId="3693" xr:uid="{2FC78FAC-25E2-479B-A017-C367B94812BE}"/>
    <cellStyle name="Cálculo 29 3" xfId="3694" xr:uid="{F667CF2C-94B3-4B68-A338-DF8DA476A0E5}"/>
    <cellStyle name="Cálculo 29 4" xfId="3695" xr:uid="{0D6F4161-4E4C-4BC8-88FA-ADDCAF3BE276}"/>
    <cellStyle name="Cálculo 29 5" xfId="3696" xr:uid="{23AF9F01-099D-4906-82A1-056174481771}"/>
    <cellStyle name="Cálculo 29 6" xfId="3697" xr:uid="{E438F9E0-6E43-445B-974F-3C67AF21A499}"/>
    <cellStyle name="Cálculo 29 7" xfId="3698" xr:uid="{7DE7ECC3-B552-40CC-929B-421605D41FA3}"/>
    <cellStyle name="Cálculo 3" xfId="340" xr:uid="{1EE530E9-8895-4C5C-9B9C-C473FD9A9829}"/>
    <cellStyle name="Cálculo 3 2" xfId="3699" xr:uid="{8CC725A4-4A92-4000-96CD-91FA631006C7}"/>
    <cellStyle name="Cálculo 3 3" xfId="3700" xr:uid="{69720EB6-6977-4BC5-93A6-4257C6A1A467}"/>
    <cellStyle name="Cálculo 3 4" xfId="3701" xr:uid="{836A4347-67F1-4831-9008-3029D022A1FE}"/>
    <cellStyle name="Cálculo 3 5" xfId="3702" xr:uid="{AB7B5C03-59C7-4CEB-AA6E-087E9B0EAEAC}"/>
    <cellStyle name="Cálculo 3 6" xfId="3703" xr:uid="{0503592A-5C47-49A1-B269-DB1E14F25BDD}"/>
    <cellStyle name="Cálculo 3 7" xfId="3704" xr:uid="{FE2FC3E9-7D31-47B5-BF9E-26F3718323E8}"/>
    <cellStyle name="Cálculo 3 8" xfId="11204" xr:uid="{88653FE0-3881-4E5A-B1D0-640F4477F32C}"/>
    <cellStyle name="Cálculo 30" xfId="1776" xr:uid="{BB8628B1-4B9D-464E-BE69-B5EC1BE8BAFB}"/>
    <cellStyle name="Cálculo 30 2" xfId="3705" xr:uid="{A9EF9E01-5E79-497D-AD65-68BBCFC6EF15}"/>
    <cellStyle name="Cálculo 30 3" xfId="3706" xr:uid="{7D3988EF-7894-49B0-A3B4-7D74A3E33F7E}"/>
    <cellStyle name="Cálculo 30 4" xfId="3707" xr:uid="{76598AF8-C364-4D1C-9041-C81BAD810D06}"/>
    <cellStyle name="Cálculo 30 5" xfId="3708" xr:uid="{B2C2A7D5-33D3-4CDB-9446-28250E40AE01}"/>
    <cellStyle name="Cálculo 30 6" xfId="3709" xr:uid="{5F8B46D3-D04B-4618-9FE3-66C1B1BF7A20}"/>
    <cellStyle name="Cálculo 30 7" xfId="3710" xr:uid="{102CF52B-6943-41A7-91E0-6CBD0AE111BB}"/>
    <cellStyle name="Cálculo 31" xfId="1777" xr:uid="{321283A2-03DD-45CC-9687-9642A2E623A4}"/>
    <cellStyle name="Cálculo 31 2" xfId="3711" xr:uid="{7764F2C7-0303-4B89-A5A8-C262C7780C1F}"/>
    <cellStyle name="Cálculo 31 3" xfId="3712" xr:uid="{C0B9A462-5A70-481A-A931-D0128E99294D}"/>
    <cellStyle name="Cálculo 31 4" xfId="4302" xr:uid="{4CB2EE69-167A-487A-B9EB-2101EA3FC172}"/>
    <cellStyle name="Cálculo 31 5" xfId="3713" xr:uid="{3F7F444E-F347-4E68-83D5-BB9CF4DAA01F}"/>
    <cellStyle name="Cálculo 31 6" xfId="3714" xr:uid="{C0E4783A-5F5E-4175-9734-5A5D889FB2D1}"/>
    <cellStyle name="Cálculo 31 7" xfId="3715" xr:uid="{88D2EE18-5E3D-4F8D-8333-F81E7261FEE2}"/>
    <cellStyle name="Cálculo 32" xfId="1778" xr:uid="{5383F32A-5410-4AFE-B259-27CE6FB37CAE}"/>
    <cellStyle name="Cálculo 32 2" xfId="3716" xr:uid="{8A83CE96-6593-4A12-9D3A-5C7094F2BFC9}"/>
    <cellStyle name="Cálculo 32 3" xfId="3717" xr:uid="{1D1B26B9-EDBF-4D26-AF31-50CC80BF00A2}"/>
    <cellStyle name="Cálculo 32 4" xfId="3718" xr:uid="{902BF097-E0A8-4459-AE86-3FB36CB49538}"/>
    <cellStyle name="Cálculo 32 5" xfId="3719" xr:uid="{3B17B174-56E1-444C-A3CE-C34E62D8EBEF}"/>
    <cellStyle name="Cálculo 32 6" xfId="3720" xr:uid="{D1B39602-FF11-435C-ABE7-BD67562C99A6}"/>
    <cellStyle name="Cálculo 32 7" xfId="3721" xr:uid="{29AD556E-EAEF-4892-AE13-1CB3DF19E2D4}"/>
    <cellStyle name="Cálculo 33" xfId="1779" xr:uid="{ED3C5A04-98F6-4D90-80B4-F081ADFE62B7}"/>
    <cellStyle name="Cálculo 33 2" xfId="3722" xr:uid="{D1576C0F-B01D-4B20-B50C-EC3EAE707DD7}"/>
    <cellStyle name="Cálculo 33 3" xfId="3723" xr:uid="{03018557-ABFB-447B-93CF-A7ECECB7002A}"/>
    <cellStyle name="Cálculo 33 4" xfId="3724" xr:uid="{3800F14A-F0BB-4E48-A8CC-0736BA4DA383}"/>
    <cellStyle name="Cálculo 33 5" xfId="3725" xr:uid="{F04853B5-1DBE-43FC-BAE9-163C34D7BCE8}"/>
    <cellStyle name="Cálculo 33 6" xfId="3726" xr:uid="{AE9D2B53-EEED-4399-99AD-EC515B0BCFCC}"/>
    <cellStyle name="Cálculo 33 7" xfId="3727" xr:uid="{5BC186AC-E82C-490E-B66C-637AD490204E}"/>
    <cellStyle name="Cálculo 34" xfId="1780" xr:uid="{CCC0A59E-5067-4A29-AAE8-A9243966FAD3}"/>
    <cellStyle name="Cálculo 34 2" xfId="3728" xr:uid="{E241EB4B-097E-4B64-9881-2C0289A35333}"/>
    <cellStyle name="Cálculo 34 3" xfId="3533" xr:uid="{91AAF3DB-1B60-47E4-A375-D925BBD0D592}"/>
    <cellStyle name="Cálculo 34 4" xfId="3729" xr:uid="{3CB3DF09-D0F1-42E2-9DE9-3302490DB2F7}"/>
    <cellStyle name="Cálculo 34 5" xfId="3730" xr:uid="{6E431C81-9167-4636-AE98-6AF78C2D1FBE}"/>
    <cellStyle name="Cálculo 34 6" xfId="3731" xr:uid="{37791FCB-3550-4911-A911-CD40B9D78A47}"/>
    <cellStyle name="Cálculo 34 7" xfId="3732" xr:uid="{3298B4A3-5982-4C85-958A-948123716999}"/>
    <cellStyle name="Cálculo 35" xfId="1781" xr:uid="{2D251FB8-C39D-4EE2-91BB-782F99CA7133}"/>
    <cellStyle name="Cálculo 35 2" xfId="3733" xr:uid="{A5714E72-41C9-4FE2-9CD5-3D11B1E5DF90}"/>
    <cellStyle name="Cálculo 35 3" xfId="3734" xr:uid="{F4A2949B-0748-4AB8-AF54-DBA81346DAAD}"/>
    <cellStyle name="Cálculo 35 4" xfId="3735" xr:uid="{9B365730-1C71-4ED8-941C-07991688773C}"/>
    <cellStyle name="Cálculo 35 5" xfId="3736" xr:uid="{9D2ADE09-AFFF-4BC7-BC53-D411CC7DE39E}"/>
    <cellStyle name="Cálculo 35 6" xfId="3737" xr:uid="{1C551DA4-5F14-4846-9CEF-5214C02EC434}"/>
    <cellStyle name="Cálculo 35 7" xfId="3738" xr:uid="{DCCF4774-1DF7-448E-8DD9-F8F2D199D07B}"/>
    <cellStyle name="Cálculo 36" xfId="1782" xr:uid="{8253C51D-B374-4E37-B327-E3F2805DBA53}"/>
    <cellStyle name="Cálculo 36 2" xfId="3739" xr:uid="{B033BD15-D07C-49A8-B709-4E20478A4BB9}"/>
    <cellStyle name="Cálculo 36 3" xfId="3740" xr:uid="{C0504D19-E077-437F-BA8F-CC0E952218B7}"/>
    <cellStyle name="Cálculo 36 4" xfId="3741" xr:uid="{4CDD303F-AC99-4B26-B15E-4384B69EA433}"/>
    <cellStyle name="Cálculo 36 5" xfId="3742" xr:uid="{01E08205-F74D-401D-BCB7-C0302B8E2CB7}"/>
    <cellStyle name="Cálculo 36 6" xfId="3743" xr:uid="{7C49F580-1C77-44E8-AF94-58F38B4A3298}"/>
    <cellStyle name="Cálculo 36 7" xfId="3744" xr:uid="{AECD7343-05BC-4557-A081-B76E1158E0CA}"/>
    <cellStyle name="Cálculo 37" xfId="1783" xr:uid="{71B25E49-22C6-44D9-9E01-977C8FE5EB82}"/>
    <cellStyle name="Cálculo 37 2" xfId="3745" xr:uid="{0BCDCE5D-F7C5-41E5-9F8C-675FAA9312FE}"/>
    <cellStyle name="Cálculo 37 3" xfId="3746" xr:uid="{4A9161C3-3DD4-4AE9-946A-09A2B2AEA272}"/>
    <cellStyle name="Cálculo 37 4" xfId="3747" xr:uid="{3324F95F-7A25-4A1C-A776-7DA52AE95CE0}"/>
    <cellStyle name="Cálculo 37 5" xfId="3748" xr:uid="{3DB2A4AE-6F52-4F4F-9DD8-7965392C8DED}"/>
    <cellStyle name="Cálculo 37 6" xfId="3749" xr:uid="{2D1AC341-5BBD-429C-A0FC-8394711A6BBF}"/>
    <cellStyle name="Cálculo 37 7" xfId="3750" xr:uid="{66DE807C-7D4E-47E0-B8F6-FD2A7C513FA5}"/>
    <cellStyle name="Cálculo 38" xfId="1784" xr:uid="{1BA60EF0-AB6B-4A13-83E7-97ECEADF43FD}"/>
    <cellStyle name="Cálculo 38 2" xfId="3751" xr:uid="{5845A795-1CF2-46D4-BB34-5F973F91C40F}"/>
    <cellStyle name="Cálculo 38 3" xfId="3752" xr:uid="{8582AC10-1136-48E5-AAA4-48698E1B2828}"/>
    <cellStyle name="Cálculo 38 4" xfId="3753" xr:uid="{F9F48695-95B0-4CEE-B58D-C5D4A41E58DA}"/>
    <cellStyle name="Cálculo 38 5" xfId="3754" xr:uid="{5C54C269-153D-40E7-9D62-2B097BC40648}"/>
    <cellStyle name="Cálculo 38 6" xfId="3755" xr:uid="{59A8DB7C-D7BC-41F0-A5F5-9EC49B611F97}"/>
    <cellStyle name="Cálculo 38 7" xfId="3756" xr:uid="{016EA581-8C53-4039-81E9-35AF5C0A5407}"/>
    <cellStyle name="Cálculo 39" xfId="1785" xr:uid="{A9DE503C-B55D-4F8C-A4A7-7BC23B52543C}"/>
    <cellStyle name="Cálculo 39 2" xfId="3757" xr:uid="{8E6C86D6-98D3-4E3B-9773-DC28249647F9}"/>
    <cellStyle name="Cálculo 39 3" xfId="3758" xr:uid="{8F229E9E-AE98-459B-AD7F-F3380CCC2771}"/>
    <cellStyle name="Cálculo 39 4" xfId="3759" xr:uid="{68E5FAC2-FA52-432D-B0D6-C6D9A74B05E1}"/>
    <cellStyle name="Cálculo 39 5" xfId="3760" xr:uid="{322A0147-C9F8-4AD2-94F9-86DDFF95CFE2}"/>
    <cellStyle name="Cálculo 39 6" xfId="3761" xr:uid="{918FDDC7-2711-4AC8-AE26-D1D785BAF2A0}"/>
    <cellStyle name="Cálculo 39 7" xfId="3762" xr:uid="{7ACD4534-42EF-4289-BE29-4038C1FDEE45}"/>
    <cellStyle name="Cálculo 4" xfId="341" xr:uid="{DC045283-6128-4C04-8357-B44343C400ED}"/>
    <cellStyle name="Cálculo 4 2" xfId="3763" xr:uid="{39E910CA-4134-4814-9A7C-950D6541F739}"/>
    <cellStyle name="Cálculo 4 3" xfId="3764" xr:uid="{B646C30B-194C-40BD-A7DE-2B198AEE3150}"/>
    <cellStyle name="Cálculo 4 4" xfId="3765" xr:uid="{627E09D7-D850-43D5-81A9-13F4F28CB6E8}"/>
    <cellStyle name="Cálculo 4 5" xfId="3766" xr:uid="{0CE9A4A8-F93F-45D8-8BBC-5E0A774B32C4}"/>
    <cellStyle name="Cálculo 4 6" xfId="3767" xr:uid="{E6787008-EA10-4958-8A91-3E03C7F9A343}"/>
    <cellStyle name="Cálculo 4 7" xfId="3768" xr:uid="{1FB186D0-CBC2-4E47-9DFB-0192C976490A}"/>
    <cellStyle name="Cálculo 4 8" xfId="13827" xr:uid="{B7918E4C-E109-4CBC-9C00-DAB330C06B91}"/>
    <cellStyle name="Cálculo 40" xfId="1786" xr:uid="{F732C0E4-A1B5-471E-890F-DB72A5F85A13}"/>
    <cellStyle name="Cálculo 40 2" xfId="3769" xr:uid="{0EE38649-B7FA-4BBB-98F3-1A27DD4EDD2F}"/>
    <cellStyle name="Cálculo 40 3" xfId="3770" xr:uid="{B355735B-51A1-4805-B4BA-768018190616}"/>
    <cellStyle name="Cálculo 40 4" xfId="3771" xr:uid="{171FCA91-2866-403C-B4E8-C1915AEA90F1}"/>
    <cellStyle name="Cálculo 40 5" xfId="4303" xr:uid="{A7518E3A-8A82-4CD8-8216-05A7201F515A}"/>
    <cellStyle name="Cálculo 40 6" xfId="3772" xr:uid="{E82E7D65-161B-44D8-A2BA-D32909492AEC}"/>
    <cellStyle name="Cálculo 40 7" xfId="3773" xr:uid="{88B82F3D-AFBF-457B-B973-CEFCB19315F5}"/>
    <cellStyle name="Cálculo 41" xfId="1787" xr:uid="{5B46B46B-D250-41CC-BD92-792EFF487867}"/>
    <cellStyle name="Cálculo 41 2" xfId="3774" xr:uid="{C076BDA4-FA32-4353-BF3D-BC3014BCECC0}"/>
    <cellStyle name="Cálculo 41 3" xfId="3775" xr:uid="{D42D4483-1AE3-43DF-922B-0A90F0841FA4}"/>
    <cellStyle name="Cálculo 41 4" xfId="3776" xr:uid="{60696025-AFD3-4599-84B3-DA36839F2D39}"/>
    <cellStyle name="Cálculo 41 5" xfId="3777" xr:uid="{58BC2104-D537-4D62-9D5C-B129A6C88245}"/>
    <cellStyle name="Cálculo 41 6" xfId="3778" xr:uid="{52B3D5FC-D81A-4E7B-857C-FEFE614B5415}"/>
    <cellStyle name="Cálculo 41 7" xfId="3779" xr:uid="{5532B152-1866-4501-90AA-3248E0E632E0}"/>
    <cellStyle name="Cálculo 42" xfId="1788" xr:uid="{98A77260-0476-4F5B-845B-2DCD4375D527}"/>
    <cellStyle name="Cálculo 42 2" xfId="3780" xr:uid="{A502A2C2-114A-4F5A-8E5C-F1CCA404A228}"/>
    <cellStyle name="Cálculo 42 3" xfId="3781" xr:uid="{1485ECA3-2D4E-4BB5-9C72-7B2D4F4FB837}"/>
    <cellStyle name="Cálculo 42 4" xfId="3782" xr:uid="{9069114E-ED06-4EE4-A34C-BBE21C725FE0}"/>
    <cellStyle name="Cálculo 42 5" xfId="3783" xr:uid="{7C66C016-21B3-4599-BBEB-96A9750BA311}"/>
    <cellStyle name="Cálculo 42 6" xfId="3784" xr:uid="{2539D995-E7CA-4261-977A-F120F637CEF0}"/>
    <cellStyle name="Cálculo 42 7" xfId="3785" xr:uid="{EDFF4C61-D8EC-45D3-A7D7-436806B5D2AD}"/>
    <cellStyle name="Cálculo 43" xfId="1789" xr:uid="{2001E907-42CC-4BF8-87D0-F2C6F38224B7}"/>
    <cellStyle name="Cálculo 43 2" xfId="3786" xr:uid="{3F7B0B0A-95B8-4D40-B069-132624FAA267}"/>
    <cellStyle name="Cálculo 43 3" xfId="3787" xr:uid="{6BF1F1C6-2B06-4627-8ABC-432DBD0E1C7D}"/>
    <cellStyle name="Cálculo 43 4" xfId="3788" xr:uid="{1047C409-9051-46CB-8BA9-CB559EBF961F}"/>
    <cellStyle name="Cálculo 43 5" xfId="3534" xr:uid="{159F9B93-F1DB-41A0-8391-229C41FC10B4}"/>
    <cellStyle name="Cálculo 43 6" xfId="3789" xr:uid="{647459B5-1B68-4ED1-819F-E418E3C4AF73}"/>
    <cellStyle name="Cálculo 43 7" xfId="3790" xr:uid="{1D1FABB6-C23E-4EEF-AEE1-F8AA2E3EB2A3}"/>
    <cellStyle name="Cálculo 44" xfId="1790" xr:uid="{25F55CF5-C152-4184-AC23-450A373A4315}"/>
    <cellStyle name="Cálculo 44 2" xfId="3791" xr:uid="{070D6275-141D-4D9B-89DE-043F82017E8F}"/>
    <cellStyle name="Cálculo 44 3" xfId="3792" xr:uid="{1107A9EE-8796-4829-9EB5-7569E77C5A08}"/>
    <cellStyle name="Cálculo 44 4" xfId="3793" xr:uid="{29D88D79-D99F-4B94-BA2A-506F74B51010}"/>
    <cellStyle name="Cálculo 44 5" xfId="3794" xr:uid="{7950AFA4-E009-44B7-8EF9-3B5E8C277326}"/>
    <cellStyle name="Cálculo 44 6" xfId="3795" xr:uid="{BA731FBC-20CD-4EAF-9407-DB00F762BBE7}"/>
    <cellStyle name="Cálculo 44 7" xfId="3796" xr:uid="{1F79E94F-B223-4B04-8D1F-CD225F71F106}"/>
    <cellStyle name="Cálculo 45" xfId="1791" xr:uid="{7D672B6B-FE6E-4C49-B9B9-1F7E56B8EA31}"/>
    <cellStyle name="Cálculo 45 2" xfId="3797" xr:uid="{63B5AE97-EFF3-4276-8F9A-5EDF1419F872}"/>
    <cellStyle name="Cálculo 45 3" xfId="3798" xr:uid="{4F433B16-F400-48CA-8736-98240B65BF3D}"/>
    <cellStyle name="Cálculo 45 4" xfId="3799" xr:uid="{A91F5642-F4C6-4163-AF44-2ABFC038B41A}"/>
    <cellStyle name="Cálculo 45 5" xfId="3800" xr:uid="{371AB54C-24EC-41C3-8E19-5EE8946ECE61}"/>
    <cellStyle name="Cálculo 45 6" xfId="3801" xr:uid="{B464E8D0-FEA7-4FCB-B723-68FB64AFE528}"/>
    <cellStyle name="Cálculo 45 7" xfId="3802" xr:uid="{7364EAC1-EF34-4733-86F3-9E4C64057328}"/>
    <cellStyle name="Cálculo 46" xfId="1792" xr:uid="{43057657-EA39-4AE3-ABB1-67977008A417}"/>
    <cellStyle name="Cálculo 46 2" xfId="3803" xr:uid="{C75B1FED-F4FA-4BAE-BBC0-BA797D346E9D}"/>
    <cellStyle name="Cálculo 46 3" xfId="3804" xr:uid="{7950BE43-454F-4440-8F8B-974E21DCC2AA}"/>
    <cellStyle name="Cálculo 46 4" xfId="3805" xr:uid="{6390C955-0A99-488A-9320-01D1257AF2EB}"/>
    <cellStyle name="Cálculo 46 5" xfId="3806" xr:uid="{6E09E63D-9C90-4729-A960-96A952E8992D}"/>
    <cellStyle name="Cálculo 46 6" xfId="3807" xr:uid="{D56284E9-8252-4120-B99E-3E1870E429B3}"/>
    <cellStyle name="Cálculo 46 7" xfId="3808" xr:uid="{317E7A84-8890-4DB4-93E6-18E366EFC3F5}"/>
    <cellStyle name="Cálculo 47" xfId="1793" xr:uid="{AF55DCA1-0626-4636-B6B0-704DF01128F4}"/>
    <cellStyle name="Cálculo 47 2" xfId="3809" xr:uid="{3123A769-2DEF-4EBB-B85B-F226FA0AEDE5}"/>
    <cellStyle name="Cálculo 47 3" xfId="3810" xr:uid="{2FBD5E22-CD1C-42D2-ADFF-4DAB03523DF4}"/>
    <cellStyle name="Cálculo 47 4" xfId="3811" xr:uid="{64ACBFA4-A839-402F-A369-E0D87715E167}"/>
    <cellStyle name="Cálculo 47 5" xfId="3812" xr:uid="{E1951CF6-D6C2-47F5-8D12-EBFB3D14D6FE}"/>
    <cellStyle name="Cálculo 47 6" xfId="3813" xr:uid="{1D2060F2-2133-4FE7-B593-13115B20905C}"/>
    <cellStyle name="Cálculo 47 7" xfId="3814" xr:uid="{951B1407-D931-4A99-AEAB-D8078158E9E2}"/>
    <cellStyle name="Cálculo 48" xfId="1794" xr:uid="{25E2A84F-C7E4-42FF-89DB-7DFDEA021485}"/>
    <cellStyle name="Cálculo 48 2" xfId="3815" xr:uid="{44D58EE2-35E0-461B-8D61-7CF1CD00A93F}"/>
    <cellStyle name="Cálculo 48 3" xfId="3816" xr:uid="{E1E8CC0A-95E2-4598-A3BA-F2D9895B4FB6}"/>
    <cellStyle name="Cálculo 48 4" xfId="3817" xr:uid="{AA6E8F28-CAA8-4EAD-ADA2-03ABFBB55F9B}"/>
    <cellStyle name="Cálculo 48 5" xfId="3818" xr:uid="{0FFDDB29-FEC9-46F8-BC8B-6DC7336EBA4E}"/>
    <cellStyle name="Cálculo 48 6" xfId="3819" xr:uid="{EFED151E-4504-4F56-B8B2-E8ADEECF1828}"/>
    <cellStyle name="Cálculo 48 7" xfId="3820" xr:uid="{38B471CB-3C29-422E-9655-3C897D614608}"/>
    <cellStyle name="Cálculo 49" xfId="1795" xr:uid="{E0837A00-9F12-4302-B9DC-3C3EA38CC4AF}"/>
    <cellStyle name="Cálculo 49 2" xfId="3821" xr:uid="{2E548ED1-11DC-419C-9536-3B3B7ACC6892}"/>
    <cellStyle name="Cálculo 49 3" xfId="3822" xr:uid="{681139D4-765E-4A67-A42E-99BD32C98207}"/>
    <cellStyle name="Cálculo 49 4" xfId="3823" xr:uid="{E6B56C7A-B1A7-4921-B473-84188EF89CB6}"/>
    <cellStyle name="Cálculo 49 5" xfId="3824" xr:uid="{35B8A858-D522-4E46-8222-9D7C4787F7DE}"/>
    <cellStyle name="Cálculo 49 6" xfId="3825" xr:uid="{61A6B227-1185-44C3-85DF-1DBC81FFEDF8}"/>
    <cellStyle name="Cálculo 49 7" xfId="3826" xr:uid="{1FA4BB1D-5A3A-4FE8-BA06-DC5E6DFA2720}"/>
    <cellStyle name="Cálculo 5" xfId="342" xr:uid="{F768DB16-EAE6-4491-BE8D-5A75374E8931}"/>
    <cellStyle name="Cálculo 5 2" xfId="3827" xr:uid="{43917AAA-991E-4D5C-9DE6-CFD7C0140777}"/>
    <cellStyle name="Cálculo 5 3" xfId="3828" xr:uid="{FD28B5B0-8CD6-4F71-A665-41D73006F707}"/>
    <cellStyle name="Cálculo 5 4" xfId="3829" xr:uid="{4B2DC882-49ED-4792-B453-3B9979E727CC}"/>
    <cellStyle name="Cálculo 5 5" xfId="3830" xr:uid="{8CE0EDA3-59DB-4EC7-B36F-A7FB340819ED}"/>
    <cellStyle name="Cálculo 5 6" xfId="4304" xr:uid="{CD958DC1-59B6-4C7F-BDD0-ED382888C6DD}"/>
    <cellStyle name="Cálculo 5 7" xfId="3831" xr:uid="{82157B76-220D-47FA-B51A-B66506EE2B9A}"/>
    <cellStyle name="Cálculo 5 8" xfId="10918" xr:uid="{13DAA3FD-B1BC-44E6-944D-8B81DC98498B}"/>
    <cellStyle name="Cálculo 50" xfId="1796" xr:uid="{D4CF98E2-8FFF-4BA8-9D8C-27CEC5E1F7A8}"/>
    <cellStyle name="Cálculo 50 2" xfId="3832" xr:uid="{8736A9BC-29F8-4E16-B642-6AF3ABE92A46}"/>
    <cellStyle name="Cálculo 50 3" xfId="3833" xr:uid="{FBD66126-E173-41DB-AACE-8C88864CC124}"/>
    <cellStyle name="Cálculo 50 4" xfId="3834" xr:uid="{B1D4D49F-249E-4BA5-B251-19D1C4DBA770}"/>
    <cellStyle name="Cálculo 50 5" xfId="3835" xr:uid="{9A19BB86-BC56-46CB-AC5B-5AEE4D59AB85}"/>
    <cellStyle name="Cálculo 50 6" xfId="3836" xr:uid="{B7929048-5A1D-4832-BEDC-7213620BCE90}"/>
    <cellStyle name="Cálculo 50 7" xfId="3837" xr:uid="{BBF5271A-AF61-4897-A49B-0A7EA9CE9D3D}"/>
    <cellStyle name="Cálculo 51" xfId="1797" xr:uid="{713876D9-97A4-413D-98DF-BDAA848D39BE}"/>
    <cellStyle name="Cálculo 51 2" xfId="3838" xr:uid="{90F1BC82-8E5A-4C16-8BE5-800A8A9B6EC8}"/>
    <cellStyle name="Cálculo 51 3" xfId="3839" xr:uid="{CC10D2B2-3DEC-4D82-B08C-F3364F1B5EE5}"/>
    <cellStyle name="Cálculo 51 4" xfId="3840" xr:uid="{B16343A7-5554-4164-BCC5-48DA80059216}"/>
    <cellStyle name="Cálculo 51 5" xfId="3841" xr:uid="{39D0A311-B040-4AD6-88A8-F8DD8039095F}"/>
    <cellStyle name="Cálculo 51 6" xfId="3842" xr:uid="{FD049F50-8B72-4E97-ADD4-31F426D559E1}"/>
    <cellStyle name="Cálculo 51 7" xfId="3843" xr:uid="{5110717B-5DA5-45BB-8CEE-013C44EBB3F1}"/>
    <cellStyle name="Cálculo 52" xfId="1798" xr:uid="{B94E749F-56D5-43C5-B7A9-5BFC80301794}"/>
    <cellStyle name="Cálculo 52 2" xfId="3844" xr:uid="{0AE80033-19BE-480E-A844-4E2E91D941A2}"/>
    <cellStyle name="Cálculo 52 3" xfId="3845" xr:uid="{770F2CE1-537B-47CD-B618-5BFC36004A46}"/>
    <cellStyle name="Cálculo 52 4" xfId="3846" xr:uid="{2BA03A30-491B-4DF9-BA18-B946A03188F9}"/>
    <cellStyle name="Cálculo 52 5" xfId="3847" xr:uid="{7A2687B9-689A-4E38-A13D-2B45AB9A4D0E}"/>
    <cellStyle name="Cálculo 52 6" xfId="3848" xr:uid="{E6477781-A429-4C73-AFCA-7E5AF86D0BE6}"/>
    <cellStyle name="Cálculo 52 7" xfId="3535" xr:uid="{A266F099-70A0-45F8-A8FC-3156F585C1AB}"/>
    <cellStyle name="Cálculo 53" xfId="1799" xr:uid="{FDF59D21-941D-4D93-AFA2-0303DDC12105}"/>
    <cellStyle name="Cálculo 53 2" xfId="3849" xr:uid="{7C7AD755-B56C-41D0-B323-9C28C644155C}"/>
    <cellStyle name="Cálculo 53 3" xfId="3850" xr:uid="{F07C5D72-444D-48CA-95F4-262B23CB6109}"/>
    <cellStyle name="Cálculo 53 4" xfId="3851" xr:uid="{23488AAD-4E1C-4120-A91E-C07BD7298745}"/>
    <cellStyle name="Cálculo 53 5" xfId="3852" xr:uid="{88114BAB-77E0-424E-8697-EC240E1A5E82}"/>
    <cellStyle name="Cálculo 53 6" xfId="3853" xr:uid="{8E51205B-4300-46D1-A1E2-DA8728DD232B}"/>
    <cellStyle name="Cálculo 53 7" xfId="3854" xr:uid="{F7B6DD64-25EB-4437-A05C-2D5800638FD5}"/>
    <cellStyle name="Cálculo 54" xfId="1800" xr:uid="{AE2128AE-3FE6-42FA-A048-5DB2EB277C68}"/>
    <cellStyle name="Cálculo 54 2" xfId="3855" xr:uid="{B8136D92-F5C0-4E78-B9F4-37FD954DD155}"/>
    <cellStyle name="Cálculo 54 3" xfId="3856" xr:uid="{3E999EB5-6954-42DC-82FD-AA8D12E458D0}"/>
    <cellStyle name="Cálculo 54 4" xfId="3857" xr:uid="{E03118DA-7494-4486-84E4-C9219D535EE2}"/>
    <cellStyle name="Cálculo 54 5" xfId="3858" xr:uid="{E2C8796C-9F97-4477-A128-B93B9D16FC98}"/>
    <cellStyle name="Cálculo 54 6" xfId="3859" xr:uid="{798A9D45-DD49-4FF3-BC35-6F46F02E86C5}"/>
    <cellStyle name="Cálculo 54 7" xfId="3860" xr:uid="{675414D3-A4A8-49F1-A527-7814E2204A99}"/>
    <cellStyle name="Cálculo 55" xfId="1801" xr:uid="{75334C1B-D8F0-428B-9BCC-391CEDB7014A}"/>
    <cellStyle name="Cálculo 55 2" xfId="3861" xr:uid="{FBCB5D30-A3E1-426A-B5FF-3333505B7C66}"/>
    <cellStyle name="Cálculo 55 3" xfId="3862" xr:uid="{1BCD6F64-7D38-474F-BEC1-BE9336185492}"/>
    <cellStyle name="Cálculo 55 4" xfId="3863" xr:uid="{EA6201EE-16B8-4053-AD39-EDA98DA93B3F}"/>
    <cellStyle name="Cálculo 55 5" xfId="3864" xr:uid="{1FB85473-F764-4D1A-94C3-1BF26FE20632}"/>
    <cellStyle name="Cálculo 55 6" xfId="3865" xr:uid="{20C9516D-47CC-4EFF-A350-97A97424AF57}"/>
    <cellStyle name="Cálculo 55 7" xfId="3866" xr:uid="{883115A7-4309-4233-BDCA-C06FCC97F68A}"/>
    <cellStyle name="Cálculo 56" xfId="1802" xr:uid="{79B7581D-E546-42D6-9C28-BA679674E620}"/>
    <cellStyle name="Cálculo 56 2" xfId="3867" xr:uid="{EA8CE939-5F53-44AF-8A0C-CD926EE0557E}"/>
    <cellStyle name="Cálculo 56 3" xfId="3868" xr:uid="{F96F0C0A-E87D-43B0-A4B5-CBCB30C576DF}"/>
    <cellStyle name="Cálculo 56 4" xfId="3869" xr:uid="{CF52EE88-2676-471A-B563-22AF71503997}"/>
    <cellStyle name="Cálculo 56 5" xfId="3870" xr:uid="{84772FB1-6C1C-4976-95DE-194F5D7782D6}"/>
    <cellStyle name="Cálculo 56 6" xfId="3871" xr:uid="{B2EE6DBC-699D-40D8-87D8-9621F54473E7}"/>
    <cellStyle name="Cálculo 56 7" xfId="3872" xr:uid="{B4CC83C7-6C52-4BA5-9584-D1A18AE28EF1}"/>
    <cellStyle name="Cálculo 57" xfId="1803" xr:uid="{120753CD-CEBD-4CB3-A7A6-DB45BEDACF1A}"/>
    <cellStyle name="Cálculo 57 2" xfId="3873" xr:uid="{A9017E31-ED5B-4A85-8346-DC0036FAFB7D}"/>
    <cellStyle name="Cálculo 57 3" xfId="3874" xr:uid="{B3FB0145-EF65-4571-981A-E511DAEFF690}"/>
    <cellStyle name="Cálculo 57 4" xfId="3875" xr:uid="{40AE2A50-7F67-4196-8EC7-E585F8937805}"/>
    <cellStyle name="Cálculo 57 5" xfId="3876" xr:uid="{55EB2FCA-1480-492C-B36B-CF0F20247744}"/>
    <cellStyle name="Cálculo 57 6" xfId="3877" xr:uid="{764E57C6-E80C-4016-A513-C221B1880132}"/>
    <cellStyle name="Cálculo 57 7" xfId="3878" xr:uid="{0F47E490-5234-46F0-BC6F-D8967E69A23B}"/>
    <cellStyle name="Cálculo 58" xfId="1804" xr:uid="{82DE6E6A-9480-4981-9CFE-3613471C4CDC}"/>
    <cellStyle name="Cálculo 58 2" xfId="3879" xr:uid="{E9C20AAA-7107-48B6-854A-D0DE8B3F3582}"/>
    <cellStyle name="Cálculo 58 3" xfId="3880" xr:uid="{909B4EB6-43FC-4569-A108-99EAA14C550F}"/>
    <cellStyle name="Cálculo 58 4" xfId="3881" xr:uid="{47301A87-9786-4196-B747-34E3084F10B4}"/>
    <cellStyle name="Cálculo 58 5" xfId="3882" xr:uid="{7E0132A0-FCB6-441F-B5CB-C3D8EAB50DC6}"/>
    <cellStyle name="Cálculo 58 6" xfId="3883" xr:uid="{A13E18A4-A939-4542-90B0-D0B26F43DAE1}"/>
    <cellStyle name="Cálculo 58 7" xfId="3884" xr:uid="{D9CE3898-B074-4EF2-A6DE-97725EA55135}"/>
    <cellStyle name="Cálculo 59" xfId="1805" xr:uid="{6B45FD84-1EC5-4B88-AB9E-31CFE6EB89A3}"/>
    <cellStyle name="Cálculo 59 2" xfId="3885" xr:uid="{12181893-6F25-4913-8922-09F367A02F95}"/>
    <cellStyle name="Cálculo 59 3" xfId="3886" xr:uid="{E3D51C5F-A020-464F-9F0E-6E85F16A7FE3}"/>
    <cellStyle name="Cálculo 59 4" xfId="3887" xr:uid="{128723A0-12CC-467E-BDA5-6E3C1439D281}"/>
    <cellStyle name="Cálculo 59 5" xfId="3888" xr:uid="{6024DC2C-CC3F-4903-A10A-2FF46596A7BF}"/>
    <cellStyle name="Cálculo 59 6" xfId="3889" xr:uid="{BBD71243-5171-4382-AD6F-81D313C00C4F}"/>
    <cellStyle name="Cálculo 59 7" xfId="4305" xr:uid="{013C3A79-7211-415F-842C-31FCC6B8CDAD}"/>
    <cellStyle name="Cálculo 6" xfId="343" xr:uid="{8B45F2D9-DC21-4C23-AE33-78C521C1DD06}"/>
    <cellStyle name="Cálculo 6 2" xfId="3890" xr:uid="{36C44A7A-EC32-4D7D-BADC-729A341FC030}"/>
    <cellStyle name="Cálculo 6 3" xfId="3891" xr:uid="{7FED0AC1-956B-4C43-BDD1-5334C41BCA7F}"/>
    <cellStyle name="Cálculo 6 4" xfId="3892" xr:uid="{6D6955A6-1630-4E51-B34D-CD66236B31F3}"/>
    <cellStyle name="Cálculo 6 5" xfId="3893" xr:uid="{6D15652F-59C6-43C7-B54A-7878A4DF8820}"/>
    <cellStyle name="Cálculo 6 6" xfId="3894" xr:uid="{E06EC73A-B335-4B4B-8C59-99D784F3CEA9}"/>
    <cellStyle name="Cálculo 6 7" xfId="3895" xr:uid="{8625D70B-9A2C-48A5-B23D-73BFD94D2104}"/>
    <cellStyle name="Cálculo 6 8" xfId="11559" xr:uid="{67752734-780E-4F1F-B4C6-B1AC235FFDE8}"/>
    <cellStyle name="Cálculo 60" xfId="1806" xr:uid="{0039DB29-4454-4FE0-B98B-D87DE67C1349}"/>
    <cellStyle name="Cálculo 60 2" xfId="3896" xr:uid="{21DD3D2B-7C51-4EA5-A202-F56C08B32C5E}"/>
    <cellStyle name="Cálculo 60 3" xfId="3897" xr:uid="{3EDCFA8C-11D9-4077-BC20-78259AE4FDCC}"/>
    <cellStyle name="Cálculo 60 4" xfId="3898" xr:uid="{DC52EE1F-74D7-4835-9CA9-8D56A87EB410}"/>
    <cellStyle name="Cálculo 60 5" xfId="3899" xr:uid="{B1BB2CBF-7A2A-4AC1-B687-8558A645FC22}"/>
    <cellStyle name="Cálculo 60 6" xfId="3900" xr:uid="{5BC5764D-82F3-47E2-B08C-B6951F85A2CA}"/>
    <cellStyle name="Cálculo 60 7" xfId="3901" xr:uid="{562D09F3-4FC0-42B5-A2EC-AE838DD20866}"/>
    <cellStyle name="Cálculo 61" xfId="1807" xr:uid="{2954C69C-3643-47C1-8A8D-8D21A654655D}"/>
    <cellStyle name="Cálculo 61 2" xfId="3902" xr:uid="{BC70CC62-613F-4A51-BFA8-1D5472DE60D5}"/>
    <cellStyle name="Cálculo 61 3" xfId="3903" xr:uid="{335F002D-EC25-4861-A9FB-7A92E87CFFD6}"/>
    <cellStyle name="Cálculo 61 4" xfId="3904" xr:uid="{3165E235-AB6A-4C8B-8180-1BF141E0150F}"/>
    <cellStyle name="Cálculo 61 5" xfId="3905" xr:uid="{8FECA642-E835-45B8-96EB-77C3F3FC90A8}"/>
    <cellStyle name="Cálculo 61 6" xfId="3906" xr:uid="{FE0B8C23-E70E-4276-8414-637DF430E208}"/>
    <cellStyle name="Cálculo 61 7" xfId="3907" xr:uid="{783DAFCA-56BA-41CA-9BC9-1E03E721C0B5}"/>
    <cellStyle name="Cálculo 62" xfId="1808" xr:uid="{476EC20B-90E9-43CC-A586-3ACC559F02BD}"/>
    <cellStyle name="Cálculo 62 2" xfId="3536" xr:uid="{8366B6DF-544F-4F47-ACEC-2F8328269C9C}"/>
    <cellStyle name="Cálculo 62 3" xfId="3908" xr:uid="{8B0C50CF-7C03-406E-91BA-273E4240E41F}"/>
    <cellStyle name="Cálculo 62 4" xfId="3909" xr:uid="{906B83F6-C1F3-44C1-BA5C-32B42E75C1DE}"/>
    <cellStyle name="Cálculo 62 5" xfId="3910" xr:uid="{13EAF42A-2873-47C4-BF50-4C456DE0A7E0}"/>
    <cellStyle name="Cálculo 62 6" xfId="3537" xr:uid="{87D43416-FDDA-48F5-92E5-6DDC99C9CF47}"/>
    <cellStyle name="Cálculo 62 7" xfId="4315" xr:uid="{9D202898-CC50-4A8F-A313-AA92C42D225F}"/>
    <cellStyle name="Cálculo 63" xfId="1809" xr:uid="{455CA8BA-003E-490A-819B-BA4A288ADFFB}"/>
    <cellStyle name="Cálculo 63 2" xfId="3126" xr:uid="{D0310BC5-75D6-40CD-BA6B-8C015844DF5A}"/>
    <cellStyle name="Cálculo 63 3" xfId="3911" xr:uid="{342E4829-A2CD-478B-913B-4CA931536C51}"/>
    <cellStyle name="Cálculo 63 4" xfId="3912" xr:uid="{C5F9810E-4A4D-4B26-8C86-9A06CA39163F}"/>
    <cellStyle name="Cálculo 63 5" xfId="3913" xr:uid="{E0CEEB29-E33B-49FF-9B38-7491CC39B08B}"/>
    <cellStyle name="Cálculo 63 6" xfId="3914" xr:uid="{45DAF56F-4EDD-49D3-ACE3-ABF90FE262A4}"/>
    <cellStyle name="Cálculo 63 7" xfId="3538" xr:uid="{D1E7B016-D9D8-4AAE-AA84-BABAABCDF911}"/>
    <cellStyle name="Cálculo 64" xfId="1810" xr:uid="{B7398D47-5270-4660-8903-9F4CAE188558}"/>
    <cellStyle name="Cálculo 64 2" xfId="3539" xr:uid="{698BED0B-45FC-4697-91A1-7754446803F7}"/>
    <cellStyle name="Cálculo 64 3" xfId="3540" xr:uid="{CDE43E8A-C560-4363-BB07-680DA1F5E64F}"/>
    <cellStyle name="Cálculo 64 4" xfId="3541" xr:uid="{CE181DAA-6763-40AA-AF9C-C43EAF582665}"/>
    <cellStyle name="Cálculo 64 5" xfId="3542" xr:uid="{9348B121-4F69-4BF2-8F1B-06619DAFABCA}"/>
    <cellStyle name="Cálculo 64 6" xfId="3543" xr:uid="{B776662F-2947-40C4-9420-5A3556547288}"/>
    <cellStyle name="Cálculo 64 7" xfId="3544" xr:uid="{97235049-15D7-4292-838A-FFA5662F379C}"/>
    <cellStyle name="Cálculo 65" xfId="1811" xr:uid="{7F3F2F35-6008-4599-A29A-EDB9B79ECA0E}"/>
    <cellStyle name="Cálculo 65 2" xfId="3915" xr:uid="{E57F9BA9-7648-43B7-91C1-336D1EF05EDE}"/>
    <cellStyle name="Cálculo 65 3" xfId="3916" xr:uid="{C00B04F2-C8E8-47A9-9D14-4CEE7D3570AE}"/>
    <cellStyle name="Cálculo 65 4" xfId="3917" xr:uid="{307B2439-8393-4775-ACD8-73E1F22A67EB}"/>
    <cellStyle name="Cálculo 65 5" xfId="3918" xr:uid="{080E243F-A0F6-437F-816E-C1AE9C462ACA}"/>
    <cellStyle name="Cálculo 65 6" xfId="3919" xr:uid="{DE5D92AE-74BA-47BF-ACFA-C3C5E68A62D6}"/>
    <cellStyle name="Cálculo 65 7" xfId="3920" xr:uid="{AC528085-09E1-4E34-AFBD-FF73D40E980F}"/>
    <cellStyle name="Cálculo 66" xfId="1812" xr:uid="{7A40B715-D6B0-4ED4-BDBF-B61D2508269D}"/>
    <cellStyle name="Cálculo 66 2" xfId="3921" xr:uid="{F73CBD54-1480-4355-BCA4-419DEC101BB7}"/>
    <cellStyle name="Cálculo 66 3" xfId="3922" xr:uid="{CA18C189-A713-4C9C-81D8-EE6952113EBD}"/>
    <cellStyle name="Cálculo 66 4" xfId="3923" xr:uid="{5F84A96D-221B-4143-8421-404C44B8B216}"/>
    <cellStyle name="Cálculo 66 5" xfId="3924" xr:uid="{A40C4C78-8F0A-40DB-9D1A-9560DBE8BF70}"/>
    <cellStyle name="Cálculo 66 6" xfId="3925" xr:uid="{D08A8A07-FC31-4A4E-9DEB-BBC2ABFC2B4D}"/>
    <cellStyle name="Cálculo 66 7" xfId="3926" xr:uid="{DC37FDCF-F6B7-4B39-B7C5-506574EC4625}"/>
    <cellStyle name="Cálculo 67" xfId="1813" xr:uid="{4FBEDCB7-28A9-4753-B11E-1FB29EC22B91}"/>
    <cellStyle name="Cálculo 67 2" xfId="3927" xr:uid="{51C95256-0F60-4663-8382-4CD0DEBE1774}"/>
    <cellStyle name="Cálculo 67 3" xfId="3928" xr:uid="{AD2671AC-E495-4BEE-BF33-5B2608A82C14}"/>
    <cellStyle name="Cálculo 67 4" xfId="3929" xr:uid="{F6D4E95C-51D1-416F-BD01-4F2780DA75EE}"/>
    <cellStyle name="Cálculo 67 5" xfId="3930" xr:uid="{6A17985D-9094-4C53-AB42-79CDB2D21567}"/>
    <cellStyle name="Cálculo 67 6" xfId="3931" xr:uid="{334DE2A0-D5F6-4A94-8A33-316F86E7AE1A}"/>
    <cellStyle name="Cálculo 67 7" xfId="3932" xr:uid="{37FEC2B1-AE6C-47DF-B8DB-6EBEE8B37BDE}"/>
    <cellStyle name="Cálculo 68" xfId="516" xr:uid="{C6516069-AF2E-494C-A3F5-E91E44709BF7}"/>
    <cellStyle name="Cálculo 69" xfId="3933" xr:uid="{CFD82DC1-E6B2-4123-8B5C-21B1F2AD342D}"/>
    <cellStyle name="Cálculo 7" xfId="344" xr:uid="{9FF1A6D3-41F4-4713-B1FE-E8BF3BE2F2C2}"/>
    <cellStyle name="Cálculo 7 2" xfId="3934" xr:uid="{E614CEB4-A6E2-451A-9572-A27C5484FAE0}"/>
    <cellStyle name="Cálculo 7 3" xfId="3935" xr:uid="{66A79AA6-F6BA-47A9-95DD-08EF5934F590}"/>
    <cellStyle name="Cálculo 7 4" xfId="3936" xr:uid="{F5035360-4420-4F0C-866C-5EB02D472212}"/>
    <cellStyle name="Cálculo 7 5" xfId="3937" xr:uid="{15F67A0C-2132-41FE-BCCD-BF28935B0D0C}"/>
    <cellStyle name="Cálculo 7 6" xfId="4306" xr:uid="{1B989ECD-EC5A-4277-B8F8-0E1B7D3FE5B8}"/>
    <cellStyle name="Cálculo 7 7" xfId="3938" xr:uid="{348E2154-DD13-43BB-BFE0-DAD5424880E6}"/>
    <cellStyle name="Cálculo 70" xfId="3939" xr:uid="{9A86BA57-3947-4E9B-8C15-7714F1E91AAA}"/>
    <cellStyle name="Cálculo 71" xfId="3940" xr:uid="{3C2CBB02-1A7E-4DC4-9BE4-250DB5A4CC0E}"/>
    <cellStyle name="Cálculo 72" xfId="3941" xr:uid="{6D43D25B-2CA9-412B-B2DA-46CB832ADF38}"/>
    <cellStyle name="Cálculo 73" xfId="3942" xr:uid="{C1BDBABD-EB29-4AFD-8634-BB31BB4A4413}"/>
    <cellStyle name="Cálculo 8" xfId="1814" xr:uid="{DA6732B4-2710-4600-B66D-D940A37A112C}"/>
    <cellStyle name="Cálculo 8 2" xfId="3943" xr:uid="{BDD2866F-7602-4070-A4A3-8E5FB8D91CED}"/>
    <cellStyle name="Cálculo 8 3" xfId="3944" xr:uid="{55996314-0331-4830-B571-F46071C6335B}"/>
    <cellStyle name="Cálculo 8 4" xfId="3945" xr:uid="{487C1BF6-6D94-45BA-9BD3-1394E640029B}"/>
    <cellStyle name="Cálculo 8 5" xfId="3946" xr:uid="{F717B853-F97F-469E-AC96-13C78D859CB1}"/>
    <cellStyle name="Cálculo 8 6" xfId="3947" xr:uid="{C3B63B05-2313-4E30-B23B-2A6ED127312A}"/>
    <cellStyle name="Cálculo 8 7" xfId="3948" xr:uid="{488567A2-9C3E-48B3-8993-FFDFDE243F9C}"/>
    <cellStyle name="Cálculo 9" xfId="1815" xr:uid="{4CAB3F87-4006-4A54-B3D2-A809EBFBCDFE}"/>
    <cellStyle name="Cálculo 9 2" xfId="3949" xr:uid="{23E9EF58-F750-4044-A862-6434697B64EE}"/>
    <cellStyle name="Cálculo 9 3" xfId="3950" xr:uid="{19599C33-1445-42DD-A886-2B488904E7BF}"/>
    <cellStyle name="Cálculo 9 4" xfId="3951" xr:uid="{1AE8146B-EEA9-441A-B25E-289583D72FB2}"/>
    <cellStyle name="Cálculo 9 5" xfId="3952" xr:uid="{58D66582-3524-451D-8F75-637E3647CEE8}"/>
    <cellStyle name="Cálculo 9 6" xfId="3953" xr:uid="{E405EED4-3BF2-4AD0-ABD0-98A04FDD812F}"/>
    <cellStyle name="Cálculo 9 7" xfId="3954" xr:uid="{153402C4-6589-4BDF-9E73-620F4BE0BF64}"/>
    <cellStyle name="Cancel" xfId="30" xr:uid="{85370A9B-6FC5-4E70-8683-04414469A17E}"/>
    <cellStyle name="Cancel 2" xfId="517" xr:uid="{74BD7B1C-E3FD-436F-9A8C-4F15EC9CDD57}"/>
    <cellStyle name="Cancel 2 2" xfId="10172" xr:uid="{03BACA50-13EF-492E-B847-188DE0710ED0}"/>
    <cellStyle name="Cancel 2 2 2" xfId="488" xr:uid="{D9E43C07-9F1C-4DB5-B024-B121BE874F9E}"/>
    <cellStyle name="Cancel 2 2 2 2" xfId="19673" xr:uid="{2C7F5421-D2A6-4D7E-9481-6FBD0269D5D0}"/>
    <cellStyle name="Cancel 2 3" xfId="13526" xr:uid="{05438A72-4222-454B-928B-66CB64922BD7}"/>
    <cellStyle name="Cancel 3" xfId="11560" xr:uid="{4EF96CB8-7059-4127-8FB3-3997E1FE46E5}"/>
    <cellStyle name="Cancel 3 2" xfId="11561" xr:uid="{BE89F90A-5BA0-479F-9719-31BE65807B57}"/>
    <cellStyle name="Cancel 3 3" xfId="13183" xr:uid="{B742464F-65D0-486B-B584-7E5B1250850C}"/>
    <cellStyle name="Cancel 4" xfId="13756" xr:uid="{4DC8099A-A699-4050-B1FF-CCC7492E3101}"/>
    <cellStyle name="Cancel_09.06.10" xfId="13982" xr:uid="{42A123BA-2650-4545-8BF8-CDE44311DD94}"/>
    <cellStyle name="Celda de comprobación 10" xfId="1816" xr:uid="{63070F30-ACCA-45E7-ACDE-717D16DBD455}"/>
    <cellStyle name="Celda de comprobación 11" xfId="1817" xr:uid="{EC0F1BE1-B786-421B-A5DB-AB9F6201A931}"/>
    <cellStyle name="Celda de comprobación 12" xfId="1818" xr:uid="{981CB900-4F5D-43E9-A521-7F279ABAC76A}"/>
    <cellStyle name="Celda de comprobación 13" xfId="1819" xr:uid="{22120A9A-4470-40F8-917E-0BDB614B2E69}"/>
    <cellStyle name="Celda de comprobación 14" xfId="1820" xr:uid="{73083C1E-112F-4E96-8179-6428E03BE309}"/>
    <cellStyle name="Celda de comprobación 15" xfId="1821" xr:uid="{5BF31D79-8438-4306-8513-1CCAF611010C}"/>
    <cellStyle name="Celda de comprobación 16" xfId="1822" xr:uid="{A00CD116-207F-48A6-9AEC-17527563B15A}"/>
    <cellStyle name="Celda de comprobación 17" xfId="1823" xr:uid="{0B2E465F-9A11-4EAB-99EE-2D5FCFDE0197}"/>
    <cellStyle name="Celda de comprobación 18" xfId="1824" xr:uid="{90F77CB4-79EA-43E9-9F13-910D8B5E18B2}"/>
    <cellStyle name="Celda de comprobación 19" xfId="1825" xr:uid="{B768DE2F-7CD5-44AE-BE2E-B045C07A868F}"/>
    <cellStyle name="Celda de comprobación 2" xfId="31" xr:uid="{0E8A0E46-CA25-461A-BD6A-F376B42B988B}"/>
    <cellStyle name="Celda de comprobación 2 2" xfId="1826" xr:uid="{49DD10C2-4D60-47EE-B642-E3C83DCA2088}"/>
    <cellStyle name="Celda de comprobación 2 3" xfId="1827" xr:uid="{3EF05ED7-2831-403D-A7BC-06691B612DC2}"/>
    <cellStyle name="Celda de comprobación 2 4" xfId="1828" xr:uid="{EB6F7A33-54AF-415F-8083-FD4A4DF06DA6}"/>
    <cellStyle name="Celda de comprobación 2 5" xfId="1829" xr:uid="{E28806D0-13EA-482F-8E76-518506DC19A1}"/>
    <cellStyle name="Celda de comprobación 20" xfId="1830" xr:uid="{382A37BE-4EDD-427F-BA30-2CE75FF47FD8}"/>
    <cellStyle name="Celda de comprobación 21" xfId="1831" xr:uid="{6E2A5322-088F-4D58-BC78-9AB8983AB4F5}"/>
    <cellStyle name="Celda de comprobación 22" xfId="1832" xr:uid="{005E86ED-AF09-4B2A-9B74-0916B2A70D85}"/>
    <cellStyle name="Celda de comprobación 23" xfId="1833" xr:uid="{D4FBD529-8FD9-4F75-A48B-EA68C8C0AE1F}"/>
    <cellStyle name="Celda de comprobación 24" xfId="1834" xr:uid="{D5076A1F-BC11-4010-96B6-418B55BC3D0D}"/>
    <cellStyle name="Celda de comprobación 25" xfId="1835" xr:uid="{DAB65514-4A74-427C-99B4-F80C3540F8CD}"/>
    <cellStyle name="Celda de comprobación 26" xfId="1836" xr:uid="{D9B63A56-811F-49E3-ACF6-5D950CD2F93B}"/>
    <cellStyle name="Celda de comprobación 27" xfId="1837" xr:uid="{E371EB8E-7193-4AA6-B210-9A1C7291770C}"/>
    <cellStyle name="Celda de comprobación 28" xfId="1838" xr:uid="{CBBA3118-5C4B-4787-8C90-A41A670801B3}"/>
    <cellStyle name="Celda de comprobación 29" xfId="1839" xr:uid="{D92C00A9-D89D-44AE-891C-3AFB6AA94829}"/>
    <cellStyle name="Celda de comprobación 3" xfId="346" xr:uid="{AB9B7B99-0887-49F0-8D54-9A578AC6AFA4}"/>
    <cellStyle name="Celda de comprobación 30" xfId="1840" xr:uid="{907956B6-FAE9-42BE-BD56-44B42C620753}"/>
    <cellStyle name="Celda de comprobación 31" xfId="1841" xr:uid="{E38292DB-5189-4326-8184-73805C5B3F53}"/>
    <cellStyle name="Celda de comprobación 32" xfId="1842" xr:uid="{3975BC0E-561A-4C17-B4B3-2531FF959F60}"/>
    <cellStyle name="Celda de comprobación 33" xfId="1843" xr:uid="{650B6B96-6F5E-439B-AFB3-3812D373D848}"/>
    <cellStyle name="Celda de comprobación 34" xfId="1844" xr:uid="{5FE91091-0CBB-4167-B3BF-5B52A7D24D10}"/>
    <cellStyle name="Celda de comprobación 35" xfId="1845" xr:uid="{CCAF81E3-A2E5-4707-9B99-B797E4670717}"/>
    <cellStyle name="Celda de comprobación 36" xfId="1846" xr:uid="{221FE416-AA47-47E0-BE39-8720043816A2}"/>
    <cellStyle name="Celda de comprobación 37" xfId="1847" xr:uid="{8EFCC0D7-254C-4E98-8EE3-27319FEFC55C}"/>
    <cellStyle name="Celda de comprobación 38" xfId="1848" xr:uid="{63E3BB38-317C-47BC-A34A-849BC2A24F67}"/>
    <cellStyle name="Celda de comprobación 39" xfId="1849" xr:uid="{B0B75528-6408-47C0-ADCD-E7A4E13EB958}"/>
    <cellStyle name="Celda de comprobación 4" xfId="347" xr:uid="{FBBC41EA-0F61-4794-91C8-D83319DB4F29}"/>
    <cellStyle name="Celda de comprobación 40" xfId="1850" xr:uid="{D4F98B30-E5CF-4E85-B5A2-18632F87A4DF}"/>
    <cellStyle name="Celda de comprobación 41" xfId="1851" xr:uid="{9664360C-8A3D-4777-B210-69E1BCEE7222}"/>
    <cellStyle name="Celda de comprobación 42" xfId="1852" xr:uid="{61FAF6D0-5555-43C9-AD7B-DB799F5517F8}"/>
    <cellStyle name="Celda de comprobación 43" xfId="1853" xr:uid="{4389A4F9-BC6D-4B1B-A913-C80FC1B88F57}"/>
    <cellStyle name="Celda de comprobación 44" xfId="1854" xr:uid="{652C46C0-4447-4EF8-A82E-F0038DC98754}"/>
    <cellStyle name="Celda de comprobación 45" xfId="1855" xr:uid="{432865CA-08F7-4EF5-A614-2BE8D249F8C3}"/>
    <cellStyle name="Celda de comprobación 46" xfId="1856" xr:uid="{4757C5D7-92BF-4D39-88FD-2DEE8C8E230A}"/>
    <cellStyle name="Celda de comprobación 47" xfId="1857" xr:uid="{92B5F597-CCDF-4434-94D8-164BA2BB43A8}"/>
    <cellStyle name="Celda de comprobación 48" xfId="1858" xr:uid="{D8CA514E-CA09-43F0-816C-83F6AF7ADECD}"/>
    <cellStyle name="Celda de comprobación 49" xfId="1859" xr:uid="{2EC75E1F-0372-43AA-B442-A76F4E91E6B2}"/>
    <cellStyle name="Celda de comprobación 5" xfId="348" xr:uid="{F62343C9-E8B6-4703-9B93-6F2F20BF8EA2}"/>
    <cellStyle name="Celda de comprobación 50" xfId="1860" xr:uid="{0013BE97-0DE3-4649-BCFA-B7C517DA3F64}"/>
    <cellStyle name="Celda de comprobación 51" xfId="1861" xr:uid="{BCD970F0-7AF1-428F-A557-714712EA4B64}"/>
    <cellStyle name="Celda de comprobación 52" xfId="1862" xr:uid="{33519DC2-BE28-497D-8991-B13C66BC7ADF}"/>
    <cellStyle name="Celda de comprobación 53" xfId="1863" xr:uid="{1AFA6D50-4AF0-449C-B6C8-7AE501EBDEB1}"/>
    <cellStyle name="Celda de comprobación 54" xfId="1864" xr:uid="{4CE5CAB6-3CD5-4D54-B805-798B9835D7B1}"/>
    <cellStyle name="Celda de comprobación 55" xfId="1865" xr:uid="{DDC6869A-EB3A-4BA7-8021-2BFD5D317B94}"/>
    <cellStyle name="Celda de comprobación 56" xfId="1866" xr:uid="{1F68DC9F-A793-4C17-B078-87E186FC8908}"/>
    <cellStyle name="Celda de comprobación 57" xfId="1867" xr:uid="{7426CFC5-5A09-45F0-9D22-2E699E310AEC}"/>
    <cellStyle name="Celda de comprobación 58" xfId="1868" xr:uid="{A2106B0A-36FD-4036-8C1A-DDD136382D62}"/>
    <cellStyle name="Celda de comprobación 59" xfId="1869" xr:uid="{9FAA58FA-95B6-4D73-9C8A-6D41F8E1A2CD}"/>
    <cellStyle name="Celda de comprobación 6" xfId="349" xr:uid="{295F08E3-E8C6-426E-9AFA-005017C3D21B}"/>
    <cellStyle name="Celda de comprobación 60" xfId="1870" xr:uid="{8013A327-7873-449A-8346-977713C8C70C}"/>
    <cellStyle name="Celda de comprobación 61" xfId="1871" xr:uid="{0C4ADA72-19AB-4A2F-A7CC-1C9632D2EC36}"/>
    <cellStyle name="Celda de comprobación 62" xfId="1872" xr:uid="{583A1CD4-A952-4654-916F-262213DAD607}"/>
    <cellStyle name="Celda de comprobación 63" xfId="1873" xr:uid="{293D446B-D597-4402-9BC5-F839C386316E}"/>
    <cellStyle name="Celda de comprobación 64" xfId="1874" xr:uid="{576CA89C-0990-439E-8BC4-554C90F71444}"/>
    <cellStyle name="Celda de comprobación 65" xfId="1875" xr:uid="{317B7E76-EAF5-4070-83A2-BA3752109B6F}"/>
    <cellStyle name="Celda de comprobación 66" xfId="1876" xr:uid="{057E156A-AEE3-4A8E-BD5D-A51641D058A5}"/>
    <cellStyle name="Celda de comprobación 67" xfId="1877" xr:uid="{3D0BF36A-EB74-430B-BD44-5E2A1E9B763C}"/>
    <cellStyle name="Celda de comprobación 68" xfId="518" xr:uid="{D1E7C8D1-7AFE-429D-AF55-94C41DBA2C2A}"/>
    <cellStyle name="Celda de comprobación 7" xfId="350" xr:uid="{A3D4B960-EAC2-439B-BDE2-857866768FFD}"/>
    <cellStyle name="Celda de comprobación 8" xfId="1878" xr:uid="{A8091709-BE29-467E-9FD6-0FB754611909}"/>
    <cellStyle name="Celda de comprobación 9" xfId="1879" xr:uid="{6E96AFE1-88B1-40DA-9642-0EC67E25C935}"/>
    <cellStyle name="Celda vinculada 10" xfId="1880" xr:uid="{8BDCF238-BF49-4DA4-B1B4-50159CCB5F52}"/>
    <cellStyle name="Celda vinculada 11" xfId="1881" xr:uid="{E55BC096-0510-4E9C-85B8-B1FF227E2D02}"/>
    <cellStyle name="Celda vinculada 12" xfId="1882" xr:uid="{D37EC612-65CC-4A89-ACE5-2B10842C1476}"/>
    <cellStyle name="Celda vinculada 13" xfId="1883" xr:uid="{8BA37CF9-8566-469D-9C73-FCA408D2F31F}"/>
    <cellStyle name="Celda vinculada 14" xfId="1884" xr:uid="{AFB5265F-BA27-43EA-84C7-0813FF1AAB41}"/>
    <cellStyle name="Celda vinculada 15" xfId="1885" xr:uid="{9AFF99ED-BC93-4AB4-9D2A-B6EAE2CF4342}"/>
    <cellStyle name="Celda vinculada 16" xfId="1886" xr:uid="{8BB4D90B-5BE1-4DBD-8E28-722146051F52}"/>
    <cellStyle name="Celda vinculada 17" xfId="1887" xr:uid="{41F1389F-C673-434D-ACEC-1AC54B4F286F}"/>
    <cellStyle name="Celda vinculada 18" xfId="1888" xr:uid="{5B68522C-4D34-430F-8DFC-F405232CC7CB}"/>
    <cellStyle name="Celda vinculada 19" xfId="1889" xr:uid="{A20476DD-9492-46E0-9DB1-61F245F83F37}"/>
    <cellStyle name="Celda vinculada 2" xfId="32" xr:uid="{128A3692-41E9-431B-B84A-A68531B4B3C9}"/>
    <cellStyle name="Celda vinculada 2 2" xfId="1890" xr:uid="{AA2805DD-C35E-4744-AD52-D8173C00C975}"/>
    <cellStyle name="Celda vinculada 2 3" xfId="1891" xr:uid="{7D3BA225-B3C7-4297-9555-0D6ACF93EDBB}"/>
    <cellStyle name="Celda vinculada 2 4" xfId="1892" xr:uid="{DE061924-B2D0-4E9A-9F1B-3C208EAE2AD5}"/>
    <cellStyle name="Celda vinculada 2 5" xfId="1893" xr:uid="{6430B7F7-8970-4756-878C-85A9467513C8}"/>
    <cellStyle name="Celda vinculada 2 6" xfId="13527" xr:uid="{DA16B75A-0E2A-4568-B255-C7EEA6076147}"/>
    <cellStyle name="Celda vinculada 20" xfId="1894" xr:uid="{7347B515-9D33-44B6-9E93-AAFF7B59B456}"/>
    <cellStyle name="Celda vinculada 21" xfId="1895" xr:uid="{10C32FF3-6CB0-44AD-9E45-D2016AB7B6FD}"/>
    <cellStyle name="Celda vinculada 22" xfId="1896" xr:uid="{0C76BA89-DABB-4EF9-9DCF-6784BF45C328}"/>
    <cellStyle name="Celda vinculada 23" xfId="1897" xr:uid="{876D7A30-5741-4194-A2EC-4B39EA905AE7}"/>
    <cellStyle name="Celda vinculada 24" xfId="1898" xr:uid="{22F8374A-20A3-4E70-923B-5AE7AAC0829B}"/>
    <cellStyle name="Celda vinculada 25" xfId="1899" xr:uid="{E6A0CDFF-0068-4CAF-BEEA-5B81CF78A0E6}"/>
    <cellStyle name="Celda vinculada 26" xfId="1900" xr:uid="{136CA23F-DCF1-4E85-AFFF-5A82D38BB881}"/>
    <cellStyle name="Celda vinculada 27" xfId="1901" xr:uid="{5F343902-2A0B-4BF4-96E5-6FFE33E3598F}"/>
    <cellStyle name="Celda vinculada 28" xfId="1902" xr:uid="{80A53D70-3B76-4F58-91F2-2870E3007137}"/>
    <cellStyle name="Celda vinculada 29" xfId="1903" xr:uid="{C6C09B62-FFA8-4335-9E9C-D8527A5E4C82}"/>
    <cellStyle name="Celda vinculada 3" xfId="351" xr:uid="{9941446B-6694-4E05-9DB6-87A6129C6246}"/>
    <cellStyle name="Celda vinculada 3 2" xfId="12449" xr:uid="{BC5BDF0F-483E-44C4-BC08-497CE9AC0075}"/>
    <cellStyle name="Celda vinculada 30" xfId="1904" xr:uid="{8298F431-B3BF-46F9-AFDA-67C8E9940D22}"/>
    <cellStyle name="Celda vinculada 31" xfId="1905" xr:uid="{2C8374F4-D929-4842-9273-41F1B08E2DBE}"/>
    <cellStyle name="Celda vinculada 32" xfId="1906" xr:uid="{C1B316CD-0297-49B6-8463-6E0245D0BC32}"/>
    <cellStyle name="Celda vinculada 33" xfId="1907" xr:uid="{0825022A-7EA2-428A-8CF5-765AB4F2BBF0}"/>
    <cellStyle name="Celda vinculada 34" xfId="1908" xr:uid="{BA704153-F7FD-49F9-A523-0EFD69A31062}"/>
    <cellStyle name="Celda vinculada 35" xfId="1909" xr:uid="{437ED50B-7489-4C04-8142-AB4E33595D12}"/>
    <cellStyle name="Celda vinculada 36" xfId="1910" xr:uid="{ADB1C1BC-04F4-4EC1-A135-B905F2A7FE2C}"/>
    <cellStyle name="Celda vinculada 37" xfId="1911" xr:uid="{746E12B8-172D-40E1-B60C-7B210737AF81}"/>
    <cellStyle name="Celda vinculada 38" xfId="1912" xr:uid="{5AFFCF09-3B01-4F4E-94FA-E5F834D7A5ED}"/>
    <cellStyle name="Celda vinculada 39" xfId="1913" xr:uid="{9015D18B-EF12-4620-ACB3-8F757496C3E6}"/>
    <cellStyle name="Celda vinculada 4" xfId="352" xr:uid="{4AF47967-CAD0-481F-A08D-AEE487D3FF52}"/>
    <cellStyle name="Celda vinculada 4 2" xfId="12516" xr:uid="{8375C2F9-3C65-4247-AFE7-ED1B994B443F}"/>
    <cellStyle name="Celda vinculada 40" xfId="1914" xr:uid="{C4CEB197-326B-4DDE-9D51-E4C36EEBC8B6}"/>
    <cellStyle name="Celda vinculada 41" xfId="1915" xr:uid="{276D87D2-EF8F-4DA7-BBCE-280C4BD40986}"/>
    <cellStyle name="Celda vinculada 42" xfId="1916" xr:uid="{61F18AD3-693A-4D68-B42C-1DBB5AD5C450}"/>
    <cellStyle name="Celda vinculada 43" xfId="1917" xr:uid="{4312F5C2-59E8-46B0-8693-404E397B01C8}"/>
    <cellStyle name="Celda vinculada 44" xfId="1918" xr:uid="{F674DE30-DFC7-455C-994F-CF05E6E64DAC}"/>
    <cellStyle name="Celda vinculada 45" xfId="1919" xr:uid="{E79A313D-8A77-4494-8911-811A328353DB}"/>
    <cellStyle name="Celda vinculada 46" xfId="1920" xr:uid="{FA16B8B0-916A-4EA8-9E80-DC14379314BA}"/>
    <cellStyle name="Celda vinculada 47" xfId="1921" xr:uid="{091DA361-A7D2-409B-BCA8-624322AF592D}"/>
    <cellStyle name="Celda vinculada 48" xfId="1922" xr:uid="{65578B27-CA4F-4E71-B414-917FAAE14616}"/>
    <cellStyle name="Celda vinculada 49" xfId="1923" xr:uid="{A8DC568F-A153-41E5-A6F8-49A71EC7F85E}"/>
    <cellStyle name="Celda vinculada 5" xfId="353" xr:uid="{94271E11-BC11-49DE-97F3-A3DABEE0C8D8}"/>
    <cellStyle name="Celda vinculada 5 2" xfId="13184" xr:uid="{18E43B04-6397-4CA2-B625-A891339B3F86}"/>
    <cellStyle name="Celda vinculada 50" xfId="1924" xr:uid="{52DEF127-DBCD-4611-9F6A-697C0744F8B0}"/>
    <cellStyle name="Celda vinculada 51" xfId="1925" xr:uid="{F693D38A-217C-4344-8141-20CD70715179}"/>
    <cellStyle name="Celda vinculada 52" xfId="1926" xr:uid="{A622DC62-4EF4-4C80-9E65-A0AD42D6F874}"/>
    <cellStyle name="Celda vinculada 53" xfId="1927" xr:uid="{603CAB27-4CCA-4283-9D6C-5B0D5D69C4A6}"/>
    <cellStyle name="Celda vinculada 54" xfId="1928" xr:uid="{628FC6BC-ACD0-4D31-8428-26A2B1865243}"/>
    <cellStyle name="Celda vinculada 55" xfId="1929" xr:uid="{5181F229-2CE5-4D4E-917D-E2CC9F271099}"/>
    <cellStyle name="Celda vinculada 56" xfId="1930" xr:uid="{673DF738-26AB-4E54-B103-67C65F508D35}"/>
    <cellStyle name="Celda vinculada 57" xfId="1931" xr:uid="{BFDEFFFD-C6A7-47C7-BD58-AC95F9CCCA6C}"/>
    <cellStyle name="Celda vinculada 58" xfId="1932" xr:uid="{789FC903-D021-4079-83AB-2EBE15E971FB}"/>
    <cellStyle name="Celda vinculada 59" xfId="1933" xr:uid="{31456B2A-09FF-470E-9EF4-8F1340D5F375}"/>
    <cellStyle name="Celda vinculada 6" xfId="354" xr:uid="{31C1E0AC-B71D-49DA-87C5-50DB125A7064}"/>
    <cellStyle name="Celda vinculada 6 2" xfId="13757" xr:uid="{16DA4C8D-A624-4C35-A16F-2E174B12C52E}"/>
    <cellStyle name="Celda vinculada 60" xfId="1934" xr:uid="{E0291739-B5FD-49AF-B431-559022FD36F4}"/>
    <cellStyle name="Celda vinculada 61" xfId="1935" xr:uid="{F72CEA49-A319-4473-AFCC-CD0EC653F506}"/>
    <cellStyle name="Celda vinculada 62" xfId="1936" xr:uid="{3BF86F3B-8D3D-4796-B63A-FBDA8DD2C12F}"/>
    <cellStyle name="Celda vinculada 63" xfId="1937" xr:uid="{661EA003-A458-4C04-AB60-3F91CCA176AC}"/>
    <cellStyle name="Celda vinculada 64" xfId="1938" xr:uid="{C9A4F69B-811B-4B77-87E9-7F20AFC2950F}"/>
    <cellStyle name="Celda vinculada 65" xfId="1939" xr:uid="{8B54BAEF-48FC-4917-815C-BE34E820C93F}"/>
    <cellStyle name="Celda vinculada 66" xfId="1940" xr:uid="{4317DF8F-DB79-4D7C-9F4B-208B3BDCEBF3}"/>
    <cellStyle name="Celda vinculada 67" xfId="1941" xr:uid="{C3E3F76C-1BC2-42D2-855E-2B6D74B601AE}"/>
    <cellStyle name="Celda vinculada 68" xfId="519" xr:uid="{8E8BD28E-CFFA-40D8-B143-C651C5E952FB}"/>
    <cellStyle name="Celda vinculada 7" xfId="355" xr:uid="{C4EDD4AF-4A1F-4813-9B4D-A618410B0128}"/>
    <cellStyle name="Celda vinculada 8" xfId="1942" xr:uid="{FFD3F1C5-C5D9-4935-A0C1-85BC6F05ED5E}"/>
    <cellStyle name="Celda vinculada 9" xfId="1943" xr:uid="{A49D4C14-19FF-44F7-B9C4-FC4A2932DCAE}"/>
    <cellStyle name="Check Cell" xfId="13983" xr:uid="{475106C2-A1EE-4F1F-8AAC-D0A437070C34}"/>
    <cellStyle name="Coma 2" xfId="11562" xr:uid="{4C627C16-8CFD-4B29-8C08-E79CA36DB6FC}"/>
    <cellStyle name="Comma" xfId="1" xr:uid="{06E32E84-56DC-4F1F-ACDB-64CFFE20107A}"/>
    <cellStyle name="Comma 2" xfId="11563" xr:uid="{99D5755C-59AA-48FB-936A-AAABBA55B100}"/>
    <cellStyle name="Comma0" xfId="122" xr:uid="{AF76CCC7-6388-4E88-AE27-48D31A430DD7}"/>
    <cellStyle name="Comma0 - Modelo1" xfId="12403" xr:uid="{77F342C3-855C-4C2B-AC1A-946705E074B1}"/>
    <cellStyle name="Comma0 - Style1" xfId="13256" xr:uid="{00945A2E-AD12-4229-9D03-19293799452C}"/>
    <cellStyle name="Comma0 - Style1 10" xfId="13654" xr:uid="{5A22227E-87F2-4C2A-BD94-CFED983D75D0}"/>
    <cellStyle name="Comma0 - Style1 11" xfId="13984" xr:uid="{6E424828-C795-43A7-A6EB-7FDD53B6CF49}"/>
    <cellStyle name="Comma0 - Style1 12" xfId="11016" xr:uid="{DB8D0843-9F9D-452A-8A69-01CA494E1EFE}"/>
    <cellStyle name="Comma0 - Style1 13" xfId="13426" xr:uid="{6A9B5978-FC24-46BC-A2E0-B2BE53D4B496}"/>
    <cellStyle name="Comma0 - Style1 14" xfId="11565" xr:uid="{FC736C6F-06E2-464D-87BA-DD1D2756ECF4}"/>
    <cellStyle name="Comma0 - Style1 15" xfId="11566" xr:uid="{0868E528-C0FF-4DA0-B16F-90285D563303}"/>
    <cellStyle name="Comma0 - Style1 16" xfId="13079" xr:uid="{E2F700C8-79E0-4BFA-A6B4-3D8793D92FAC}"/>
    <cellStyle name="Comma0 - Style1 17" xfId="13594" xr:uid="{FD7B130C-C31F-4D12-8889-D32784DED37A}"/>
    <cellStyle name="Comma0 - Style1 18" xfId="11270" xr:uid="{48CE3DC4-AA06-40B8-B72F-31E72895E9A5}"/>
    <cellStyle name="Comma0 - Style1 19" xfId="11567" xr:uid="{C360C4E8-E557-4CDF-8F40-63E601F01D75}"/>
    <cellStyle name="Comma0 - Style1 2" xfId="13353" xr:uid="{DCB03D9B-0AB6-4A95-BDA8-A38F220B9E74}"/>
    <cellStyle name="Comma0 - Style1 20" xfId="11568" xr:uid="{8D68A509-DD91-4F23-8E8D-934317911881}"/>
    <cellStyle name="Comma0 - Style1 21" xfId="13528" xr:uid="{292FE229-3F60-4B1C-9321-03ECBD50AAE6}"/>
    <cellStyle name="Comma0 - Style1 22" xfId="12997" xr:uid="{B3DF6AAB-ADDC-4726-9F38-ECA237B010E1}"/>
    <cellStyle name="Comma0 - Style1 23" xfId="11569" xr:uid="{BD533973-144B-4B99-B03C-D07F309198C2}"/>
    <cellStyle name="Comma0 - Style1 3" xfId="11570" xr:uid="{A5E84D5A-ED9A-4E52-A670-C1FB5BF06740}"/>
    <cellStyle name="Comma0 - Style1 4" xfId="13185" xr:uid="{387AA507-D879-4492-BFFB-1715498A9BF9}"/>
    <cellStyle name="Comma0 - Style1 5" xfId="13758" xr:uid="{BE41FEB6-236B-41EF-B11E-DBE3F582BC53}"/>
    <cellStyle name="Comma0 - Style1 6" xfId="13985" xr:uid="{43CE4FDF-89E7-42E0-9406-58A33F794A40}"/>
    <cellStyle name="Comma0 - Style1 7" xfId="11271" xr:uid="{7C60B5D9-1AA5-4E82-A0AE-FB5BD0CEDCBD}"/>
    <cellStyle name="Comma0 - Style1 8" xfId="11571" xr:uid="{86FDF3CD-2B81-4D63-9513-91B3EBD578AC}"/>
    <cellStyle name="Comma0 - Style1 9" xfId="13354" xr:uid="{32FEEA27-8727-44BA-96FD-A1901FDB7A6C}"/>
    <cellStyle name="Comma0 2" xfId="11564" xr:uid="{98B3BABF-CFE4-419D-BEF7-35BD42E6BF84}"/>
    <cellStyle name="Comma0 3" xfId="11334" xr:uid="{5EE04928-FC03-4C24-9586-644B1CADF908}"/>
    <cellStyle name="Comma1 - Modelo2" xfId="12450" xr:uid="{28BF0D2D-C97E-48B8-A703-5855B9124DAC}"/>
    <cellStyle name="Comma1 - Style2" xfId="13529" xr:uid="{22A88565-BB42-4A5F-BA08-32997776585F}"/>
    <cellStyle name="Currency" xfId="2" xr:uid="{EC497DFC-94C8-4A8C-99FA-DFF9964CE40B}"/>
    <cellStyle name="Currency 2" xfId="12451" xr:uid="{97EE5D16-EC5F-4A2B-80CD-65FCCBC1A4C2}"/>
    <cellStyle name="Currency 3" xfId="11170" xr:uid="{8473B3FA-CF6D-4CCA-985A-8CF312ADA094}"/>
    <cellStyle name="Currency0" xfId="123" xr:uid="{17EA72D9-7271-4652-B678-5D47DD3D5AE1}"/>
    <cellStyle name="Currency0 2" xfId="11214" xr:uid="{2326F889-459A-48C1-A78F-219891BB25BD}"/>
    <cellStyle name="Date" xfId="13186" xr:uid="{D9B41C84-418B-4C56-A229-C45AC830087A}"/>
    <cellStyle name="Date 10" xfId="13759" xr:uid="{1E9FBE02-5240-45B6-86BC-27185CBD130D}"/>
    <cellStyle name="Date 11" xfId="13986" xr:uid="{AF22EA5B-46AB-4A37-9D73-7439CB7A582F}"/>
    <cellStyle name="Date 12" xfId="11668" xr:uid="{832BF099-3991-4BB8-A6ED-930268FDFFB7}"/>
    <cellStyle name="Date 13" xfId="11572" xr:uid="{56FD5954-1425-4BA8-92F8-48CD90783288}"/>
    <cellStyle name="Date 14" xfId="11573" xr:uid="{8CD8C46B-1379-482A-944B-1C0D43031AAA}"/>
    <cellStyle name="Date 15" xfId="13255" xr:uid="{F556C28D-BAD3-4678-9E5D-FE526D789290}"/>
    <cellStyle name="Date 16" xfId="13653" xr:uid="{502B5AE4-0BB6-480A-85A5-74699EF81757}"/>
    <cellStyle name="Date 17" xfId="12965" xr:uid="{8DA1D1B3-3112-4F39-BD46-64C0F8197F68}"/>
    <cellStyle name="Date 18" xfId="13987" xr:uid="{66FE0184-8E51-4976-B3DA-1E78F12D9B14}"/>
    <cellStyle name="Date 19" xfId="11574" xr:uid="{A4EBAEDD-6DB0-4F30-8423-57B813F2EE61}"/>
    <cellStyle name="Date 2" xfId="13425" xr:uid="{C32FE7C2-326F-4B2F-8A2E-5E24ADC08138}"/>
    <cellStyle name="Date 2 10" xfId="11017" xr:uid="{61F344FB-2691-428F-902B-25CFAF80FB32}"/>
    <cellStyle name="Date 2 11" xfId="11575" xr:uid="{005C4A3E-5BB0-4FF5-B637-EB81CE71EE6B}"/>
    <cellStyle name="Date 2 12" xfId="13078" xr:uid="{89C0408D-4D2F-4A77-8176-C1A2143FFBE2}"/>
    <cellStyle name="Date 2 13" xfId="12597" xr:uid="{CE21FFD9-4F77-44BC-B8D0-89219C996D24}"/>
    <cellStyle name="Date 2 14" xfId="13595" xr:uid="{283B8F3A-83AA-4CB1-A116-E90AECD5893A}"/>
    <cellStyle name="Date 2 15" xfId="13828" xr:uid="{F516D7DA-38D3-43EB-9BAE-F239B01F0382}"/>
    <cellStyle name="Date 2 16" xfId="11205" xr:uid="{70F0C069-6C1F-476A-BF64-2CD6982958B5}"/>
    <cellStyle name="Date 2 17" xfId="11219" xr:uid="{70E8F89F-E53F-4122-AD35-E525EC6CD89F}"/>
    <cellStyle name="Date 2 18" xfId="13829" xr:uid="{F0DE94E1-06A7-493B-8BB4-F5229201EFDC}"/>
    <cellStyle name="Date 2 19" xfId="11272" xr:uid="{322E9A84-87C7-44C1-9C0B-945868679063}"/>
    <cellStyle name="Date 2 2" xfId="11576" xr:uid="{02397467-AD83-4D0D-80D9-20C970AFB6E5}"/>
    <cellStyle name="Date 2 20" xfId="13355" xr:uid="{BAAE68AB-537A-4F63-9826-400718D77CD5}"/>
    <cellStyle name="Date 2 21" xfId="11577" xr:uid="{9D3B7EFD-3B6B-49FA-B122-E3DC6D1988F6}"/>
    <cellStyle name="Date 2 22" xfId="13530" xr:uid="{35EC1172-0EA8-4086-889E-2E8D29A2B549}"/>
    <cellStyle name="Date 2 23" xfId="11578" xr:uid="{512E0D35-7BFB-49A9-A2A9-628B937C6D14}"/>
    <cellStyle name="Date 2 3" xfId="11683" xr:uid="{D00B9E88-DF7A-48BA-945A-63ECB9FF5F67}"/>
    <cellStyle name="Date 2 4" xfId="13187" xr:uid="{A9450BF2-B795-45AA-BC19-8C15E257DC3C}"/>
    <cellStyle name="Date 2 5" xfId="13760" xr:uid="{97BD9DC4-16D0-49E4-8CAB-EC3EA005945B}"/>
    <cellStyle name="Date 2 6" xfId="12966" xr:uid="{2C566C1B-CACD-4611-9414-265A94B0E1D7}"/>
    <cellStyle name="Date 2 7" xfId="13988" xr:uid="{9793C397-1A09-4F93-8D3B-8CCF1DA4302A}"/>
    <cellStyle name="Date 2 8" xfId="11273" xr:uid="{F209C1D5-208B-4AF9-AA8E-7D885B8A1660}"/>
    <cellStyle name="Date 2 9" xfId="12452" xr:uid="{6EAD3A1F-A7E4-47C2-8C69-8D802318C854}"/>
    <cellStyle name="Date 20" xfId="13356" xr:uid="{1A48C5B5-5677-41C5-9BDD-2E9E8DCF46A2}"/>
    <cellStyle name="Date 21" xfId="11579" xr:uid="{AA837521-5DDE-4E5C-B88C-00222F763901}"/>
    <cellStyle name="Date 22" xfId="13531" xr:uid="{0C932DA1-2DB4-4D72-82CB-BF99BE1EF768}"/>
    <cellStyle name="Date 23" xfId="11580" xr:uid="{32B25C57-9126-4390-B816-0FE148B33C61}"/>
    <cellStyle name="Date 3" xfId="11581" xr:uid="{F25ED37E-A175-4EC2-BE9F-E4B73F1F46F9}"/>
    <cellStyle name="Date 4" xfId="13188" xr:uid="{9ECE3224-E4AA-4FFA-94B2-AAF5909192D6}"/>
    <cellStyle name="Date 5" xfId="13761" xr:uid="{4A561460-BEF2-49E8-8337-48E4BD8B6632}"/>
    <cellStyle name="Date 6" xfId="12967" xr:uid="{C2A1BB33-C1F1-422B-87DC-46A4118CBAD4}"/>
    <cellStyle name="Date 7" xfId="13989" xr:uid="{3ED8BC15-CD86-462F-95C1-0892AAC4BC1F}"/>
    <cellStyle name="Date 8" xfId="11582" xr:uid="{0C1F0E0D-2399-4B8E-A0D9-748A5BCCEC6D}"/>
    <cellStyle name="Date 9" xfId="11041" xr:uid="{CCAC1EAE-C6D2-4A33-96E0-5550DAF26FC5}"/>
    <cellStyle name="Date_09.06.10" xfId="11018" xr:uid="{1BFD6727-7D28-4E28-91D2-A05EBCB7D200}"/>
    <cellStyle name="DIA" xfId="124" xr:uid="{972A7B99-3445-4E88-9291-7F25F042A17D}"/>
    <cellStyle name="Dia 2" xfId="13257" xr:uid="{AECA9D14-E4FE-4E49-A48A-50003B698F9B}"/>
    <cellStyle name="ENCABEZ1" xfId="125" xr:uid="{2448120D-CCC4-45CD-8F0F-2713B47C18CF}"/>
    <cellStyle name="Encabez1 2" xfId="13656" xr:uid="{33C147A7-1AE7-4872-9981-F27CA364FD84}"/>
    <cellStyle name="ENCABEZ2" xfId="126" xr:uid="{54A360F2-BC88-4746-9B7E-413966D58355}"/>
    <cellStyle name="Encabez2 2" xfId="13990" xr:uid="{2C08E4B7-2398-41E8-90F5-54DF0D4F55E6}"/>
    <cellStyle name="Encabezado 1 2" xfId="127" xr:uid="{435550D1-F2C2-4A16-BDBE-3B0CD0AD69ED}"/>
    <cellStyle name="Encabezado 2" xfId="128" xr:uid="{AF7D5369-EF7A-4ABD-BF15-44BA8D86A0CF}"/>
    <cellStyle name="Encabezado 4 10" xfId="1944" xr:uid="{78B8B1DE-FE4A-42AF-96EF-CD1EA49AA3F2}"/>
    <cellStyle name="Encabezado 4 11" xfId="1945" xr:uid="{A1E319F5-D16A-4795-8220-77320ED9D9C5}"/>
    <cellStyle name="Encabezado 4 12" xfId="1946" xr:uid="{FB8C1172-576F-4C09-A05D-FB3F1B18CC15}"/>
    <cellStyle name="Encabezado 4 13" xfId="1947" xr:uid="{63B9DF23-B041-4A99-933B-CBBD756FC53A}"/>
    <cellStyle name="Encabezado 4 14" xfId="1948" xr:uid="{F7105369-8FA8-4692-9AF2-034745287269}"/>
    <cellStyle name="Encabezado 4 15" xfId="1949" xr:uid="{4D15F888-C703-46CB-B2B3-CF48D3822B06}"/>
    <cellStyle name="Encabezado 4 16" xfId="1950" xr:uid="{2E279063-DB5C-4BB2-AFAA-C73228898730}"/>
    <cellStyle name="Encabezado 4 17" xfId="1951" xr:uid="{FC2C32C0-EF8B-40A5-88B8-84873D7BA8B5}"/>
    <cellStyle name="Encabezado 4 18" xfId="1952" xr:uid="{4095CF0D-A27F-43C1-AD39-4D09A415EE11}"/>
    <cellStyle name="Encabezado 4 19" xfId="1953" xr:uid="{6053481E-6A42-4D6E-82C4-BA12CBB3DDA6}"/>
    <cellStyle name="Encabezado 4 2" xfId="33" xr:uid="{7BA81859-E391-43B5-8858-6E07C94E1ED3}"/>
    <cellStyle name="Encabezado 4 2 2" xfId="1954" xr:uid="{9D901CA4-215B-4E7C-A3DD-EABBA9BD09E0}"/>
    <cellStyle name="Encabezado 4 2 3" xfId="1955" xr:uid="{0949F20E-F272-409C-9953-F100DDA7B8ED}"/>
    <cellStyle name="Encabezado 4 2 4" xfId="1956" xr:uid="{D1335CE3-5A77-43FB-881E-52CC2623BDF2}"/>
    <cellStyle name="Encabezado 4 2 5" xfId="1957" xr:uid="{66DED213-4BDD-4C99-A569-D4BEAC2126DE}"/>
    <cellStyle name="Encabezado 4 2 6" xfId="11583" xr:uid="{77F60619-6F5C-486D-8B29-85C125F5056E}"/>
    <cellStyle name="Encabezado 4 20" xfId="1958" xr:uid="{5D38A0EA-4E18-463B-B724-E8CE3A9C7448}"/>
    <cellStyle name="Encabezado 4 21" xfId="1959" xr:uid="{46717D70-6EF7-4D36-A38C-349FCE02FBCD}"/>
    <cellStyle name="Encabezado 4 22" xfId="1960" xr:uid="{C031EDCE-9D9C-45A4-81B5-92BEF63648E1}"/>
    <cellStyle name="Encabezado 4 23" xfId="1961" xr:uid="{CAD2ECE9-BCAC-4E73-9A1B-945838437C1E}"/>
    <cellStyle name="Encabezado 4 24" xfId="1962" xr:uid="{C0CF2F32-FA02-414C-9C69-C96B8FBC43C5}"/>
    <cellStyle name="Encabezado 4 25" xfId="1963" xr:uid="{ED49CD4E-9D7E-43E5-9D2E-B0581D3FAF2C}"/>
    <cellStyle name="Encabezado 4 26" xfId="1964" xr:uid="{187C07FF-D474-410E-94CF-95BD4677372D}"/>
    <cellStyle name="Encabezado 4 27" xfId="1965" xr:uid="{58570776-F638-466A-BE19-F6BC6E63A8F3}"/>
    <cellStyle name="Encabezado 4 28" xfId="1966" xr:uid="{E04FC2F1-B253-40D0-BE9A-F8DE63B66B60}"/>
    <cellStyle name="Encabezado 4 29" xfId="1967" xr:uid="{5D3ABB34-646C-45AE-8328-FEA436175A50}"/>
    <cellStyle name="Encabezado 4 3" xfId="356" xr:uid="{CB679B87-53E5-4719-AB5A-20EFA7E60108}"/>
    <cellStyle name="Encabezado 4 3 2" xfId="11584" xr:uid="{5B3CB6D9-5F38-45C9-B6AA-A9E759637D2D}"/>
    <cellStyle name="Encabezado 4 30" xfId="1968" xr:uid="{1082A400-4D5D-4CBE-BB11-B7409B6BEE32}"/>
    <cellStyle name="Encabezado 4 31" xfId="1969" xr:uid="{0A72D69A-B900-4C58-A105-6F23BC0B2B5C}"/>
    <cellStyle name="Encabezado 4 32" xfId="1970" xr:uid="{2070BED0-E293-488B-99E4-D81C76A9A232}"/>
    <cellStyle name="Encabezado 4 33" xfId="1971" xr:uid="{A5B26BEC-1873-432A-ADEC-A790FDA0BB8B}"/>
    <cellStyle name="Encabezado 4 34" xfId="1972" xr:uid="{5544F54F-A9DA-48EB-A1E9-DE2D0DFC3D48}"/>
    <cellStyle name="Encabezado 4 35" xfId="1973" xr:uid="{0A0A6158-A250-4B1B-B3B5-1ED236BCDF79}"/>
    <cellStyle name="Encabezado 4 36" xfId="1974" xr:uid="{F54F53F7-1DDF-40FA-8E30-E4BBB6603C51}"/>
    <cellStyle name="Encabezado 4 37" xfId="1975" xr:uid="{BB5004F3-71C5-40E1-B2A9-F532B523BE5D}"/>
    <cellStyle name="Encabezado 4 38" xfId="1976" xr:uid="{E568F2EA-6CAE-4A97-8F6B-D13C77F91557}"/>
    <cellStyle name="Encabezado 4 39" xfId="1977" xr:uid="{45ECAF7C-A4A3-4EC2-9D79-189B3F3D7151}"/>
    <cellStyle name="Encabezado 4 4" xfId="357" xr:uid="{75A69523-A1C1-4B76-8B79-BA316B6E3E9C}"/>
    <cellStyle name="Encabezado 4 4 2" xfId="13081" xr:uid="{600F1D2D-EC35-4F74-AC62-2BA0772A4AB8}"/>
    <cellStyle name="Encabezado 4 40" xfId="1978" xr:uid="{D0BE2A16-F239-4B83-B1F9-01D7D6DD8DFF}"/>
    <cellStyle name="Encabezado 4 41" xfId="1979" xr:uid="{85C93D4D-E143-4FC7-ABDB-4CB576323073}"/>
    <cellStyle name="Encabezado 4 42" xfId="1980" xr:uid="{FB7E73E9-519B-46FC-9231-DC7BBC6B7A03}"/>
    <cellStyle name="Encabezado 4 43" xfId="1981" xr:uid="{C71A43E2-5B76-49F0-9BFF-2F817446B3EB}"/>
    <cellStyle name="Encabezado 4 44" xfId="1982" xr:uid="{D15061E3-2360-4228-8E4B-9DE9A12D95EB}"/>
    <cellStyle name="Encabezado 4 45" xfId="1983" xr:uid="{4CE7F17A-A4BC-4895-BDD3-2A93CAC5B51F}"/>
    <cellStyle name="Encabezado 4 46" xfId="1984" xr:uid="{16FA7713-BE1C-4C90-BE88-5F59E945D036}"/>
    <cellStyle name="Encabezado 4 47" xfId="1985" xr:uid="{40A29296-4DE0-49DE-8DB9-3F479E813610}"/>
    <cellStyle name="Encabezado 4 48" xfId="1986" xr:uid="{7029B801-FB71-491A-A526-96687F3DA776}"/>
    <cellStyle name="Encabezado 4 49" xfId="1987" xr:uid="{0938749B-D1FA-4360-9EEE-07680686580F}"/>
    <cellStyle name="Encabezado 4 5" xfId="358" xr:uid="{979F2998-0438-4AB1-8957-B05B3413E9C0}"/>
    <cellStyle name="Encabezado 4 5 2" xfId="13596" xr:uid="{2E2E9FCF-FF53-4505-8B6A-725B9B3C7525}"/>
    <cellStyle name="Encabezado 4 50" xfId="1988" xr:uid="{DF569908-D063-406D-AC8C-556446B5E880}"/>
    <cellStyle name="Encabezado 4 51" xfId="1989" xr:uid="{59C737A7-1904-41A6-A68C-8E0F08BE99CE}"/>
    <cellStyle name="Encabezado 4 52" xfId="1990" xr:uid="{74D4D4DB-9617-4A4F-9A31-322A730D67E6}"/>
    <cellStyle name="Encabezado 4 53" xfId="1991" xr:uid="{A027F97E-1325-4A9C-9443-DF72899307D7}"/>
    <cellStyle name="Encabezado 4 54" xfId="1992" xr:uid="{4689F66E-E277-49C2-91CC-AE30012AC374}"/>
    <cellStyle name="Encabezado 4 55" xfId="1993" xr:uid="{1CF5DAF2-6AE4-43E2-92A4-4F70463435AF}"/>
    <cellStyle name="Encabezado 4 56" xfId="1994" xr:uid="{003C6A53-AEC3-4464-8743-052FC9287CBC}"/>
    <cellStyle name="Encabezado 4 57" xfId="1995" xr:uid="{9AB03707-74A9-4182-BC40-B030DB1C419F}"/>
    <cellStyle name="Encabezado 4 58" xfId="1996" xr:uid="{244C7A26-8A49-429C-B772-EAC7AE5EF97F}"/>
    <cellStyle name="Encabezado 4 59" xfId="1997" xr:uid="{34DF145E-7B0D-488A-8870-2A724A1DA860}"/>
    <cellStyle name="Encabezado 4 6" xfId="359" xr:uid="{B5F13A4E-7727-434A-94B9-08E6835C6557}"/>
    <cellStyle name="Encabezado 4 6 2" xfId="11274" xr:uid="{DEED219C-6804-48E3-AA8B-96F4F520E972}"/>
    <cellStyle name="Encabezado 4 60" xfId="1998" xr:uid="{14132190-4B3A-4993-A014-24DA6D75E769}"/>
    <cellStyle name="Encabezado 4 61" xfId="1999" xr:uid="{5EC49457-672A-4C83-80CB-08E190449C85}"/>
    <cellStyle name="Encabezado 4 62" xfId="2000" xr:uid="{0464CA79-D60D-4FAA-A496-E5F75FBF2F4D}"/>
    <cellStyle name="Encabezado 4 63" xfId="2001" xr:uid="{A092939F-DE93-4D18-A957-1BFA3CFADB42}"/>
    <cellStyle name="Encabezado 4 64" xfId="2002" xr:uid="{5CB414EF-CD0C-4718-9076-ABEE4B374195}"/>
    <cellStyle name="Encabezado 4 65" xfId="2003" xr:uid="{C03C6798-C382-4192-A63A-F93181055720}"/>
    <cellStyle name="Encabezado 4 66" xfId="2004" xr:uid="{5DA52E68-9094-4A89-9063-AFE209E39C56}"/>
    <cellStyle name="Encabezado 4 67" xfId="2005" xr:uid="{40EEADDC-C739-4EEE-A395-E312E4027CC4}"/>
    <cellStyle name="Encabezado 4 68" xfId="520" xr:uid="{B2649272-D73E-4E77-8F88-F14830AF9AC3}"/>
    <cellStyle name="Encabezado 4 7" xfId="360" xr:uid="{93066855-68FB-469B-94F7-F7031AF14DDA}"/>
    <cellStyle name="Encabezado 4 8" xfId="2006" xr:uid="{34BB71BE-4B02-4CEB-9852-515DB97CBF17}"/>
    <cellStyle name="Encabezado 4 9" xfId="2007" xr:uid="{B6EE88B0-9260-4BC4-91A2-B2C000002D82}"/>
    <cellStyle name="Énfasis1 10" xfId="2008" xr:uid="{C1D4D360-BB68-40FF-B9F3-7669432C173C}"/>
    <cellStyle name="Énfasis1 11" xfId="2009" xr:uid="{B04C612D-3DF9-4FED-B7BF-70C6F04A9157}"/>
    <cellStyle name="Énfasis1 12" xfId="2010" xr:uid="{E7EC5CB5-529E-4E66-B9BB-0B04583DD3A1}"/>
    <cellStyle name="Énfasis1 13" xfId="2011" xr:uid="{F64A10CD-3577-48DB-8CC7-7672F6F31B9F}"/>
    <cellStyle name="Énfasis1 14" xfId="2012" xr:uid="{C8F231BC-C67E-4146-B43C-FB350B72BCFC}"/>
    <cellStyle name="Énfasis1 15" xfId="2013" xr:uid="{9227A955-1D22-4D4E-907D-CCE1C14D474B}"/>
    <cellStyle name="Énfasis1 16" xfId="2014" xr:uid="{BB6CF43D-0A29-4892-B1B6-B046664808FD}"/>
    <cellStyle name="Énfasis1 17" xfId="2015" xr:uid="{66254051-E291-4FC3-AAF8-AAC607B726EC}"/>
    <cellStyle name="Énfasis1 18" xfId="2016" xr:uid="{E8B11602-F4E0-4874-A3FC-FFCC3122F4E8}"/>
    <cellStyle name="Énfasis1 19" xfId="2017" xr:uid="{E606820E-27C4-4F5B-AB47-2E5EFA0A903A}"/>
    <cellStyle name="Énfasis1 2" xfId="34" xr:uid="{5FDF4553-AA0A-436E-962F-37CD3BB1615F}"/>
    <cellStyle name="Énfasis1 2 2" xfId="2018" xr:uid="{32F9CBC8-8523-4921-8528-3C6B5EEAA43A}"/>
    <cellStyle name="Énfasis1 2 3" xfId="2019" xr:uid="{2F0D5485-3B13-466E-98CD-85F655962270}"/>
    <cellStyle name="Énfasis1 2 4" xfId="2020" xr:uid="{56475CE4-FCE1-42D3-B7B4-9E982F22A9AD}"/>
    <cellStyle name="Énfasis1 2 5" xfId="2021" xr:uid="{4A8E711D-9E3D-405C-912F-F0F1B22B85F4}"/>
    <cellStyle name="Énfasis1 2 6" xfId="12998" xr:uid="{746EC2D3-B5E4-461D-9842-E546681758D8}"/>
    <cellStyle name="Énfasis1 20" xfId="2022" xr:uid="{0CC88643-5AFB-427E-88F7-3CB2B4AB8893}"/>
    <cellStyle name="Énfasis1 21" xfId="2023" xr:uid="{03BFA069-AAFA-4912-99DE-3A02F6071998}"/>
    <cellStyle name="Énfasis1 22" xfId="2024" xr:uid="{6A87F039-7232-49E2-B5F1-F7E49CE79EF9}"/>
    <cellStyle name="Énfasis1 23" xfId="2025" xr:uid="{A95E5AAF-5F2D-474A-8712-7A7D4B22211A}"/>
    <cellStyle name="Énfasis1 24" xfId="2026" xr:uid="{D6010D48-BDE0-48ED-9DE5-8C395E686786}"/>
    <cellStyle name="Énfasis1 25" xfId="2027" xr:uid="{27E48003-8D8F-4E0E-84EA-2B103426BE79}"/>
    <cellStyle name="Énfasis1 26" xfId="2028" xr:uid="{AFC2AF83-16E7-42BF-82FF-ED10874CCA16}"/>
    <cellStyle name="Énfasis1 27" xfId="2029" xr:uid="{81179961-4C34-4232-B2D2-698E74913A3E}"/>
    <cellStyle name="Énfasis1 28" xfId="2030" xr:uid="{F0B19D29-A02B-4255-99E8-C201C1708164}"/>
    <cellStyle name="Énfasis1 29" xfId="2031" xr:uid="{92F921F8-E313-48F2-8DA3-FF9D08A1FD1C}"/>
    <cellStyle name="Énfasis1 3" xfId="361" xr:uid="{222711F2-1F95-4975-9020-CAF9D3CC07D6}"/>
    <cellStyle name="Énfasis1 3 2" xfId="13357" xr:uid="{4D1337C9-98B7-4B90-B085-DBBC0158C7F1}"/>
    <cellStyle name="Énfasis1 30" xfId="2032" xr:uid="{E874B9EA-02EA-455E-B4EE-A001855C9153}"/>
    <cellStyle name="Énfasis1 31" xfId="2033" xr:uid="{9FCA2E36-475B-4872-9C10-54A813CD76B4}"/>
    <cellStyle name="Énfasis1 32" xfId="2034" xr:uid="{B54E2E64-3CA1-49EB-B322-676559433CA5}"/>
    <cellStyle name="Énfasis1 33" xfId="2035" xr:uid="{1E15A6B6-9C50-4911-B5DF-DC3A3DBDE742}"/>
    <cellStyle name="Énfasis1 34" xfId="2036" xr:uid="{4007B8A3-322E-41D6-ADF1-40F8005E248F}"/>
    <cellStyle name="Énfasis1 35" xfId="2037" xr:uid="{6C16646C-9EDC-4F02-BE22-B63B55FD6889}"/>
    <cellStyle name="Énfasis1 36" xfId="2038" xr:uid="{B8A8EA3A-3D6D-4143-A7EE-92F70C7E3C53}"/>
    <cellStyle name="Énfasis1 37" xfId="2039" xr:uid="{6941D42C-040E-45E3-A33A-7F46D94B6ED8}"/>
    <cellStyle name="Énfasis1 38" xfId="2040" xr:uid="{D3F43F50-4EC9-47A4-8A49-66FE3CBBCE56}"/>
    <cellStyle name="Énfasis1 39" xfId="2041" xr:uid="{2BCE90CB-6954-4E2C-9287-2F4219AEA019}"/>
    <cellStyle name="Énfasis1 4" xfId="362" xr:uid="{DDCA09FA-BBBA-4941-949D-7704BB8A65FC}"/>
    <cellStyle name="Énfasis1 4 2" xfId="12453" xr:uid="{30EAB2F0-E072-47FD-A685-651A0C508DFE}"/>
    <cellStyle name="Énfasis1 40" xfId="2042" xr:uid="{5EF07344-9176-47FE-97A1-45C6B64237CC}"/>
    <cellStyle name="Énfasis1 41" xfId="2043" xr:uid="{FC8C0B72-2EEF-4512-B3C8-1AED26AF5A82}"/>
    <cellStyle name="Énfasis1 42" xfId="2044" xr:uid="{01F67E5E-B34D-4C38-81F6-73061CDF0921}"/>
    <cellStyle name="Énfasis1 43" xfId="2045" xr:uid="{A275D277-0B47-4139-B475-A01250C2D176}"/>
    <cellStyle name="Énfasis1 44" xfId="2046" xr:uid="{9655C221-2A68-4396-B96A-E75123C3904B}"/>
    <cellStyle name="Énfasis1 45" xfId="2047" xr:uid="{1AAFD1E0-CCC9-4265-A3E0-5308DB4E210B}"/>
    <cellStyle name="Énfasis1 46" xfId="2048" xr:uid="{3E49ABCF-EBD5-4C8C-B79F-A282406D1379}"/>
    <cellStyle name="Énfasis1 47" xfId="2049" xr:uid="{7FA62AF8-839B-4C4C-8BEA-A2BD50720DB8}"/>
    <cellStyle name="Énfasis1 48" xfId="2050" xr:uid="{67405BC2-DFBD-4F47-B276-93A72CEB74A2}"/>
    <cellStyle name="Énfasis1 49" xfId="2051" xr:uid="{2B9C4A95-EAC3-4E72-8BD9-E2C6DCC89736}"/>
    <cellStyle name="Énfasis1 5" xfId="363" xr:uid="{B22D0856-B472-4CBB-A265-7CD487C67AAB}"/>
    <cellStyle name="Énfasis1 5 2" xfId="13532" xr:uid="{FB26FE99-7D41-4B5B-9E3C-DB2F91234746}"/>
    <cellStyle name="Énfasis1 50" xfId="2052" xr:uid="{2733202F-257C-448D-8BF5-61E4515ED56E}"/>
    <cellStyle name="Énfasis1 51" xfId="2053" xr:uid="{F013AC80-DDD3-4686-8CFB-BE8B865BDD68}"/>
    <cellStyle name="Énfasis1 52" xfId="2054" xr:uid="{85A74EA4-815B-406E-B936-2B9185D6515C}"/>
    <cellStyle name="Énfasis1 53" xfId="2055" xr:uid="{A283A356-E772-4D83-8675-0E8F00FF0D0A}"/>
    <cellStyle name="Énfasis1 54" xfId="2056" xr:uid="{34DB7EB7-62E4-4F23-84F2-457D79140B10}"/>
    <cellStyle name="Énfasis1 55" xfId="2057" xr:uid="{83CD1AD1-09E0-4AF1-BCD5-E1F2CD01E3A2}"/>
    <cellStyle name="Énfasis1 56" xfId="2058" xr:uid="{876BB14B-9A5F-460C-8F89-807C926334FF}"/>
    <cellStyle name="Énfasis1 57" xfId="2059" xr:uid="{17A47253-380F-4492-9059-8B33BEA90791}"/>
    <cellStyle name="Énfasis1 58" xfId="2060" xr:uid="{D1702E82-F7CD-4A2C-B939-2BAE7C960D1A}"/>
    <cellStyle name="Énfasis1 59" xfId="2061" xr:uid="{E0DDB71D-C3AD-44D8-96A3-A9123D0F08A0}"/>
    <cellStyle name="Énfasis1 6" xfId="364" xr:uid="{E9499D37-2843-4059-BA66-796136779EF5}"/>
    <cellStyle name="Énfasis1 6 2" xfId="12454" xr:uid="{DA83B833-20B5-4C7D-9825-5A8D8E9BA501}"/>
    <cellStyle name="Énfasis1 60" xfId="2062" xr:uid="{90361125-6210-49AF-A63B-504E8C72D409}"/>
    <cellStyle name="Énfasis1 61" xfId="2063" xr:uid="{7214DCCF-EADA-48C1-BCAD-99BA7CB8D2F9}"/>
    <cellStyle name="Énfasis1 62" xfId="2064" xr:uid="{6A5FD970-85BA-43B1-8032-EFB7FE22B649}"/>
    <cellStyle name="Énfasis1 63" xfId="2065" xr:uid="{9A281420-D752-4D99-B6B0-95B1AE2C41B1}"/>
    <cellStyle name="Énfasis1 64" xfId="2066" xr:uid="{56E6499D-3C47-4EED-91E7-DA0894A768F1}"/>
    <cellStyle name="Énfasis1 65" xfId="2067" xr:uid="{C6435B97-1D5E-4B83-9DC7-E882A43DB2D4}"/>
    <cellStyle name="Énfasis1 66" xfId="2068" xr:uid="{B413D093-AA27-4715-A358-F2EDEF695D4F}"/>
    <cellStyle name="Énfasis1 67" xfId="2069" xr:uid="{0EB7FB61-E2F7-43F2-B7CA-2D571121EB7C}"/>
    <cellStyle name="Énfasis1 68" xfId="521" xr:uid="{51E227D7-0E64-4736-91C6-8B66D71EE18D}"/>
    <cellStyle name="Énfasis1 7" xfId="365" xr:uid="{06BF3AFB-9FF6-409D-B8E1-14E47D8F19E1}"/>
    <cellStyle name="Énfasis1 8" xfId="2070" xr:uid="{ACD06DD6-2070-4A70-8B02-AF32898FEFA6}"/>
    <cellStyle name="Énfasis1 9" xfId="2071" xr:uid="{FDFE80C1-BFB4-4E7E-931E-705FDA358B16}"/>
    <cellStyle name="Énfasis2 10" xfId="2072" xr:uid="{18594283-9525-4D36-A2B7-69069B432DC9}"/>
    <cellStyle name="Énfasis2 11" xfId="2073" xr:uid="{A2989821-5323-4761-A823-3C198D379DD3}"/>
    <cellStyle name="Énfasis2 12" xfId="2074" xr:uid="{52FE3BD1-46E0-4CAD-A660-1088A4869C7A}"/>
    <cellStyle name="Énfasis2 13" xfId="2075" xr:uid="{16831F3B-3583-45CC-ACFF-7962854BB4C0}"/>
    <cellStyle name="Énfasis2 14" xfId="2076" xr:uid="{5327786E-37F0-4D75-9D87-D0A1DF488E3D}"/>
    <cellStyle name="Énfasis2 15" xfId="2077" xr:uid="{FD3E1795-3D04-44DF-9149-962AA15A6882}"/>
    <cellStyle name="Énfasis2 16" xfId="2078" xr:uid="{9D6EAF34-7986-4D77-B5BD-5ABDDD21F847}"/>
    <cellStyle name="Énfasis2 17" xfId="2079" xr:uid="{1EA6343A-B00D-476F-8FE3-E8500CD124C7}"/>
    <cellStyle name="Énfasis2 18" xfId="2080" xr:uid="{8D3F40B3-99C5-4A7B-8DCC-633409ADCBAF}"/>
    <cellStyle name="Énfasis2 19" xfId="2081" xr:uid="{26755406-9FFD-427B-BE0E-BEA5AB84D005}"/>
    <cellStyle name="Énfasis2 2" xfId="35" xr:uid="{6D319872-9C1E-4D3F-8924-8C23CFA6FB64}"/>
    <cellStyle name="Énfasis2 2 2" xfId="2082" xr:uid="{BE945E5D-6B64-4C8E-8955-7E44D9E9BAAB}"/>
    <cellStyle name="Énfasis2 2 3" xfId="2083" xr:uid="{C601F882-1FA2-480F-8210-5EC1E21815DE}"/>
    <cellStyle name="Énfasis2 2 4" xfId="2084" xr:uid="{8FEA149E-1E4B-4E08-9742-28E1B3F00DED}"/>
    <cellStyle name="Énfasis2 2 5" xfId="2085" xr:uid="{15F4EB6D-7F7B-4006-951C-A931FE3A1218}"/>
    <cellStyle name="Énfasis2 2 6" xfId="11585" xr:uid="{57664EC2-0B74-409F-9CD7-F7CFBB35F25A}"/>
    <cellStyle name="Énfasis2 20" xfId="2086" xr:uid="{43488C82-72F9-40A3-A532-B53599BC74AF}"/>
    <cellStyle name="Énfasis2 21" xfId="2087" xr:uid="{86132A4D-DD60-463A-96C2-2FAD2E998DD2}"/>
    <cellStyle name="Énfasis2 22" xfId="2088" xr:uid="{9F7D512A-FD14-4E3D-9A7F-0EC6E6153877}"/>
    <cellStyle name="Énfasis2 23" xfId="2089" xr:uid="{5F94A5C6-DC70-4EE3-8078-B22FFF1BD195}"/>
    <cellStyle name="Énfasis2 24" xfId="2090" xr:uid="{580091B0-8241-47B6-B109-8A31A6B02687}"/>
    <cellStyle name="Énfasis2 25" xfId="2091" xr:uid="{55F37441-2DF8-48EF-82A5-5C6F4F238400}"/>
    <cellStyle name="Énfasis2 26" xfId="2092" xr:uid="{19E6C3DB-E9A3-4E80-958A-DA5F26AF7548}"/>
    <cellStyle name="Énfasis2 27" xfId="2093" xr:uid="{066B4FB0-0B5F-45A6-ABB5-38F9C75DFF06}"/>
    <cellStyle name="Énfasis2 28" xfId="2094" xr:uid="{4A87AB3C-A131-4A2A-9C01-CE4A219FC20D}"/>
    <cellStyle name="Énfasis2 29" xfId="2095" xr:uid="{EFB42CF4-F611-4078-B77B-CA097D54F54C}"/>
    <cellStyle name="Énfasis2 3" xfId="366" xr:uid="{E4FD0A23-BF4A-44C1-9B78-E7D344BD6AC0}"/>
    <cellStyle name="Énfasis2 3 2" xfId="13189" xr:uid="{4C661BAD-E9E9-47BB-A337-DCB50585F003}"/>
    <cellStyle name="Énfasis2 30" xfId="2096" xr:uid="{2FB7ED38-3ECA-4CB4-93F1-AE8FAECAFC36}"/>
    <cellStyle name="Énfasis2 31" xfId="2097" xr:uid="{8F403908-CC85-439E-BF02-BCF7E40014D0}"/>
    <cellStyle name="Énfasis2 32" xfId="2098" xr:uid="{3E11D2F6-2287-4C06-BBC7-23E544A9A9BE}"/>
    <cellStyle name="Énfasis2 33" xfId="2099" xr:uid="{EA34DEDE-0EDD-4AEB-9BB9-D48CA6228173}"/>
    <cellStyle name="Énfasis2 34" xfId="2100" xr:uid="{B734D1EA-58A4-4640-9364-A8F607B712BA}"/>
    <cellStyle name="Énfasis2 35" xfId="2101" xr:uid="{11440654-AAC6-45F3-8047-96D68119EB48}"/>
    <cellStyle name="Énfasis2 36" xfId="2102" xr:uid="{11769C52-E424-45E7-BA17-98343C5A79C2}"/>
    <cellStyle name="Énfasis2 37" xfId="2103" xr:uid="{B5F5A87D-A684-4DE5-A547-017C9E44E4C1}"/>
    <cellStyle name="Énfasis2 38" xfId="2104" xr:uid="{5F500445-ECEE-4A3F-AD2B-6F68543CE131}"/>
    <cellStyle name="Énfasis2 39" xfId="2105" xr:uid="{7E936707-A966-4613-B123-725DEC837BEF}"/>
    <cellStyle name="Énfasis2 4" xfId="367" xr:uid="{42ED9EF0-747B-4FD2-8798-7823267E53FF}"/>
    <cellStyle name="Énfasis2 4 2" xfId="13762" xr:uid="{225AA15A-5037-4DC9-92A0-43D1FC3271E1}"/>
    <cellStyle name="Énfasis2 40" xfId="2106" xr:uid="{21B77C84-21AF-43BC-8B2A-50A1E86A4A72}"/>
    <cellStyle name="Énfasis2 41" xfId="2107" xr:uid="{13D34D1C-AB06-4044-86A0-B72F2FA10CB1}"/>
    <cellStyle name="Énfasis2 42" xfId="2108" xr:uid="{E92A6D2F-D025-46E1-B0B0-687942EBC6EB}"/>
    <cellStyle name="Énfasis2 43" xfId="2109" xr:uid="{EBB7DF92-1B2E-4F85-9AEB-1167215C2148}"/>
    <cellStyle name="Énfasis2 44" xfId="2110" xr:uid="{1AB99F43-9354-459F-863B-924B5F73BD74}"/>
    <cellStyle name="Énfasis2 45" xfId="2111" xr:uid="{D469B1C6-0F0F-450C-B8CD-43045D8A94CA}"/>
    <cellStyle name="Énfasis2 46" xfId="2112" xr:uid="{F230CB2F-1D8D-4BBE-8297-E4E4DB670A91}"/>
    <cellStyle name="Énfasis2 47" xfId="2113" xr:uid="{6EDD8CCA-C6CD-4727-BEAF-EB837474FB4B}"/>
    <cellStyle name="Énfasis2 48" xfId="2114" xr:uid="{2F5A0784-8D7C-4CC1-A898-CBC49194A153}"/>
    <cellStyle name="Énfasis2 49" xfId="2115" xr:uid="{2D208875-E29C-4F10-BFFD-13C19B3F08D2}"/>
    <cellStyle name="Énfasis2 5" xfId="368" xr:uid="{BDFCA508-AA26-4132-BAAC-A12AB4CC8B33}"/>
    <cellStyle name="Énfasis2 5 2" xfId="13991" xr:uid="{902FBFD0-EA74-44A0-A496-350ACD7FD2D0}"/>
    <cellStyle name="Énfasis2 50" xfId="2116" xr:uid="{DBABD91E-E7F8-4F0B-9254-583599EED5E0}"/>
    <cellStyle name="Énfasis2 51" xfId="2117" xr:uid="{69D9BE74-246A-4662-A438-BADE304375B7}"/>
    <cellStyle name="Énfasis2 52" xfId="2118" xr:uid="{C2186D5F-93EC-4E15-AEF2-7524F3E8916C}"/>
    <cellStyle name="Énfasis2 53" xfId="2119" xr:uid="{B563B65B-FA18-4A25-BF3F-19A63976BC66}"/>
    <cellStyle name="Énfasis2 54" xfId="2120" xr:uid="{DCEF5001-3FFE-4F25-A135-A82D590A8BF7}"/>
    <cellStyle name="Énfasis2 55" xfId="2121" xr:uid="{8D80DDF5-291B-41D0-828C-F0EE5EF8CDB4}"/>
    <cellStyle name="Énfasis2 56" xfId="2122" xr:uid="{1361AC4E-E577-487A-B502-9ADA01D029D4}"/>
    <cellStyle name="Énfasis2 57" xfId="2123" xr:uid="{508997B5-3BC0-457B-8D40-0CC087079DCA}"/>
    <cellStyle name="Énfasis2 58" xfId="2124" xr:uid="{D377DC7F-BB56-4AF2-9000-CC4FBD109EAD}"/>
    <cellStyle name="Énfasis2 59" xfId="2125" xr:uid="{D9E78B6F-A24F-438F-ACDF-B18281F6003C}"/>
    <cellStyle name="Énfasis2 6" xfId="369" xr:uid="{5D879CC3-1739-4372-9B32-B2D8CC1161F5}"/>
    <cellStyle name="Énfasis2 6 2" xfId="11975" xr:uid="{89F5281E-F024-4E26-BA30-BE68FE47E35B}"/>
    <cellStyle name="Énfasis2 60" xfId="2126" xr:uid="{A8D205D2-1233-482F-A695-871CAEB39065}"/>
    <cellStyle name="Énfasis2 61" xfId="2127" xr:uid="{8FC98E25-CE62-42D0-BA3A-2C4DF152D2E8}"/>
    <cellStyle name="Énfasis2 62" xfId="2128" xr:uid="{7C3682EB-45E6-4305-960D-3924699BCB4B}"/>
    <cellStyle name="Énfasis2 63" xfId="2129" xr:uid="{31B80703-4AB3-4144-97A8-A4FE0223A27A}"/>
    <cellStyle name="Énfasis2 64" xfId="2130" xr:uid="{B1399393-6EC1-49D0-995A-9A3B2802C171}"/>
    <cellStyle name="Énfasis2 65" xfId="2131" xr:uid="{8A6F122C-5A6E-45C3-ACC9-C3F5B264F1BB}"/>
    <cellStyle name="Énfasis2 66" xfId="2132" xr:uid="{940A2B05-452A-4DAD-9AA0-229FFC0B1D87}"/>
    <cellStyle name="Énfasis2 67" xfId="2133" xr:uid="{266EC288-7AD8-40CD-B225-78972ECBA27A}"/>
    <cellStyle name="Énfasis2 68" xfId="522" xr:uid="{5ACD7AF4-A0F6-4207-B608-381F24583C58}"/>
    <cellStyle name="Énfasis2 7" xfId="370" xr:uid="{64E93238-07EE-4ECA-ABF6-719432829122}"/>
    <cellStyle name="Énfasis2 8" xfId="2134" xr:uid="{C3BA08E2-EBB9-4220-B4FB-4ED29DF85DFB}"/>
    <cellStyle name="Énfasis2 9" xfId="2135" xr:uid="{B44966DD-25C6-4B4C-928B-9564AD31745C}"/>
    <cellStyle name="Énfasis3 10" xfId="2136" xr:uid="{56EBAA69-04FC-44CA-9398-342D3E8A2DCC}"/>
    <cellStyle name="Énfasis3 11" xfId="2137" xr:uid="{CBBC0E57-FACA-46E8-AFB3-BF1D6C754815}"/>
    <cellStyle name="Énfasis3 12" xfId="2138" xr:uid="{10FF7141-CC0D-493B-9C11-25DEF9CEAAF9}"/>
    <cellStyle name="Énfasis3 13" xfId="2139" xr:uid="{4938F165-3F59-48CB-9A05-F2D442BCDE7C}"/>
    <cellStyle name="Énfasis3 14" xfId="2140" xr:uid="{F520C105-B11C-4E9E-92DC-AF93F2EA135A}"/>
    <cellStyle name="Énfasis3 15" xfId="2141" xr:uid="{8BE25F33-DD32-4BD0-A4C7-1CD3E2E62CC2}"/>
    <cellStyle name="Énfasis3 16" xfId="2142" xr:uid="{F998CB6E-94E8-4973-BAAC-E3A63ECE20D5}"/>
    <cellStyle name="Énfasis3 17" xfId="2143" xr:uid="{86AFD1C7-9E1C-4B25-BF14-836F88B58050}"/>
    <cellStyle name="Énfasis3 18" xfId="2144" xr:uid="{59FF013A-C7DF-4241-A7DF-706A3E1CD52D}"/>
    <cellStyle name="Énfasis3 19" xfId="2145" xr:uid="{79455F95-D17C-4427-94F4-306234657AAA}"/>
    <cellStyle name="Énfasis3 2" xfId="36" xr:uid="{AA4BDDEB-8BB2-4A1D-A722-445B72303212}"/>
    <cellStyle name="Énfasis3 2 2" xfId="2146" xr:uid="{AC5E9539-28AC-4AAF-B494-AC7C14C42639}"/>
    <cellStyle name="Énfasis3 2 3" xfId="2147" xr:uid="{57580344-9DAF-4128-8587-3128C4239503}"/>
    <cellStyle name="Énfasis3 2 4" xfId="2148" xr:uid="{A9BA08F9-4868-41B3-83F1-227422125860}"/>
    <cellStyle name="Énfasis3 2 5" xfId="2149" xr:uid="{14A9A8BE-D29B-4779-8781-560DDD0F2EFB}"/>
    <cellStyle name="Énfasis3 2 6" xfId="11586" xr:uid="{618DD54E-577A-48CA-9F04-3A3CC97FBDC4}"/>
    <cellStyle name="Énfasis3 20" xfId="2150" xr:uid="{486872E6-505A-48CD-8646-AAE6CB0245B6}"/>
    <cellStyle name="Énfasis3 21" xfId="2151" xr:uid="{B9626112-8BCA-4081-826C-2B41D3FF2165}"/>
    <cellStyle name="Énfasis3 22" xfId="2152" xr:uid="{91C4FEC1-950B-4B2A-B5F4-FD4A5D1DED84}"/>
    <cellStyle name="Énfasis3 23" xfId="2153" xr:uid="{227E133F-CDC1-4D86-8D9B-6B7743268BC0}"/>
    <cellStyle name="Énfasis3 24" xfId="2154" xr:uid="{E3B72AAB-A2DF-4313-95A8-46300B85CA52}"/>
    <cellStyle name="Énfasis3 25" xfId="2155" xr:uid="{B5793A7E-D8AC-4186-A6AB-1B378E83DC0B}"/>
    <cellStyle name="Énfasis3 26" xfId="2156" xr:uid="{F863BD57-B368-4FE9-9A59-DC8F6605AE13}"/>
    <cellStyle name="Énfasis3 27" xfId="2157" xr:uid="{FF7C7D61-6C94-4F7C-9721-B9BBEDE24E0F}"/>
    <cellStyle name="Énfasis3 28" xfId="2158" xr:uid="{28BCFA45-2DE9-4350-BB2F-850B5DA6E553}"/>
    <cellStyle name="Énfasis3 29" xfId="2159" xr:uid="{37B66925-2EEE-49A5-9DB4-C9D1B6842EC1}"/>
    <cellStyle name="Énfasis3 3" xfId="371" xr:uid="{2B0AECE3-3480-4FC2-8B88-97E50DC61A7B}"/>
    <cellStyle name="Énfasis3 3 2" xfId="13358" xr:uid="{1C286A89-1A8D-4330-A79C-4E83F17D4E44}"/>
    <cellStyle name="Énfasis3 30" xfId="2160" xr:uid="{E9ADE066-AF6A-4DF7-9301-6251ED508B9F}"/>
    <cellStyle name="Énfasis3 31" xfId="2161" xr:uid="{A7B2C743-2076-4BFC-B646-3203BCED579A}"/>
    <cellStyle name="Énfasis3 32" xfId="2162" xr:uid="{9AC4807C-8BEC-43BB-B6F3-61A66B7264DD}"/>
    <cellStyle name="Énfasis3 33" xfId="2163" xr:uid="{F3AD274A-8A1D-4F82-9756-59FD3300BEBC}"/>
    <cellStyle name="Énfasis3 34" xfId="2164" xr:uid="{395B0C29-865D-4F5F-A351-8F67260433FA}"/>
    <cellStyle name="Énfasis3 35" xfId="2165" xr:uid="{01E5A464-D7B6-4E61-9A43-F7E15754FE52}"/>
    <cellStyle name="Énfasis3 36" xfId="2166" xr:uid="{29B40D42-8A1C-4F24-9B6A-07F4F52D5D1B}"/>
    <cellStyle name="Énfasis3 37" xfId="2167" xr:uid="{0112D8E9-7DA3-4075-AF6F-59797EE15136}"/>
    <cellStyle name="Énfasis3 38" xfId="2168" xr:uid="{FBED1661-FA1B-45B4-AC11-19EAE83E8438}"/>
    <cellStyle name="Énfasis3 39" xfId="2169" xr:uid="{33FAED3C-2A33-4639-BF63-D89FD629C2D5}"/>
    <cellStyle name="Énfasis3 4" xfId="372" xr:uid="{391C338A-3813-4AB7-8DC5-8D73DEEA43E8}"/>
    <cellStyle name="Énfasis3 4 2" xfId="11587" xr:uid="{1519B660-0CD3-4528-A5D5-685E0DDC2947}"/>
    <cellStyle name="Énfasis3 40" xfId="2170" xr:uid="{7F332CC8-8CB3-4B23-A8F5-0E914C61E2B1}"/>
    <cellStyle name="Énfasis3 41" xfId="2171" xr:uid="{F01BC8F9-63FC-46E7-BC04-86FE0372993C}"/>
    <cellStyle name="Énfasis3 42" xfId="2172" xr:uid="{A9D94E1C-4D02-44F9-A5B7-09EFA6571107}"/>
    <cellStyle name="Énfasis3 43" xfId="2173" xr:uid="{49A78877-FB25-4C80-BFB9-83F542F8CE92}"/>
    <cellStyle name="Énfasis3 44" xfId="2174" xr:uid="{0FE07373-7E2A-4F5F-BFA9-8847F5785F84}"/>
    <cellStyle name="Énfasis3 45" xfId="2175" xr:uid="{E2C3C02A-4B7B-4280-9F56-96D5AD26EE59}"/>
    <cellStyle name="Énfasis3 46" xfId="2176" xr:uid="{E9F8FE77-F8DA-4A82-9437-8765C3C5A993}"/>
    <cellStyle name="Énfasis3 47" xfId="2177" xr:uid="{DA4D955C-875E-497C-A2C4-4E91806CBC6C}"/>
    <cellStyle name="Énfasis3 48" xfId="2178" xr:uid="{2B46D140-4B0C-44A9-9758-2EB0BB1A6197}"/>
    <cellStyle name="Énfasis3 49" xfId="2179" xr:uid="{80A22A7E-88C8-4DBD-9AD8-4E90249FF80D}"/>
    <cellStyle name="Énfasis3 5" xfId="373" xr:uid="{2C50F28C-FCAF-4794-B94C-F725D481CE08}"/>
    <cellStyle name="Énfasis3 5 2" xfId="12022" xr:uid="{95C25D24-8092-407A-9F2F-F87B706338C3}"/>
    <cellStyle name="Énfasis3 50" xfId="2180" xr:uid="{067B7C09-0E5D-41CA-BE04-D406E4B1F434}"/>
    <cellStyle name="Énfasis3 51" xfId="2181" xr:uid="{84EB6D12-965A-47B8-B78E-8502081EA58C}"/>
    <cellStyle name="Énfasis3 52" xfId="2182" xr:uid="{D5703C49-95FC-40D0-97F1-1984854915CF}"/>
    <cellStyle name="Énfasis3 53" xfId="2183" xr:uid="{409B3B33-E254-43A8-882C-426B30FBA611}"/>
    <cellStyle name="Énfasis3 54" xfId="2184" xr:uid="{FB8F068A-4703-4FB2-B115-017EF148C120}"/>
    <cellStyle name="Énfasis3 55" xfId="2185" xr:uid="{3B96EDAA-4428-4792-800E-D89701972CC7}"/>
    <cellStyle name="Énfasis3 56" xfId="2186" xr:uid="{195ECFDC-B8DF-46B7-9BAC-1CE83A9E7044}"/>
    <cellStyle name="Énfasis3 57" xfId="2187" xr:uid="{6BD0E577-5A5B-4AAC-853F-155089F9B368}"/>
    <cellStyle name="Énfasis3 58" xfId="2188" xr:uid="{981C49BD-A147-4207-A99E-DE3CDD855A3F}"/>
    <cellStyle name="Énfasis3 59" xfId="2189" xr:uid="{E0F1E309-D990-42E1-BF74-A7FA67D3FC1A}"/>
    <cellStyle name="Énfasis3 6" xfId="374" xr:uid="{A46088D7-C348-4563-9077-CB3A1D5C746C}"/>
    <cellStyle name="Énfasis3 6 2" xfId="11215" xr:uid="{49EE2FA7-4E0B-4BE8-A95A-3672A88AD6A3}"/>
    <cellStyle name="Énfasis3 60" xfId="2190" xr:uid="{6C62544A-8C0B-493A-A083-B30B0B239BE8}"/>
    <cellStyle name="Énfasis3 61" xfId="2191" xr:uid="{17DA0CE3-CC6B-44E5-BB7F-240B7E559779}"/>
    <cellStyle name="Énfasis3 62" xfId="2192" xr:uid="{0630ADA5-1CBA-4A8A-A04F-DF24227449FE}"/>
    <cellStyle name="Énfasis3 63" xfId="2193" xr:uid="{C338CB5E-6427-4234-84BB-A4DD6940DCD3}"/>
    <cellStyle name="Énfasis3 64" xfId="2194" xr:uid="{9274BD62-199A-4F82-ACC8-636A806C0B3F}"/>
    <cellStyle name="Énfasis3 65" xfId="2195" xr:uid="{60FA9B95-3CC8-40E9-B638-02D742A4DEBF}"/>
    <cellStyle name="Énfasis3 66" xfId="2196" xr:uid="{57D97596-1885-47DA-91B2-144A2AF3A842}"/>
    <cellStyle name="Énfasis3 67" xfId="2197" xr:uid="{D6E6D8F7-0DF9-4CCB-8E33-7A7A23F645EF}"/>
    <cellStyle name="Énfasis3 68" xfId="523" xr:uid="{26CA0CBA-B2B8-43B8-8558-18D1BD8B99B7}"/>
    <cellStyle name="Énfasis3 7" xfId="375" xr:uid="{9B039CDF-54B4-449F-BCCE-399E0C90864C}"/>
    <cellStyle name="Énfasis3 8" xfId="2198" xr:uid="{971F79A8-EE0D-456E-9418-1CBB4820A457}"/>
    <cellStyle name="Énfasis3 9" xfId="2199" xr:uid="{1C80D7BB-1761-4CDE-9F6A-ABE6F334EDFC}"/>
    <cellStyle name="Énfasis4 10" xfId="2200" xr:uid="{C8A34B17-D54F-4278-8459-0363E9686285}"/>
    <cellStyle name="Énfasis4 11" xfId="2201" xr:uid="{733C1622-1DD4-4AFE-8E0F-87BFE6409AAB}"/>
    <cellStyle name="Énfasis4 12" xfId="2202" xr:uid="{1DFB5108-B6DF-45CC-8A25-456CECF92807}"/>
    <cellStyle name="Énfasis4 13" xfId="2203" xr:uid="{BB679C24-A217-4515-AF05-D1C4ED02E016}"/>
    <cellStyle name="Énfasis4 14" xfId="2204" xr:uid="{8EC561DA-F13C-4477-BF70-FEA6E6D7929B}"/>
    <cellStyle name="Énfasis4 15" xfId="2205" xr:uid="{4E0B3820-F518-42F4-9D62-446C72CD5B7D}"/>
    <cellStyle name="Énfasis4 16" xfId="2206" xr:uid="{8B54DDCF-0571-4507-98CF-27834876D77C}"/>
    <cellStyle name="Énfasis4 17" xfId="2207" xr:uid="{7ACF3FA3-AEE9-4FD8-8FA4-35A3A212A2A9}"/>
    <cellStyle name="Énfasis4 18" xfId="2208" xr:uid="{680D4B90-6391-4999-9C6D-E2808B9054F5}"/>
    <cellStyle name="Énfasis4 19" xfId="2209" xr:uid="{3FFC2ACB-3020-4F7D-ABB6-C2C741609362}"/>
    <cellStyle name="Énfasis4 2" xfId="37" xr:uid="{98C0B2E6-E7EB-4016-8056-442000035257}"/>
    <cellStyle name="Énfasis4 2 2" xfId="2210" xr:uid="{2FEFE4EE-66B9-4194-806C-4C13A50927DE}"/>
    <cellStyle name="Énfasis4 2 3" xfId="2211" xr:uid="{6E8976A7-2A35-4AE9-A18C-C617F030BB65}"/>
    <cellStyle name="Énfasis4 2 4" xfId="2212" xr:uid="{C488346B-6F19-4F2B-9BA6-2D87F25ECFA3}"/>
    <cellStyle name="Énfasis4 2 5" xfId="2213" xr:uid="{BA24961D-9EEB-484F-9959-F932F1E06421}"/>
    <cellStyle name="Énfasis4 2 6" xfId="11588" xr:uid="{96DC4E10-515D-4C11-B4D5-D4DDBD8E5FAC}"/>
    <cellStyle name="Énfasis4 20" xfId="2214" xr:uid="{EC388AA3-DCB3-4841-A49E-33ADFC3F19DD}"/>
    <cellStyle name="Énfasis4 21" xfId="2215" xr:uid="{2F2E783F-76A6-4620-8516-43478C2A678B}"/>
    <cellStyle name="Énfasis4 22" xfId="2216" xr:uid="{79A559E0-5249-4C8F-8394-F3EFC542AB9B}"/>
    <cellStyle name="Énfasis4 23" xfId="2217" xr:uid="{0C638136-9CE3-429D-A001-3CAB6D817674}"/>
    <cellStyle name="Énfasis4 24" xfId="2218" xr:uid="{FEF71AF2-EA46-497D-954C-1DC5C6CB3110}"/>
    <cellStyle name="Énfasis4 25" xfId="2219" xr:uid="{49363909-D66D-4770-A948-C9B39FBF3381}"/>
    <cellStyle name="Énfasis4 26" xfId="2220" xr:uid="{6EA939F5-EFA4-400C-9ECA-0A781572BC79}"/>
    <cellStyle name="Énfasis4 27" xfId="2221" xr:uid="{A4EEB218-F692-4487-9946-298A0C56A47C}"/>
    <cellStyle name="Énfasis4 28" xfId="2222" xr:uid="{7EB4E9DD-2DE4-4BD0-AC41-FCF3A113E70A}"/>
    <cellStyle name="Énfasis4 29" xfId="2223" xr:uid="{1035C196-09FC-4EC1-AF98-1BCAA4B4E82A}"/>
    <cellStyle name="Énfasis4 3" xfId="376" xr:uid="{8EFF4CCF-F75F-43C9-AED2-5B212FFF1B0A}"/>
    <cellStyle name="Énfasis4 3 2" xfId="11589" xr:uid="{01B4B6A2-EA8A-49DA-9FB0-A1EFA008A09B}"/>
    <cellStyle name="Énfasis4 30" xfId="2224" xr:uid="{40DB0885-976E-474A-A107-3EA4ADFF0B90}"/>
    <cellStyle name="Énfasis4 31" xfId="2225" xr:uid="{B84527E6-9FA5-45FB-B103-B839F1F340E5}"/>
    <cellStyle name="Énfasis4 32" xfId="2226" xr:uid="{BF6E86D1-EE6A-425D-A88F-4C763A3970E1}"/>
    <cellStyle name="Énfasis4 33" xfId="2227" xr:uid="{06A0F616-77A0-46A6-94C0-1A7779BCD93D}"/>
    <cellStyle name="Énfasis4 34" xfId="2228" xr:uid="{4F44FBDD-0470-4CCC-92C0-D112562CB5A6}"/>
    <cellStyle name="Énfasis4 35" xfId="2229" xr:uid="{91FBD01E-70D9-4FFD-8C66-DEAFF501DD65}"/>
    <cellStyle name="Énfasis4 36" xfId="2230" xr:uid="{0F0BC5EE-DAE6-48DD-9404-C6552E5AA0D5}"/>
    <cellStyle name="Énfasis4 37" xfId="2231" xr:uid="{C287B5CB-68F1-4692-9BAA-E49EBC3F72BC}"/>
    <cellStyle name="Énfasis4 38" xfId="2232" xr:uid="{35A21BAA-5F99-4A8F-8A69-99E384DA09F7}"/>
    <cellStyle name="Énfasis4 39" xfId="2233" xr:uid="{5D74D563-DADC-40D7-ADFC-538272CC9291}"/>
    <cellStyle name="Énfasis4 4" xfId="377" xr:uid="{184F8EB5-7831-4C9C-B5D0-0DC052F0C1A4}"/>
    <cellStyle name="Énfasis4 4 2" xfId="13190" xr:uid="{D5D40A71-97A7-4305-AB60-6F8F77BCA7CD}"/>
    <cellStyle name="Énfasis4 40" xfId="2234" xr:uid="{8D6E899E-D651-496B-ADE9-5682167BF639}"/>
    <cellStyle name="Énfasis4 41" xfId="2235" xr:uid="{016B47CC-D849-4123-A15A-957489D6BD60}"/>
    <cellStyle name="Énfasis4 42" xfId="2236" xr:uid="{138BBC8D-06FB-4561-A3E6-A1D44876FD42}"/>
    <cellStyle name="Énfasis4 43" xfId="2237" xr:uid="{049659D5-543A-4E54-AC9E-89AAFEDA3416}"/>
    <cellStyle name="Énfasis4 44" xfId="2238" xr:uid="{79BBCCCC-035E-4470-A3BD-A75CB60D5A60}"/>
    <cellStyle name="Énfasis4 45" xfId="2239" xr:uid="{19C4B00E-5265-4A86-91D7-D95DC0692FD2}"/>
    <cellStyle name="Énfasis4 46" xfId="2240" xr:uid="{5EB7717C-0D96-4269-9B7E-D5DB6E962F17}"/>
    <cellStyle name="Énfasis4 47" xfId="2241" xr:uid="{4D462F03-FF1B-49FD-B0A9-4F2C35040488}"/>
    <cellStyle name="Énfasis4 48" xfId="2242" xr:uid="{3E0BAEAE-31C9-4E93-8C72-6E860975D9C6}"/>
    <cellStyle name="Énfasis4 49" xfId="2243" xr:uid="{E9BC4362-5C4E-4C28-89A7-A10600079D30}"/>
    <cellStyle name="Énfasis4 5" xfId="378" xr:uid="{F51266EE-20DE-4132-B094-159AAF5EBF31}"/>
    <cellStyle name="Énfasis4 5 2" xfId="13763" xr:uid="{CAA27E9E-3934-4E0D-B831-2A83FF6C6A24}"/>
    <cellStyle name="Énfasis4 50" xfId="2244" xr:uid="{2CE9F05B-5250-4565-AE5F-C80731FB2770}"/>
    <cellStyle name="Énfasis4 51" xfId="2245" xr:uid="{817451D3-9506-4510-8939-2F6DF4686716}"/>
    <cellStyle name="Énfasis4 52" xfId="2246" xr:uid="{9375B9D0-A5E5-412A-88C1-90AE9B1EC0F7}"/>
    <cellStyle name="Énfasis4 53" xfId="2247" xr:uid="{C025F0F2-FE0B-4635-9DFC-6F8817B2B981}"/>
    <cellStyle name="Énfasis4 54" xfId="2248" xr:uid="{35234506-6198-4E1C-93CF-161159975758}"/>
    <cellStyle name="Énfasis4 55" xfId="2249" xr:uid="{6CCB1CFD-4199-4522-9EDA-565BCE5E2A60}"/>
    <cellStyle name="Énfasis4 56" xfId="2250" xr:uid="{F7C89B8F-D96E-4B5B-B15E-04EDAEAC935E}"/>
    <cellStyle name="Énfasis4 57" xfId="2251" xr:uid="{21D4BBA9-04B7-4F85-A3AE-3D1AA58D1BB9}"/>
    <cellStyle name="Énfasis4 58" xfId="2252" xr:uid="{E770BB46-FED5-417B-8563-0B16EA36B230}"/>
    <cellStyle name="Énfasis4 59" xfId="2253" xr:uid="{8537ACBC-552E-4C3E-89BF-4B07A02D1F48}"/>
    <cellStyle name="Énfasis4 6" xfId="379" xr:uid="{122363C4-1193-45CC-BD4A-1BC98F1DA35F}"/>
    <cellStyle name="Énfasis4 6 2" xfId="13992" xr:uid="{ABDA767F-4804-4F4F-9EFA-28DA8D355DB8}"/>
    <cellStyle name="Énfasis4 60" xfId="2254" xr:uid="{9BB7B4D0-C9B6-4D3C-8A0E-8E28DD9F53FC}"/>
    <cellStyle name="Énfasis4 61" xfId="2255" xr:uid="{E5B673C7-6E06-4CDE-9919-2150E1FABCC6}"/>
    <cellStyle name="Énfasis4 62" xfId="2256" xr:uid="{2A3FABFA-E1AC-48FF-B940-E703C4524A86}"/>
    <cellStyle name="Énfasis4 63" xfId="2257" xr:uid="{7E3ED63F-B556-412B-8401-EA7DA4E35BDC}"/>
    <cellStyle name="Énfasis4 64" xfId="2258" xr:uid="{938BD1AA-B3B7-40A4-A23F-D63404730050}"/>
    <cellStyle name="Énfasis4 65" xfId="2259" xr:uid="{BB7FAFA1-96C0-4D1F-BB8F-6E3C791D3296}"/>
    <cellStyle name="Énfasis4 66" xfId="2260" xr:uid="{1406AFD3-A2CB-40FA-9846-02A6FCE5DEB5}"/>
    <cellStyle name="Énfasis4 67" xfId="2261" xr:uid="{03C29D6C-D421-483B-9ADA-3FD8DE500DEF}"/>
    <cellStyle name="Énfasis4 68" xfId="524" xr:uid="{7A5DBC59-5ECE-42D9-9E95-F4B5A903B052}"/>
    <cellStyle name="Énfasis4 7" xfId="380" xr:uid="{B0E5E34B-D98C-4F60-8357-1009756AD22D}"/>
    <cellStyle name="Énfasis4 8" xfId="2262" xr:uid="{06C8DC00-8AE4-48F7-8537-1642D8AA97FE}"/>
    <cellStyle name="Énfasis4 9" xfId="2263" xr:uid="{308E13FC-0AB2-4C67-AF53-1017EDB08818}"/>
    <cellStyle name="Énfasis5 10" xfId="2264" xr:uid="{CF15E3A1-3914-47C8-A323-FD4E84F75BAF}"/>
    <cellStyle name="Énfasis5 11" xfId="2265" xr:uid="{4043DB3E-F87C-46FA-9FC6-C2EAB9256767}"/>
    <cellStyle name="Énfasis5 12" xfId="2266" xr:uid="{28E5D60D-AC68-4929-823F-EA02CAE6D354}"/>
    <cellStyle name="Énfasis5 13" xfId="2267" xr:uid="{EF1CF1F2-94C9-43F8-A813-54D8D87ECA1E}"/>
    <cellStyle name="Énfasis5 14" xfId="2268" xr:uid="{EAB3E657-F221-4CE8-821B-DBAB6538B1F3}"/>
    <cellStyle name="Énfasis5 15" xfId="2269" xr:uid="{4FE9333C-5056-437B-91C4-4280723E698F}"/>
    <cellStyle name="Énfasis5 16" xfId="2270" xr:uid="{6ABDDD31-4A58-4D51-8347-9C640F95BD13}"/>
    <cellStyle name="Énfasis5 17" xfId="2271" xr:uid="{351E6391-C23D-4DAF-B6A9-E44BD1F95D3F}"/>
    <cellStyle name="Énfasis5 18" xfId="2272" xr:uid="{BB6A4590-2B37-42AF-B18C-5A2B67D2DFBB}"/>
    <cellStyle name="Énfasis5 19" xfId="2273" xr:uid="{6228DF0C-0E6D-49A5-B01E-8A909A7B0FCF}"/>
    <cellStyle name="Énfasis5 2" xfId="38" xr:uid="{5CF3E328-E233-40B1-9792-B794CC6C8D6C}"/>
    <cellStyle name="Énfasis5 2 2" xfId="2274" xr:uid="{13D71D89-4B21-4A17-A6AB-660BFD9BD3A7}"/>
    <cellStyle name="Énfasis5 2 3" xfId="2275" xr:uid="{CE12585B-9E03-4884-8EB1-91181CB2DE80}"/>
    <cellStyle name="Énfasis5 2 4" xfId="2276" xr:uid="{17FC5F9D-6B4B-4A44-A00A-89C264538CE2}"/>
    <cellStyle name="Énfasis5 2 5" xfId="2277" xr:uid="{DBA65B79-83B7-403D-82FB-AE0894409191}"/>
    <cellStyle name="Énfasis5 20" xfId="2278" xr:uid="{E4E08C92-0BF9-43CF-BF7D-2AB8FF0B17E9}"/>
    <cellStyle name="Énfasis5 21" xfId="2279" xr:uid="{34A31787-1B66-4FB1-9551-2928DD07ACB4}"/>
    <cellStyle name="Énfasis5 22" xfId="2280" xr:uid="{D0D77BC8-28F3-4AA8-900D-4B65268DF38F}"/>
    <cellStyle name="Énfasis5 23" xfId="2281" xr:uid="{51DF273B-E055-4BA0-8722-F51477E24C00}"/>
    <cellStyle name="Énfasis5 24" xfId="2282" xr:uid="{E2656ADA-1FD3-4F7B-804D-7839CD77509F}"/>
    <cellStyle name="Énfasis5 25" xfId="2283" xr:uid="{499079D3-42F0-4533-A7CC-CCE2D827E695}"/>
    <cellStyle name="Énfasis5 26" xfId="2284" xr:uid="{D1B77A48-2814-4536-9E06-A8C3267ECD2D}"/>
    <cellStyle name="Énfasis5 27" xfId="2285" xr:uid="{6C45B351-B628-488C-9FDF-CAD20A9D8BEC}"/>
    <cellStyle name="Énfasis5 28" xfId="2286" xr:uid="{F58C8326-443A-4E1B-A963-ED785D606102}"/>
    <cellStyle name="Énfasis5 29" xfId="2287" xr:uid="{59CFE52A-2BC8-48FB-B0B2-30E20EB3619E}"/>
    <cellStyle name="Énfasis5 3" xfId="381" xr:uid="{34502F9D-83F7-40FA-9423-A25E2361E908}"/>
    <cellStyle name="Énfasis5 30" xfId="2288" xr:uid="{3BEBB15E-E591-4F64-B9E3-CBDB732566C5}"/>
    <cellStyle name="Énfasis5 31" xfId="2289" xr:uid="{731890E4-0AD3-471A-817C-B4AFB31CC6A2}"/>
    <cellStyle name="Énfasis5 32" xfId="2290" xr:uid="{DE908751-2488-49B8-B155-162AA5ECC124}"/>
    <cellStyle name="Énfasis5 33" xfId="2291" xr:uid="{196D9D0F-E940-4F80-8026-2A343B1AA78D}"/>
    <cellStyle name="Énfasis5 34" xfId="2292" xr:uid="{21065969-47B6-4DDF-9E45-BCC1F14147F3}"/>
    <cellStyle name="Énfasis5 35" xfId="2293" xr:uid="{D204AFAA-668F-4F04-9176-DC0F22D7F269}"/>
    <cellStyle name="Énfasis5 36" xfId="2294" xr:uid="{EB613EED-2FCD-4B2A-AAB5-EC0530807B50}"/>
    <cellStyle name="Énfasis5 37" xfId="2295" xr:uid="{788BD8A5-D5F4-42BF-BB9F-80B104C51580}"/>
    <cellStyle name="Énfasis5 38" xfId="2296" xr:uid="{7E804409-6BE4-4330-AAFA-F9076EE54282}"/>
    <cellStyle name="Énfasis5 39" xfId="2297" xr:uid="{A06DE515-FD29-437A-AB5B-ACC1967128C4}"/>
    <cellStyle name="Énfasis5 4" xfId="382" xr:uid="{B7A90F01-999B-4B1E-AE41-50407BA2D9FB}"/>
    <cellStyle name="Énfasis5 40" xfId="2298" xr:uid="{23473D53-F12C-456A-BBB3-7BB5BE30EA44}"/>
    <cellStyle name="Énfasis5 41" xfId="2299" xr:uid="{547FA690-488E-4911-8523-F34111CF598C}"/>
    <cellStyle name="Énfasis5 42" xfId="2300" xr:uid="{64BFC6D1-D694-46B2-BB7A-46B93AC52A91}"/>
    <cellStyle name="Énfasis5 43" xfId="2301" xr:uid="{92365127-6F2F-4F2D-90A9-A69954A50CB8}"/>
    <cellStyle name="Énfasis5 44" xfId="2302" xr:uid="{AACBBD50-B888-46B8-B617-3BD75F9BE86D}"/>
    <cellStyle name="Énfasis5 45" xfId="2303" xr:uid="{AA2523C3-34D2-4D22-A311-C465434E5F25}"/>
    <cellStyle name="Énfasis5 46" xfId="2304" xr:uid="{98AD611F-85D9-4B26-BB9F-5FDA12D0E1D2}"/>
    <cellStyle name="Énfasis5 47" xfId="2305" xr:uid="{5C82D185-C2BF-43AB-9A85-5CB31B9B405B}"/>
    <cellStyle name="Énfasis5 48" xfId="2306" xr:uid="{6330DAC5-2360-4796-A996-F12F727158A9}"/>
    <cellStyle name="Énfasis5 49" xfId="2307" xr:uid="{37697A85-C855-473C-9F15-87986A0A9D0F}"/>
    <cellStyle name="Énfasis5 5" xfId="383" xr:uid="{D71DF112-0F0C-401E-BADA-EAE73173877F}"/>
    <cellStyle name="Énfasis5 50" xfId="2308" xr:uid="{4750A01C-7E3D-4F0F-803D-B24A27779330}"/>
    <cellStyle name="Énfasis5 51" xfId="2309" xr:uid="{23B8BFAF-735B-495D-916B-263FB6EF2F02}"/>
    <cellStyle name="Énfasis5 52" xfId="2310" xr:uid="{E2A87FF2-5E1F-473A-ABED-CEFC81F4C359}"/>
    <cellStyle name="Énfasis5 53" xfId="2311" xr:uid="{BAAE14EB-F364-4E49-B533-DA0BB0148D0D}"/>
    <cellStyle name="Énfasis5 54" xfId="2312" xr:uid="{C7C254CE-7FB3-4E05-93FF-E7F065BBDF7E}"/>
    <cellStyle name="Énfasis5 55" xfId="2313" xr:uid="{29591F35-4FAC-4568-AE25-F4C96B554511}"/>
    <cellStyle name="Énfasis5 56" xfId="2314" xr:uid="{7BEC8C2D-5D9E-4D83-906E-F392696B6FD5}"/>
    <cellStyle name="Énfasis5 57" xfId="2315" xr:uid="{CADA4A65-AA6C-409C-A61D-3E8E2F8CDB08}"/>
    <cellStyle name="Énfasis5 58" xfId="2316" xr:uid="{9B93F140-984C-4655-917E-305D915D4FC1}"/>
    <cellStyle name="Énfasis5 59" xfId="2317" xr:uid="{7299DE83-DE0E-42A9-8B49-7583AE4B4919}"/>
    <cellStyle name="Énfasis5 6" xfId="384" xr:uid="{D3BD10AD-A101-47E6-919E-7C5A778E92DE}"/>
    <cellStyle name="Énfasis5 60" xfId="2318" xr:uid="{8A9698D2-0B8E-45E7-BE8F-27B756062FFB}"/>
    <cellStyle name="Énfasis5 61" xfId="2319" xr:uid="{D4B7BD67-1F34-4650-B63B-CAF6C3A88F50}"/>
    <cellStyle name="Énfasis5 62" xfId="2320" xr:uid="{62C8616C-8588-43B2-94D5-FF16161AC069}"/>
    <cellStyle name="Énfasis5 63" xfId="2321" xr:uid="{E4F40148-D6DC-4D6F-89A4-E5E3734E03BE}"/>
    <cellStyle name="Énfasis5 64" xfId="2322" xr:uid="{8E15CC01-A7AC-42EE-8034-AAD7BDEDCE66}"/>
    <cellStyle name="Énfasis5 65" xfId="2323" xr:uid="{C2373996-F652-4BF4-8847-4F9B66A4FBBD}"/>
    <cellStyle name="Énfasis5 66" xfId="2324" xr:uid="{10578913-E151-458F-9589-D1A076434139}"/>
    <cellStyle name="Énfasis5 67" xfId="2325" xr:uid="{12697DD4-6B6B-4731-A9FD-EB78C4BDA48A}"/>
    <cellStyle name="Énfasis5 68" xfId="525" xr:uid="{B9BF71B2-EBFE-4B93-8EEF-F68F8CB9F59F}"/>
    <cellStyle name="Énfasis5 7" xfId="385" xr:uid="{1AB7DD60-3E3B-42FB-9CFE-5E306B4192F9}"/>
    <cellStyle name="Énfasis5 8" xfId="2326" xr:uid="{BA0477A7-F7B3-4E3E-87F2-3270CB62ABE1}"/>
    <cellStyle name="Énfasis5 9" xfId="2327" xr:uid="{49B77E86-2E20-426E-87B7-37C1EF301706}"/>
    <cellStyle name="Énfasis6 10" xfId="2328" xr:uid="{44CA9C24-E54B-41D0-B600-C88B08440605}"/>
    <cellStyle name="Énfasis6 11" xfId="2329" xr:uid="{1830A0AC-F52E-4E2E-90F2-20A4F1282EAA}"/>
    <cellStyle name="Énfasis6 12" xfId="2330" xr:uid="{AFC223AE-D36B-4B16-BA17-8A8F992EE886}"/>
    <cellStyle name="Énfasis6 13" xfId="2331" xr:uid="{1B8689E3-D24C-4253-AA3A-54AF76956305}"/>
    <cellStyle name="Énfasis6 14" xfId="2332" xr:uid="{996125A7-B396-4EF9-8282-45A18846AA50}"/>
    <cellStyle name="Énfasis6 15" xfId="2333" xr:uid="{43D106B2-00D8-4D18-A582-537DC0DF6A46}"/>
    <cellStyle name="Énfasis6 16" xfId="2334" xr:uid="{CFD99981-B5DA-4889-8539-C35A462F6144}"/>
    <cellStyle name="Énfasis6 17" xfId="2335" xr:uid="{BB2C4E7D-82F9-4C16-B0BD-DDBBCF725FE1}"/>
    <cellStyle name="Énfasis6 18" xfId="2336" xr:uid="{3F6AEDF1-B710-4EE0-92BF-179BD037E8CE}"/>
    <cellStyle name="Énfasis6 19" xfId="2337" xr:uid="{A9D7E624-C360-47B5-A8A7-F9F6051A0E28}"/>
    <cellStyle name="Énfasis6 2" xfId="39" xr:uid="{65FE3937-F65F-4029-810B-BCFF81B1B840}"/>
    <cellStyle name="Énfasis6 2 2" xfId="2338" xr:uid="{8256F8B6-C843-4406-927B-894B4EE01AEC}"/>
    <cellStyle name="Énfasis6 2 3" xfId="2339" xr:uid="{B9C9A679-8BD5-4733-9629-DBB20C5A6BEF}"/>
    <cellStyle name="Énfasis6 2 4" xfId="2340" xr:uid="{18E6E126-7D60-4090-A230-CA174821AB55}"/>
    <cellStyle name="Énfasis6 2 5" xfId="2341" xr:uid="{4D982D2F-4DEF-4D32-8FFE-45A5D1A11FC1}"/>
    <cellStyle name="Énfasis6 2 6" xfId="13655" xr:uid="{0D137228-8124-47E3-8BB2-99E73205B535}"/>
    <cellStyle name="Énfasis6 20" xfId="2342" xr:uid="{A845AC12-EBCC-4414-B814-59047F61081A}"/>
    <cellStyle name="Énfasis6 21" xfId="2343" xr:uid="{9759144A-50DA-4FD0-8B3C-9E6D90ED7DBE}"/>
    <cellStyle name="Énfasis6 22" xfId="2344" xr:uid="{37BFB165-CA5B-4D24-82BC-232693658A38}"/>
    <cellStyle name="Énfasis6 23" xfId="2345" xr:uid="{7FCEAA5C-DD7F-4752-B5D4-53741FCDC967}"/>
    <cellStyle name="Énfasis6 24" xfId="2346" xr:uid="{1ADF969D-7E34-4621-ADF6-090D2CAEA6B7}"/>
    <cellStyle name="Énfasis6 25" xfId="2347" xr:uid="{0A3773A3-544D-4674-AF1C-F45A59AC7713}"/>
    <cellStyle name="Énfasis6 26" xfId="2348" xr:uid="{CCFADFCA-0C9A-4CD4-A3C6-DD7E81459304}"/>
    <cellStyle name="Énfasis6 27" xfId="2349" xr:uid="{B2C8B4CD-B2C3-4156-8931-C38C5504627C}"/>
    <cellStyle name="Énfasis6 28" xfId="2350" xr:uid="{A7EB6BA0-9B27-476F-878E-844646CE5A7C}"/>
    <cellStyle name="Énfasis6 29" xfId="2351" xr:uid="{BFC1DFB4-963F-45C0-9475-2FD97BB0E632}"/>
    <cellStyle name="Énfasis6 3" xfId="386" xr:uid="{59BE67D7-4392-4EA8-B899-0F15D1EFFAB3}"/>
    <cellStyle name="Énfasis6 3 2" xfId="13993" xr:uid="{3F44D6CE-DC70-4BA1-97D4-268BF6C6A675}"/>
    <cellStyle name="Énfasis6 30" xfId="2352" xr:uid="{AC900081-C1F8-4482-8594-440B2A693073}"/>
    <cellStyle name="Énfasis6 31" xfId="2353" xr:uid="{4D7B6DC5-511B-4857-90F3-6E9EF6A3F0AA}"/>
    <cellStyle name="Énfasis6 32" xfId="2354" xr:uid="{36EF6D0D-0ABD-4034-BC8C-5B7C32623CD8}"/>
    <cellStyle name="Énfasis6 33" xfId="2355" xr:uid="{7F68048F-4B19-47AA-8DB4-77ADD60FAAFA}"/>
    <cellStyle name="Énfasis6 34" xfId="2356" xr:uid="{4989E1EC-A570-4FC6-874F-6E8624F5CCDD}"/>
    <cellStyle name="Énfasis6 35" xfId="2357" xr:uid="{31E050AC-CA56-4C5E-8C31-7CF11008A1CC}"/>
    <cellStyle name="Énfasis6 36" xfId="2358" xr:uid="{88241023-41E6-46C8-8C02-32D5E9308750}"/>
    <cellStyle name="Énfasis6 37" xfId="2359" xr:uid="{458A3E13-656E-4313-8DA7-50EB78E90A95}"/>
    <cellStyle name="Énfasis6 38" xfId="2360" xr:uid="{C91B4A73-09E2-488E-85AE-43FC2CABEDFD}"/>
    <cellStyle name="Énfasis6 39" xfId="2361" xr:uid="{C81980A0-5319-4F38-BC9C-B61733F52AE0}"/>
    <cellStyle name="Énfasis6 4" xfId="387" xr:uid="{C5995340-3C3F-4D7D-AAAA-A906068D0835}"/>
    <cellStyle name="Énfasis6 4 2" xfId="10925" xr:uid="{AD535884-2D29-4940-A696-4E654CC006C8}"/>
    <cellStyle name="Énfasis6 40" xfId="2362" xr:uid="{ECF5D8ED-3A68-4297-8F13-402EED22844E}"/>
    <cellStyle name="Énfasis6 41" xfId="2363" xr:uid="{F73D8A06-EFB0-4D16-956A-7A2FE01A08E4}"/>
    <cellStyle name="Énfasis6 42" xfId="2364" xr:uid="{1C05D75C-E2BE-42AA-B583-7CCA178A23C5}"/>
    <cellStyle name="Énfasis6 43" xfId="2365" xr:uid="{B553FC06-B390-4E51-9297-054D4CF00010}"/>
    <cellStyle name="Énfasis6 44" xfId="2366" xr:uid="{4605A6E9-18CF-4949-BD58-472259C58A8E}"/>
    <cellStyle name="Énfasis6 45" xfId="2367" xr:uid="{E74C1B3A-7ACC-4F54-A704-4088B682C0B2}"/>
    <cellStyle name="Énfasis6 46" xfId="2368" xr:uid="{0C82DE3A-412B-4D7A-A931-3B3C4A2AA1CA}"/>
    <cellStyle name="Énfasis6 47" xfId="2369" xr:uid="{84D49E35-7EA8-49BB-B86E-A77F768D0D4B}"/>
    <cellStyle name="Énfasis6 48" xfId="2370" xr:uid="{060136A2-EF4A-49CB-8B3F-99F6EC1D23B6}"/>
    <cellStyle name="Énfasis6 49" xfId="2371" xr:uid="{122807FE-50A6-4668-B622-879D59538803}"/>
    <cellStyle name="Énfasis6 5" xfId="388" xr:uid="{42EEEFD6-F903-4A47-92EF-782EF1C5425F}"/>
    <cellStyle name="Énfasis6 5 2" xfId="13427" xr:uid="{202DAA20-377E-49B6-920B-6914EF1FE45B}"/>
    <cellStyle name="Énfasis6 50" xfId="2372" xr:uid="{DC5139E8-E80C-4BEC-91BF-9099178EB2C1}"/>
    <cellStyle name="Énfasis6 51" xfId="2373" xr:uid="{E582D758-556A-4612-8FC5-EB31D5B227B8}"/>
    <cellStyle name="Énfasis6 52" xfId="2374" xr:uid="{5326A806-08AC-4EEE-9F0D-F7E89023A3F1}"/>
    <cellStyle name="Énfasis6 53" xfId="2375" xr:uid="{02286FBF-AEAB-4227-B7EE-118ADDFEEC9A}"/>
    <cellStyle name="Énfasis6 54" xfId="2376" xr:uid="{7648057C-0DD8-4289-A6A6-D97BD94683BF}"/>
    <cellStyle name="Énfasis6 55" xfId="2377" xr:uid="{82E7A846-A166-4EDA-A2D6-DAB566783ECD}"/>
    <cellStyle name="Énfasis6 56" xfId="2378" xr:uid="{01430F4A-DE43-475D-9320-F128B425BB86}"/>
    <cellStyle name="Énfasis6 57" xfId="2379" xr:uid="{41A9476F-7090-43F2-B142-50C6E1288657}"/>
    <cellStyle name="Énfasis6 58" xfId="2380" xr:uid="{115CE55E-44D3-48FF-80E8-D30C4D4A1F1B}"/>
    <cellStyle name="Énfasis6 59" xfId="2381" xr:uid="{5BCB8B1E-11C0-4CA3-B80F-1895D4C72196}"/>
    <cellStyle name="Énfasis6 6" xfId="389" xr:uid="{3AA9CF41-306C-4C89-A46A-E4DC74C4D836}"/>
    <cellStyle name="Énfasis6 6 2" xfId="11590" xr:uid="{C3FD46DF-2DB5-4B64-A36A-A2F645BA6841}"/>
    <cellStyle name="Énfasis6 60" xfId="2382" xr:uid="{25FCA866-0F9D-4214-B0EA-92ED2582D51D}"/>
    <cellStyle name="Énfasis6 61" xfId="2383" xr:uid="{1823662C-63F2-4929-88B2-B0C8505C340B}"/>
    <cellStyle name="Énfasis6 62" xfId="2384" xr:uid="{F44E4A07-4C24-48FA-84D1-534CC16A1EB8}"/>
    <cellStyle name="Énfasis6 63" xfId="2385" xr:uid="{7D18A7E2-A2FD-41EE-8704-854772A22608}"/>
    <cellStyle name="Énfasis6 64" xfId="2386" xr:uid="{7D567110-7819-43A5-BC00-2FFB282CEAB7}"/>
    <cellStyle name="Énfasis6 65" xfId="2387" xr:uid="{FE0308CE-4FE7-4748-B6E8-3A2B1DB5A8C8}"/>
    <cellStyle name="Énfasis6 66" xfId="2388" xr:uid="{9F23782E-28CF-413D-8356-C76E5D8C4BBA}"/>
    <cellStyle name="Énfasis6 67" xfId="2389" xr:uid="{23EF67A4-7817-40BC-AE71-D13DC1F1F60B}"/>
    <cellStyle name="Énfasis6 68" xfId="526" xr:uid="{BC30CB1A-8A96-4316-89AD-953332DC4EFA}"/>
    <cellStyle name="Énfasis6 7" xfId="390" xr:uid="{DCF9E126-0516-454D-B1B9-8C43CC20A51E}"/>
    <cellStyle name="Énfasis6 8" xfId="2390" xr:uid="{808A467C-23F2-48E2-B38B-3F2E94D1C86E}"/>
    <cellStyle name="Énfasis6 9" xfId="2391" xr:uid="{54A385A8-862D-4E76-8D02-84C833830DC4}"/>
    <cellStyle name="Entrada 10" xfId="2392" xr:uid="{B0C8DB23-11F0-46E5-A873-0D3CA11719B6}"/>
    <cellStyle name="Entrada 10 2" xfId="3955" xr:uid="{488793B3-BC4D-4017-BCD7-B45FE7B26E71}"/>
    <cellStyle name="Entrada 10 3" xfId="3956" xr:uid="{94AE2AA8-49EF-4EB8-B05B-D9D6D89E258C}"/>
    <cellStyle name="Entrada 10 4" xfId="3957" xr:uid="{14342DDC-7C60-45A8-85D3-50F4B2862D23}"/>
    <cellStyle name="Entrada 10 5" xfId="3958" xr:uid="{18C883B2-8921-4DCE-907E-655230CFD623}"/>
    <cellStyle name="Entrada 10 6" xfId="3959" xr:uid="{9FD93354-AB9D-4E77-9ED0-32DDC947D3D1}"/>
    <cellStyle name="Entrada 10 7" xfId="3960" xr:uid="{DED5A651-F6BB-4CCB-9002-ED55CD2B66DF}"/>
    <cellStyle name="Entrada 11" xfId="2393" xr:uid="{DF7DCDB2-917F-4477-B3B0-BABBC39CFF51}"/>
    <cellStyle name="Entrada 11 2" xfId="3961" xr:uid="{7579617B-0EF7-48BB-B78C-8DAFB770D4F9}"/>
    <cellStyle name="Entrada 11 3" xfId="3962" xr:uid="{34B5F5D7-15F1-414C-A191-C53AF5702982}"/>
    <cellStyle name="Entrada 11 4" xfId="3963" xr:uid="{1F3988D4-E939-44F5-8E00-10FD0F9118CC}"/>
    <cellStyle name="Entrada 11 5" xfId="3964" xr:uid="{7174B63D-7C9F-44AC-828B-3673AFD38E29}"/>
    <cellStyle name="Entrada 11 6" xfId="3965" xr:uid="{EF524D72-C478-4428-8839-C8893426ABD0}"/>
    <cellStyle name="Entrada 11 7" xfId="3966" xr:uid="{86E25D50-3170-4D50-8CAF-AA46C3E3468E}"/>
    <cellStyle name="Entrada 12" xfId="2394" xr:uid="{6E96AEC2-D5B2-44BA-B47D-3DF71E83BD46}"/>
    <cellStyle name="Entrada 12 2" xfId="3967" xr:uid="{ED2748AA-CCFF-48A6-86C2-45FEBB2C824D}"/>
    <cellStyle name="Entrada 12 3" xfId="3968" xr:uid="{154B1F01-F35C-47E7-BD9E-8D04CE0434E2}"/>
    <cellStyle name="Entrada 12 4" xfId="3969" xr:uid="{55D715B3-A427-460B-912C-14A026ADF2C0}"/>
    <cellStyle name="Entrada 12 5" xfId="3970" xr:uid="{1E1C680D-84E0-4C4A-B879-7B6724DCB83A}"/>
    <cellStyle name="Entrada 12 6" xfId="3971" xr:uid="{4E5B15AC-6B04-42B6-8E94-952DCB059166}"/>
    <cellStyle name="Entrada 12 7" xfId="3972" xr:uid="{8844B7A6-E5AC-4FA1-AB0F-F2FE893768F0}"/>
    <cellStyle name="Entrada 13" xfId="2395" xr:uid="{265BAFB0-F1CD-4C93-810E-50024C1DF8FE}"/>
    <cellStyle name="Entrada 13 2" xfId="3973" xr:uid="{89C78F6F-6B93-4164-88FE-6A6442F58992}"/>
    <cellStyle name="Entrada 13 3" xfId="3974" xr:uid="{F144B3F5-BCA2-40BA-93F3-16C196FD8D81}"/>
    <cellStyle name="Entrada 13 4" xfId="3975" xr:uid="{4C6289D8-781D-4BA2-905F-073DF7A834DE}"/>
    <cellStyle name="Entrada 13 5" xfId="3976" xr:uid="{D200D3CA-7BE8-486E-A9AC-FE0850AAF411}"/>
    <cellStyle name="Entrada 13 6" xfId="3977" xr:uid="{A5929C3A-894C-4C0E-AA5F-0761512E8CAB}"/>
    <cellStyle name="Entrada 13 7" xfId="3978" xr:uid="{921AB652-B017-4801-9B30-4E9555D135A5}"/>
    <cellStyle name="Entrada 14" xfId="2396" xr:uid="{05C4A018-4635-4853-A00C-EBE12A9DA97B}"/>
    <cellStyle name="Entrada 14 2" xfId="3979" xr:uid="{CDD04724-D6A7-4E4E-9073-9431836EA40F}"/>
    <cellStyle name="Entrada 14 3" xfId="3980" xr:uid="{AECB5D19-2E83-4EB5-A227-B9FA7B129623}"/>
    <cellStyle name="Entrada 14 4" xfId="3981" xr:uid="{4289F2BA-8ACC-4F30-A749-61208497AE7B}"/>
    <cellStyle name="Entrada 14 5" xfId="3982" xr:uid="{561AF905-2E7D-44A7-B394-089874245E55}"/>
    <cellStyle name="Entrada 14 6" xfId="3983" xr:uid="{B8F067FB-4A4B-4A0A-914B-1E2623B7D2BB}"/>
    <cellStyle name="Entrada 14 7" xfId="3984" xr:uid="{2E9E5202-DF9D-4B06-AF55-887D013E3F72}"/>
    <cellStyle name="Entrada 15" xfId="2397" xr:uid="{C8F92005-4503-4031-8896-2A539B0FB1EA}"/>
    <cellStyle name="Entrada 15 2" xfId="3985" xr:uid="{D3054029-3F36-4BF1-9032-AA1B1F304AFB}"/>
    <cellStyle name="Entrada 15 3" xfId="3986" xr:uid="{B3C6A1FE-625F-4964-85A0-843C09BF572E}"/>
    <cellStyle name="Entrada 15 4" xfId="3987" xr:uid="{FBCB3A50-F653-4958-A5F0-E2DC4716AB7B}"/>
    <cellStyle name="Entrada 15 5" xfId="3988" xr:uid="{12AD366E-4005-4093-8337-8D280FEFA6DE}"/>
    <cellStyle name="Entrada 15 6" xfId="3989" xr:uid="{CC82A3B3-178B-49B1-A1D3-51785D07C506}"/>
    <cellStyle name="Entrada 15 7" xfId="3990" xr:uid="{8230CF76-FC3F-4C15-8C40-692D9AFADBC5}"/>
    <cellStyle name="Entrada 16" xfId="2398" xr:uid="{A80E3429-3AFF-4BC9-9026-1F82E324129D}"/>
    <cellStyle name="Entrada 16 2" xfId="3991" xr:uid="{32C16BD4-AD27-4359-A372-64F3DFDC3825}"/>
    <cellStyle name="Entrada 16 3" xfId="3992" xr:uid="{E1CA3AEF-AF72-4DE9-8FEA-2D64AF57836D}"/>
    <cellStyle name="Entrada 16 4" xfId="3993" xr:uid="{1C7AA0BD-852A-4463-A5B8-B95EDD8A5DDA}"/>
    <cellStyle name="Entrada 16 5" xfId="3994" xr:uid="{9DE11A1E-6C61-4BA9-9543-C869A839E1A4}"/>
    <cellStyle name="Entrada 16 6" xfId="3995" xr:uid="{5D465AA7-1D67-4417-824A-3C3961A30747}"/>
    <cellStyle name="Entrada 16 7" xfId="3996" xr:uid="{ACC1E197-96D9-47CC-869A-BE95B9FE2E3A}"/>
    <cellStyle name="Entrada 17" xfId="2399" xr:uid="{16F3BE40-960C-4A4B-8288-3CB61287122B}"/>
    <cellStyle name="Entrada 17 2" xfId="3997" xr:uid="{8D5E9A06-C7A0-40D9-BDF7-A6CC1E0DE79D}"/>
    <cellStyle name="Entrada 17 3" xfId="3998" xr:uid="{1202F7FA-FA12-458C-B486-A61614824CF1}"/>
    <cellStyle name="Entrada 17 4" xfId="3999" xr:uid="{CC18EBFB-1753-45DF-9EF5-401173779D06}"/>
    <cellStyle name="Entrada 17 5" xfId="4000" xr:uid="{610BFA75-D77A-4A71-92C9-17943E7B213D}"/>
    <cellStyle name="Entrada 17 6" xfId="4001" xr:uid="{C247B587-F8B9-4AC2-A702-5AFB76316398}"/>
    <cellStyle name="Entrada 17 7" xfId="4002" xr:uid="{8A6DEE45-8A41-4FAB-B1A5-2200B3253BA7}"/>
    <cellStyle name="Entrada 18" xfId="2400" xr:uid="{FFC7F57D-E414-4F51-B343-56837CBFED2D}"/>
    <cellStyle name="Entrada 18 2" xfId="4003" xr:uid="{32278C8C-5974-4495-B5C1-4AF728D24A6F}"/>
    <cellStyle name="Entrada 18 3" xfId="4307" xr:uid="{BF2C3536-AC7E-4A19-9376-F54C202447EF}"/>
    <cellStyle name="Entrada 18 4" xfId="4004" xr:uid="{03FA7558-6E40-416D-B057-7A6F6CBC6FC5}"/>
    <cellStyle name="Entrada 18 5" xfId="4005" xr:uid="{1C960A0D-0B01-4DB4-ACBA-42CBD0CD8295}"/>
    <cellStyle name="Entrada 18 6" xfId="4006" xr:uid="{84135466-3E45-46D9-91AE-8B639FEE6ED6}"/>
    <cellStyle name="Entrada 18 7" xfId="4007" xr:uid="{2B78CE02-7D11-4E45-9D9D-873E92BE6AF2}"/>
    <cellStyle name="Entrada 19" xfId="2401" xr:uid="{07BED02F-FDCF-47F6-A8EF-D196C3778AD9}"/>
    <cellStyle name="Entrada 19 2" xfId="4008" xr:uid="{6CD610B9-57EB-4D6A-A960-63DAADB3E812}"/>
    <cellStyle name="Entrada 19 3" xfId="4009" xr:uid="{7A4B7AC9-7569-44F6-A03B-1E8694D2660A}"/>
    <cellStyle name="Entrada 19 4" xfId="3545" xr:uid="{5DB1FFCE-7FAB-46E9-B8D6-E2FDFE2DCD75}"/>
    <cellStyle name="Entrada 19 5" xfId="4010" xr:uid="{25209233-7AF2-45C2-BD9C-EC869630DBFD}"/>
    <cellStyle name="Entrada 19 6" xfId="4011" xr:uid="{4C86D4D3-504A-44C7-806B-E748ECFC8EF6}"/>
    <cellStyle name="Entrada 19 7" xfId="4012" xr:uid="{625EAD5C-AAED-4CB6-BB43-4DA2BD6EE42B}"/>
    <cellStyle name="Entrada 2" xfId="40" xr:uid="{BF1FFBB4-AB79-456D-915F-F6613EA84815}"/>
    <cellStyle name="Entrada 2 10" xfId="4013" xr:uid="{3A8E53C6-E010-4B61-921D-5AA47EC013F0}"/>
    <cellStyle name="Entrada 2 11" xfId="4014" xr:uid="{F7E1F6F6-1ADF-4DB6-B067-53C74B6E3B4C}"/>
    <cellStyle name="Entrada 2 12" xfId="12455" xr:uid="{4ABB2585-6571-4A7D-8ABB-81C5AAC651F8}"/>
    <cellStyle name="Entrada 2 2" xfId="2402" xr:uid="{CE920081-807A-43D1-8B77-B1A27EFAE106}"/>
    <cellStyle name="Entrada 2 2 2" xfId="4015" xr:uid="{F03702B0-8FD6-417F-8AE2-460589F7A1D8}"/>
    <cellStyle name="Entrada 2 2 3" xfId="4016" xr:uid="{C32F4280-7658-4F9D-9CA4-D484C5B8282B}"/>
    <cellStyle name="Entrada 2 2 4" xfId="4017" xr:uid="{ECEA138F-CCEB-463D-BFAB-A2D21CEA3A26}"/>
    <cellStyle name="Entrada 2 2 5" xfId="4018" xr:uid="{4ADB87C9-891D-4233-BC5A-5B3AFCEAB4D2}"/>
    <cellStyle name="Entrada 2 2 6" xfId="4019" xr:uid="{CC71076B-C35C-4AEB-974D-AAFDF8C2D6F4}"/>
    <cellStyle name="Entrada 2 2 7" xfId="4020" xr:uid="{C86F0313-3902-4AC4-84E3-60BDE3EA9FCD}"/>
    <cellStyle name="Entrada 2 3" xfId="2403" xr:uid="{0AEF7635-C66D-4E6B-81F0-345240AC26EF}"/>
    <cellStyle name="Entrada 2 3 2" xfId="4021" xr:uid="{727F72D7-5E34-44E6-8616-04BF1FDA101D}"/>
    <cellStyle name="Entrada 2 3 3" xfId="4022" xr:uid="{1020D69D-F786-4B15-998D-661D32EDA449}"/>
    <cellStyle name="Entrada 2 3 4" xfId="4023" xr:uid="{58259BEB-8975-4689-B0A3-B4BA6488D55D}"/>
    <cellStyle name="Entrada 2 3 5" xfId="4024" xr:uid="{5F5A7A8B-8995-4D59-90C4-17B1904E0ACC}"/>
    <cellStyle name="Entrada 2 3 6" xfId="4025" xr:uid="{701F43C8-347E-4D3B-98E2-1457C7237F4D}"/>
    <cellStyle name="Entrada 2 3 7" xfId="4026" xr:uid="{D85E6780-839F-4175-A3EA-DE5C3297B586}"/>
    <cellStyle name="Entrada 2 4" xfId="2404" xr:uid="{F8A7857B-52ED-4CB2-9C36-93130D607B0A}"/>
    <cellStyle name="Entrada 2 4 2" xfId="4027" xr:uid="{76A9EC9B-AC30-4ABC-8D0A-1621CE2538F4}"/>
    <cellStyle name="Entrada 2 4 3" xfId="4028" xr:uid="{A21F04B6-DD7D-4BF2-B6AC-4E11AA6DB0B2}"/>
    <cellStyle name="Entrada 2 4 4" xfId="4029" xr:uid="{51FF3425-04C1-48C0-B93B-E772F9CCAC51}"/>
    <cellStyle name="Entrada 2 4 5" xfId="4030" xr:uid="{E0754A8E-76EE-4AF7-96FF-B40DCA59B666}"/>
    <cellStyle name="Entrada 2 4 6" xfId="4031" xr:uid="{45C04CF5-412F-462B-BE68-8C7861F9181D}"/>
    <cellStyle name="Entrada 2 4 7" xfId="4032" xr:uid="{8D4F4125-318A-4191-8C96-040FE28F5247}"/>
    <cellStyle name="Entrada 2 5" xfId="2405" xr:uid="{F0E501E9-9DD8-4D80-9B26-BD787241A02C}"/>
    <cellStyle name="Entrada 2 5 2" xfId="4033" xr:uid="{00078EFA-83EA-425C-8AEF-436C0B3C9379}"/>
    <cellStyle name="Entrada 2 5 3" xfId="4034" xr:uid="{D265E9CE-D7C1-469E-8962-27E8DAAF2D84}"/>
    <cellStyle name="Entrada 2 5 4" xfId="4035" xr:uid="{CEA7916A-ED3F-494D-9B20-3FB828F2D456}"/>
    <cellStyle name="Entrada 2 5 5" xfId="4036" xr:uid="{F494B5A0-720E-471B-A383-B66626A96B9D}"/>
    <cellStyle name="Entrada 2 5 6" xfId="4037" xr:uid="{4562891A-6DF6-4306-AE46-00500CB80E36}"/>
    <cellStyle name="Entrada 2 5 7" xfId="4038" xr:uid="{6DB4D210-70E0-4776-9C2C-4D92C37AED90}"/>
    <cellStyle name="Entrada 2 6" xfId="4039" xr:uid="{345A5146-1830-4F14-B2FC-B3C1CDFE4186}"/>
    <cellStyle name="Entrada 2 7" xfId="4040" xr:uid="{BC888E0A-AC92-475B-8057-6465D63576A3}"/>
    <cellStyle name="Entrada 2 8" xfId="4041" xr:uid="{5B060616-8834-4964-A97A-8DD55D847E0E}"/>
    <cellStyle name="Entrada 2 9" xfId="4042" xr:uid="{D2CEDC95-9625-4452-8059-7187E9A7D335}"/>
    <cellStyle name="Entrada 20" xfId="2406" xr:uid="{9AEC4400-21F7-439C-A7D6-FAD6587A09EB}"/>
    <cellStyle name="Entrada 20 2" xfId="4043" xr:uid="{F12D107B-B7E0-45F1-A823-1A247FF65D7B}"/>
    <cellStyle name="Entrada 20 3" xfId="4044" xr:uid="{0FB0AD51-6D9B-4B22-99E8-4F70F2967C4E}"/>
    <cellStyle name="Entrada 20 4" xfId="4045" xr:uid="{227BCB37-5016-4A70-BF59-5FD037A7F417}"/>
    <cellStyle name="Entrada 20 5" xfId="4046" xr:uid="{21FE7FB5-FF3F-45D2-BE1A-C48D0B626771}"/>
    <cellStyle name="Entrada 20 6" xfId="4047" xr:uid="{F0551663-08EE-4DA8-923D-B1832285C21B}"/>
    <cellStyle name="Entrada 20 7" xfId="4048" xr:uid="{60318126-C4EE-4D19-8E27-E8F93C45D7AD}"/>
    <cellStyle name="Entrada 21" xfId="2407" xr:uid="{739C7872-DA29-4D31-81A6-3C18414AF4DF}"/>
    <cellStyle name="Entrada 21 2" xfId="4049" xr:uid="{555C1D3B-954A-40F1-B462-06488D998ADD}"/>
    <cellStyle name="Entrada 21 3" xfId="4050" xr:uid="{3A1510D1-D97D-429F-9DD5-B50208AB7687}"/>
    <cellStyle name="Entrada 21 4" xfId="4051" xr:uid="{C85FA2A9-B5B6-417D-93F3-AE4571B9216B}"/>
    <cellStyle name="Entrada 21 5" xfId="4052" xr:uid="{4E849101-1EB3-4FEC-B32D-2113D1A83C70}"/>
    <cellStyle name="Entrada 21 6" xfId="4053" xr:uid="{565E1033-6458-4054-B969-D3DD9094154E}"/>
    <cellStyle name="Entrada 21 7" xfId="4054" xr:uid="{921AC043-28BE-4661-9624-2946711DF7E2}"/>
    <cellStyle name="Entrada 22" xfId="2408" xr:uid="{E4846F51-1B51-4F1F-966C-FAC8B432020F}"/>
    <cellStyle name="Entrada 22 2" xfId="4055" xr:uid="{3B373FCC-DB63-4EF2-B8A5-DD7163DB0BFD}"/>
    <cellStyle name="Entrada 22 3" xfId="4056" xr:uid="{16A74084-14ED-4AC7-9A65-7F05F380A10B}"/>
    <cellStyle name="Entrada 22 4" xfId="4057" xr:uid="{BD9950FA-3394-485D-B6D7-33E3DCF3E6F4}"/>
    <cellStyle name="Entrada 22 5" xfId="4058" xr:uid="{4F0493DD-285F-4A13-8FD1-CD47338CFF1A}"/>
    <cellStyle name="Entrada 22 6" xfId="4059" xr:uid="{616E8B61-4AB5-4651-96DE-DCFFE2AD4531}"/>
    <cellStyle name="Entrada 22 7" xfId="4060" xr:uid="{53682AED-F5CB-426F-BA10-745F64044BB5}"/>
    <cellStyle name="Entrada 23" xfId="2409" xr:uid="{23B40A07-C411-4CDC-B610-ADEE6502F12B}"/>
    <cellStyle name="Entrada 23 2" xfId="4061" xr:uid="{9CA35714-9508-40EF-B3D2-5CA6639BC9BF}"/>
    <cellStyle name="Entrada 23 3" xfId="4062" xr:uid="{413DD029-DED2-4399-B383-1444B8BC39F5}"/>
    <cellStyle name="Entrada 23 4" xfId="4308" xr:uid="{4152F49E-DEC5-43F0-8083-F0B0417EDADA}"/>
    <cellStyle name="Entrada 23 5" xfId="4063" xr:uid="{6BB60175-BFBE-4C5F-B47C-6E47E59D6167}"/>
    <cellStyle name="Entrada 23 6" xfId="4064" xr:uid="{74248049-0409-428C-80EF-5F948BA047D5}"/>
    <cellStyle name="Entrada 23 7" xfId="4065" xr:uid="{806FFC33-884C-4229-8A16-9C45B25F4862}"/>
    <cellStyle name="Entrada 24" xfId="2410" xr:uid="{41EE9E10-2332-4B31-8C59-35062B44CFF7}"/>
    <cellStyle name="Entrada 24 2" xfId="4066" xr:uid="{C05ADC55-39DA-4F6D-A318-D0E9FF6DCF1E}"/>
    <cellStyle name="Entrada 24 3" xfId="4067" xr:uid="{621FCBF9-C70C-48C2-980E-F941790DC1D1}"/>
    <cellStyle name="Entrada 24 4" xfId="4068" xr:uid="{575F41F3-50B4-415F-8F7A-78FEA9B5E61F}"/>
    <cellStyle name="Entrada 24 5" xfId="4069" xr:uid="{8742E35B-C68B-46A1-B1FC-57A264A80557}"/>
    <cellStyle name="Entrada 24 6" xfId="3546" xr:uid="{0CB9F757-CA4C-4EAA-858A-F5C4DBFE71FB}"/>
    <cellStyle name="Entrada 24 7" xfId="4070" xr:uid="{017575BA-1570-4582-AAF4-E3413C19DA00}"/>
    <cellStyle name="Entrada 25" xfId="2411" xr:uid="{99AE9019-FD32-4B46-93BC-D2E0923ABFF0}"/>
    <cellStyle name="Entrada 25 2" xfId="4071" xr:uid="{C6E05393-8208-4741-B94D-92FF1D9A6865}"/>
    <cellStyle name="Entrada 25 3" xfId="4072" xr:uid="{032CFBB9-F66B-4B86-B618-877D891B9C03}"/>
    <cellStyle name="Entrada 25 4" xfId="4073" xr:uid="{7DB0F9C8-1886-47CD-AC21-ABF88D029B33}"/>
    <cellStyle name="Entrada 25 5" xfId="4074" xr:uid="{6F1A0E3E-A2F7-43C8-B90F-D11B6155040D}"/>
    <cellStyle name="Entrada 25 6" xfId="4075" xr:uid="{AE0154C9-9B2E-4026-AF7F-0AC3E190E429}"/>
    <cellStyle name="Entrada 25 7" xfId="4076" xr:uid="{81771AC6-3B46-4D3C-91A2-64C7681090F5}"/>
    <cellStyle name="Entrada 26" xfId="2412" xr:uid="{256E0078-97AF-4561-AE6F-4AECB0FB16F5}"/>
    <cellStyle name="Entrada 26 2" xfId="4077" xr:uid="{EA1049C9-3E8B-4385-8569-A9AA71F90321}"/>
    <cellStyle name="Entrada 26 3" xfId="4078" xr:uid="{77A575C5-ABC4-4B32-AC4C-B508A8356027}"/>
    <cellStyle name="Entrada 26 4" xfId="4079" xr:uid="{74EE015D-18D1-4CD3-8155-B96146E76184}"/>
    <cellStyle name="Entrada 26 5" xfId="4080" xr:uid="{3AF0143A-CC12-416B-B716-BE1AD3E23592}"/>
    <cellStyle name="Entrada 26 6" xfId="4081" xr:uid="{F51DB8F3-FAFF-464E-95D0-80BD2C68495F}"/>
    <cellStyle name="Entrada 26 7" xfId="4082" xr:uid="{616B2DF6-9CA5-4F5D-8C65-2C6928FA4512}"/>
    <cellStyle name="Entrada 27" xfId="2413" xr:uid="{58A2B9FF-1126-41A9-A3E3-8C2C84B19D5F}"/>
    <cellStyle name="Entrada 27 2" xfId="4083" xr:uid="{92CCA46F-EC64-4134-B2E1-24C126281CAF}"/>
    <cellStyle name="Entrada 27 3" xfId="4084" xr:uid="{76FB8DCC-5F35-4FF0-99FB-A5778E0EE32F}"/>
    <cellStyle name="Entrada 27 4" xfId="4085" xr:uid="{F6F4855E-3B9F-44C8-92E9-FF62B64199F0}"/>
    <cellStyle name="Entrada 27 5" xfId="4086" xr:uid="{F5C83E91-302F-4C14-836F-0DFE8CDF9881}"/>
    <cellStyle name="Entrada 27 6" xfId="4087" xr:uid="{86357DDD-A876-40BD-A07E-B46C69E491B3}"/>
    <cellStyle name="Entrada 27 7" xfId="4088" xr:uid="{316101B8-8FEB-4131-B70C-CF4DC5C14A33}"/>
    <cellStyle name="Entrada 28" xfId="2414" xr:uid="{25D67523-B36E-4629-9042-96B2D8425D5B}"/>
    <cellStyle name="Entrada 28 2" xfId="4089" xr:uid="{5B1C258F-D80A-48A3-A6A2-303C262183E4}"/>
    <cellStyle name="Entrada 28 3" xfId="4090" xr:uid="{2B865612-ABBE-4290-AA94-E7B24645CA78}"/>
    <cellStyle name="Entrada 28 4" xfId="4091" xr:uid="{E87B35E6-C68C-4224-983B-A8789CB44DAB}"/>
    <cellStyle name="Entrada 28 5" xfId="4092" xr:uid="{1D7A61F6-8F3B-4692-A3D9-2D879246A71B}"/>
    <cellStyle name="Entrada 28 6" xfId="4093" xr:uid="{370581F7-A588-4897-8ECA-B7939F4E855D}"/>
    <cellStyle name="Entrada 28 7" xfId="4094" xr:uid="{2318188E-7D92-458A-992B-985ED62BDCE2}"/>
    <cellStyle name="Entrada 29" xfId="2415" xr:uid="{5EDDF684-9614-4898-9EC4-5E58ECD27488}"/>
    <cellStyle name="Entrada 29 2" xfId="4095" xr:uid="{EA3F25CF-75DC-4B13-986B-E6E5AE38591F}"/>
    <cellStyle name="Entrada 29 3" xfId="4096" xr:uid="{8D9B7798-575A-41D9-B37E-153FEDC10B6D}"/>
    <cellStyle name="Entrada 29 4" xfId="4097" xr:uid="{D2B3B4BE-9255-4B28-A28C-9711A707C89E}"/>
    <cellStyle name="Entrada 29 5" xfId="4098" xr:uid="{9897BEDC-9BE4-46FA-A61F-381B95F6B9E0}"/>
    <cellStyle name="Entrada 29 6" xfId="4099" xr:uid="{6007BA27-3AFF-4A1B-9B22-79E070373825}"/>
    <cellStyle name="Entrada 29 7" xfId="4100" xr:uid="{FDEE04E7-2232-4523-BC5B-8A942770A0F0}"/>
    <cellStyle name="Entrada 3" xfId="391" xr:uid="{70F50020-2D82-425D-BEF7-404F32C2AC7C}"/>
    <cellStyle name="Entrada 3 2" xfId="4101" xr:uid="{4E86CA3C-D58B-421D-867C-D1DB0FB162EE}"/>
    <cellStyle name="Entrada 3 3" xfId="4102" xr:uid="{4AED431F-E302-4783-A736-D2EC88EDEBD1}"/>
    <cellStyle name="Entrada 3 4" xfId="4103" xr:uid="{86E98D37-8CE3-4412-9E11-DCA9C684C8D3}"/>
    <cellStyle name="Entrada 3 5" xfId="4104" xr:uid="{B22AB768-4195-49A2-8449-70D38CFD4D35}"/>
    <cellStyle name="Entrada 3 6" xfId="4105" xr:uid="{B05E7391-CF75-4823-ACF2-E0C2A1276E2B}"/>
    <cellStyle name="Entrada 3 7" xfId="4106" xr:uid="{083A3E2B-51C2-458D-AAE4-5FBE75549D92}"/>
    <cellStyle name="Entrada 3 8" xfId="13080" xr:uid="{F4DE1BC1-7E10-41D5-8509-FC6493AF822D}"/>
    <cellStyle name="Entrada 30" xfId="2416" xr:uid="{E8E656B2-1856-48B5-B586-52AF236314D7}"/>
    <cellStyle name="Entrada 30 2" xfId="4107" xr:uid="{701116E2-2E90-4EF0-A192-6B2A9B535AE9}"/>
    <cellStyle name="Entrada 30 3" xfId="4108" xr:uid="{7DF2277A-D08D-406D-9FAF-83CE64255B2D}"/>
    <cellStyle name="Entrada 30 4" xfId="4109" xr:uid="{A58903E9-491C-4407-B999-5632E3886D77}"/>
    <cellStyle name="Entrada 30 5" xfId="4110" xr:uid="{B0580C13-BFBD-4413-B371-8D1AF1B971DF}"/>
    <cellStyle name="Entrada 30 6" xfId="4111" xr:uid="{EF6C0FEF-9B46-4CCD-AA38-058A73959A80}"/>
    <cellStyle name="Entrada 30 7" xfId="4112" xr:uid="{D17A98F7-9130-4566-A53E-1DA0F6D5599E}"/>
    <cellStyle name="Entrada 31" xfId="2417" xr:uid="{D290BFDD-C712-4A16-A5AE-FDBFDDD3A715}"/>
    <cellStyle name="Entrada 31 2" xfId="4113" xr:uid="{D74F3E1F-3BAC-487B-A75A-1BD3561FDD80}"/>
    <cellStyle name="Entrada 31 3" xfId="4114" xr:uid="{03150EBE-838A-4007-8C80-22DE3E4C520A}"/>
    <cellStyle name="Entrada 31 4" xfId="4115" xr:uid="{0F535BC9-58C9-4C33-A1BC-C522BB49E071}"/>
    <cellStyle name="Entrada 31 5" xfId="4116" xr:uid="{84BD1DE1-6A83-442C-ADFF-9704C564645F}"/>
    <cellStyle name="Entrada 31 6" xfId="4117" xr:uid="{6BD6622C-7FA5-44DF-B320-FBECA369C1EA}"/>
    <cellStyle name="Entrada 31 7" xfId="4118" xr:uid="{E6A6569E-7655-4258-8136-77D4C5B68292}"/>
    <cellStyle name="Entrada 32" xfId="2418" xr:uid="{8E06A716-F377-4BC3-BECB-E2BB986CB005}"/>
    <cellStyle name="Entrada 32 2" xfId="4119" xr:uid="{8199AB69-4E48-4B59-B6DD-5C5BB32440E3}"/>
    <cellStyle name="Entrada 32 3" xfId="4120" xr:uid="{013AA010-04AC-4E88-9B78-4C6AFCCD3C76}"/>
    <cellStyle name="Entrada 32 4" xfId="4121" xr:uid="{042EDA34-5E6E-45F1-A6EF-422A2C8F7C95}"/>
    <cellStyle name="Entrada 32 5" xfId="4309" xr:uid="{6D156F34-A33D-4434-AC96-D830440226B2}"/>
    <cellStyle name="Entrada 32 6" xfId="4122" xr:uid="{847C0945-3DA8-4D8C-9B9A-6DF1F69EE990}"/>
    <cellStyle name="Entrada 32 7" xfId="4123" xr:uid="{C4E80858-8074-4667-A9D4-E78E9036FC34}"/>
    <cellStyle name="Entrada 33" xfId="2419" xr:uid="{D4FC069D-4566-4308-8DE9-59FD07C029AB}"/>
    <cellStyle name="Entrada 33 2" xfId="4124" xr:uid="{1A6DF228-A0CE-49A1-A247-674E57EB41C8}"/>
    <cellStyle name="Entrada 33 3" xfId="4125" xr:uid="{C802B3A1-1DF8-4084-BF60-8B695C37DF7C}"/>
    <cellStyle name="Entrada 33 4" xfId="4126" xr:uid="{ECD6C23C-7E88-4F86-AFD7-718B1C2DDCA4}"/>
    <cellStyle name="Entrada 33 5" xfId="4127" xr:uid="{BC1554C6-C602-46DC-82A0-2B35EEBF34C7}"/>
    <cellStyle name="Entrada 33 6" xfId="4128" xr:uid="{D7A40896-7F05-4961-A64B-5A45DCEE3C5C}"/>
    <cellStyle name="Entrada 33 7" xfId="4129" xr:uid="{CA61A631-5A37-4618-896F-CB188B3D92AF}"/>
    <cellStyle name="Entrada 34" xfId="2420" xr:uid="{3AB299F9-A7A6-44A5-8357-BE604346F62C}"/>
    <cellStyle name="Entrada 34 2" xfId="4130" xr:uid="{0B10E4B9-3728-4EC4-92D9-E0F7CCDEDFB9}"/>
    <cellStyle name="Entrada 34 3" xfId="4131" xr:uid="{C01BB31D-D4A5-4718-95CE-0C9D352DF3D7}"/>
    <cellStyle name="Entrada 34 4" xfId="4132" xr:uid="{B36EF007-30D8-4757-AD17-E036464C8181}"/>
    <cellStyle name="Entrada 34 5" xfId="4133" xr:uid="{17D410F7-94C1-4BF1-B927-3C5C228F794F}"/>
    <cellStyle name="Entrada 34 6" xfId="4134" xr:uid="{66C92D66-CD6C-4944-B0E5-966667690AEF}"/>
    <cellStyle name="Entrada 34 7" xfId="4135" xr:uid="{71AF5EE2-91F5-4C6A-BC25-60696D8AC17B}"/>
    <cellStyle name="Entrada 35" xfId="2421" xr:uid="{AAA0E409-0BD7-4BF6-95AF-294EE82B767D}"/>
    <cellStyle name="Entrada 35 2" xfId="4136" xr:uid="{2F0555E3-C3B4-45D0-B85D-F52378A7DA5B}"/>
    <cellStyle name="Entrada 35 3" xfId="4137" xr:uid="{44B47A78-45BE-482D-B242-C7FCD38F5F15}"/>
    <cellStyle name="Entrada 35 4" xfId="4138" xr:uid="{BFAE17EE-82F2-4059-8EAE-A2A32AEB2C58}"/>
    <cellStyle name="Entrada 35 5" xfId="4139" xr:uid="{02FCF227-958A-47A1-87CE-CF7D83FEDD64}"/>
    <cellStyle name="Entrada 35 6" xfId="4140" xr:uid="{FB513F95-051C-4CA8-82FF-33B33BF03F78}"/>
    <cellStyle name="Entrada 35 7" xfId="4141" xr:uid="{F00A17B3-69D4-4E95-8828-B828D38567DE}"/>
    <cellStyle name="Entrada 36" xfId="2422" xr:uid="{EA3F5079-DC6F-4112-95F3-5D8EA597DF4B}"/>
    <cellStyle name="Entrada 36 2" xfId="4142" xr:uid="{F509FFDC-F6FF-4453-AADE-699AC02EC92B}"/>
    <cellStyle name="Entrada 36 3" xfId="4143" xr:uid="{3378938B-BF91-4049-AECF-0D8D8633CFB7}"/>
    <cellStyle name="Entrada 36 4" xfId="4144" xr:uid="{49B6B73E-102E-46B4-B572-C09363A57E4A}"/>
    <cellStyle name="Entrada 36 5" xfId="4145" xr:uid="{6E843A12-1608-450D-A7B3-E91C93442EEB}"/>
    <cellStyle name="Entrada 36 6" xfId="4146" xr:uid="{656B7DC6-7073-4A31-837B-69047922603B}"/>
    <cellStyle name="Entrada 36 7" xfId="4147" xr:uid="{9AA4C732-5513-4147-B652-B3F2712B7545}"/>
    <cellStyle name="Entrada 37" xfId="2423" xr:uid="{77AE3EB8-2CE1-4A02-B8FE-A9B01F6A05E6}"/>
    <cellStyle name="Entrada 37 2" xfId="4148" xr:uid="{95D77AE8-D7F6-48BD-AC9F-309A1D840671}"/>
    <cellStyle name="Entrada 37 3" xfId="4149" xr:uid="{B3BAA035-C70A-424F-91A7-9471AA0C46FA}"/>
    <cellStyle name="Entrada 37 4" xfId="4150" xr:uid="{63EC7DF1-8DCC-4C70-8DA7-1C2D16153905}"/>
    <cellStyle name="Entrada 37 5" xfId="4151" xr:uid="{F3CFF8A2-8522-4F52-9023-925F224F0295}"/>
    <cellStyle name="Entrada 37 6" xfId="4152" xr:uid="{841F75FD-C24B-4F12-8266-4B24933B46E7}"/>
    <cellStyle name="Entrada 37 7" xfId="4153" xr:uid="{F02E9E06-075F-4CDE-A4EB-4091830F3EA2}"/>
    <cellStyle name="Entrada 38" xfId="2424" xr:uid="{E9D4027A-5C14-4414-931A-A91CC61379C7}"/>
    <cellStyle name="Entrada 38 2" xfId="4154" xr:uid="{33D27EB4-0160-45B8-850F-3A5958DADFE4}"/>
    <cellStyle name="Entrada 38 3" xfId="4155" xr:uid="{6DC968B9-571E-4FB6-A4DD-3C27D64C446D}"/>
    <cellStyle name="Entrada 38 4" xfId="4156" xr:uid="{28B08B89-7DA1-4F0F-B29B-E803C6CB5873}"/>
    <cellStyle name="Entrada 38 5" xfId="4157" xr:uid="{C5FA1947-ACB8-43B4-A40D-53A68FA43939}"/>
    <cellStyle name="Entrada 38 6" xfId="4158" xr:uid="{C70F6FAE-9AD6-4697-99B4-288299F58212}"/>
    <cellStyle name="Entrada 38 7" xfId="4159" xr:uid="{3CF5DE73-F2F8-4410-B7C1-698D7009FDFF}"/>
    <cellStyle name="Entrada 39" xfId="2425" xr:uid="{90380B55-7A12-49A7-AFF0-BB53647934CE}"/>
    <cellStyle name="Entrada 39 2" xfId="4160" xr:uid="{77D0D407-4BA7-4468-8D29-5A2507750AE6}"/>
    <cellStyle name="Entrada 39 3" xfId="4161" xr:uid="{9D967580-58C7-4EF6-9E3E-3997B9C0EF73}"/>
    <cellStyle name="Entrada 39 4" xfId="4162" xr:uid="{E681C4F8-7194-41B2-A87E-1DE24D19BBA9}"/>
    <cellStyle name="Entrada 39 5" xfId="4163" xr:uid="{4A5043FC-77D9-4697-91A1-EB37DAEC7F6E}"/>
    <cellStyle name="Entrada 39 6" xfId="4164" xr:uid="{ACD225D8-3775-459F-ADC5-A0DA894A953D}"/>
    <cellStyle name="Entrada 39 7" xfId="4165" xr:uid="{94C43DE6-0C1F-4842-95B9-A47B49A29893}"/>
    <cellStyle name="Entrada 4" xfId="392" xr:uid="{1A954DD3-20DE-42FE-8978-96D0E4F92C85}"/>
    <cellStyle name="Entrada 4 2" xfId="4166" xr:uid="{6D38DBA6-F644-4C27-B11D-637D0789BA36}"/>
    <cellStyle name="Entrada 4 3" xfId="4167" xr:uid="{F4EDF66C-C15F-4B68-9AC0-EA3F94AA285B}"/>
    <cellStyle name="Entrada 4 4" xfId="4168" xr:uid="{03DEA5B1-74E6-4562-93FE-35ED5C13879B}"/>
    <cellStyle name="Entrada 4 5" xfId="4169" xr:uid="{55F817B0-2FA4-4E5B-A270-7501B7577BD1}"/>
    <cellStyle name="Entrada 4 6" xfId="4170" xr:uid="{90264C90-39FB-48DD-AA5A-3DDC63AC5B6D}"/>
    <cellStyle name="Entrada 4 7" xfId="4171" xr:uid="{93FD51B4-9053-468D-9A82-DCF0AB467199}"/>
    <cellStyle name="Entrada 4 8" xfId="10984" xr:uid="{10006E12-7997-4326-9239-7D06E79C2AF6}"/>
    <cellStyle name="Entrada 40" xfId="2426" xr:uid="{1C7DF578-9F2E-40D7-9F85-FB8A43B288E7}"/>
    <cellStyle name="Entrada 40 2" xfId="4172" xr:uid="{D373381E-0558-4577-B9EA-D6E9F4D1F2B1}"/>
    <cellStyle name="Entrada 40 3" xfId="4173" xr:uid="{9255E050-F72D-4715-A1C8-F7B561CB85EC}"/>
    <cellStyle name="Entrada 40 4" xfId="4174" xr:uid="{6C06A1A5-BF04-48F9-94FB-4EC6EA5223B9}"/>
    <cellStyle name="Entrada 40 5" xfId="4175" xr:uid="{8EA12056-4D4B-4102-A32D-EFA942A1B475}"/>
    <cellStyle name="Entrada 40 6" xfId="4176" xr:uid="{65AAD93F-A235-4ED7-A713-AE3153E6C5FB}"/>
    <cellStyle name="Entrada 40 7" xfId="4177" xr:uid="{0A71945C-29BC-4AA3-AAD0-C3A0528B7919}"/>
    <cellStyle name="Entrada 41" xfId="2427" xr:uid="{EDDFA671-2604-4EFF-AEA1-A06148F84A1D}"/>
    <cellStyle name="Entrada 41 2" xfId="4178" xr:uid="{20C522A5-6C67-472A-ADF0-AE7A51848C44}"/>
    <cellStyle name="Entrada 41 3" xfId="4179" xr:uid="{F2363F15-2663-4804-8737-DCD0F0AB8400}"/>
    <cellStyle name="Entrada 41 4" xfId="4180" xr:uid="{090A427F-5546-4DD3-A090-5C8382574929}"/>
    <cellStyle name="Entrada 41 5" xfId="4181" xr:uid="{94411102-A911-42FD-BEEF-03FDD35C0A46}"/>
    <cellStyle name="Entrada 41 6" xfId="4310" xr:uid="{CD090A42-54A3-4D86-90C9-E749AAE6026E}"/>
    <cellStyle name="Entrada 41 7" xfId="4182" xr:uid="{F128C4C2-361C-4F19-8110-367CDDD9D66B}"/>
    <cellStyle name="Entrada 42" xfId="2428" xr:uid="{F1B887D5-19E5-42C5-8979-59808E29509E}"/>
    <cellStyle name="Entrada 42 2" xfId="4183" xr:uid="{9BF89E4A-8390-4E2B-B047-A0762A245E57}"/>
    <cellStyle name="Entrada 42 3" xfId="4184" xr:uid="{4AF59286-87DD-484C-9290-0AB93243D07C}"/>
    <cellStyle name="Entrada 42 4" xfId="4185" xr:uid="{67C1ECD0-97A5-4186-9AB8-C76A7B3B1311}"/>
    <cellStyle name="Entrada 42 5" xfId="4186" xr:uid="{71124335-39FA-4D1D-8E68-ED15BFC56799}"/>
    <cellStyle name="Entrada 42 6" xfId="4187" xr:uid="{FDCED172-B5A7-4550-918E-E01B5071549D}"/>
    <cellStyle name="Entrada 42 7" xfId="4188" xr:uid="{7C897639-7B52-447C-BF31-7276D5ABD668}"/>
    <cellStyle name="Entrada 43" xfId="2429" xr:uid="{F0A6CA16-F877-46AC-8937-E9E6D05426B9}"/>
    <cellStyle name="Entrada 43 2" xfId="4189" xr:uid="{70BFC348-B622-4AFD-AAF2-3417ED9A28A8}"/>
    <cellStyle name="Entrada 43 3" xfId="4190" xr:uid="{557C639C-14CA-43C0-A5D2-39438B30D6C7}"/>
    <cellStyle name="Entrada 43 4" xfId="4191" xr:uid="{02B86549-7ECD-4B10-949F-E4D8CCFD6A08}"/>
    <cellStyle name="Entrada 43 5" xfId="4192" xr:uid="{F2147B36-9154-4483-903C-8A22D35E338D}"/>
    <cellStyle name="Entrada 43 6" xfId="4193" xr:uid="{65906FEF-5BCA-4CA9-BAC3-6C6E96F8058A}"/>
    <cellStyle name="Entrada 43 7" xfId="4194" xr:uid="{A6EE6160-7A1D-4139-89DD-5A63E47105B9}"/>
    <cellStyle name="Entrada 44" xfId="2430" xr:uid="{76095D9E-D1BC-4A56-9AB6-851397F19494}"/>
    <cellStyle name="Entrada 44 2" xfId="4195" xr:uid="{5007EEB2-F57D-4711-A518-1D4F4E9D8A23}"/>
    <cellStyle name="Entrada 44 3" xfId="4196" xr:uid="{50740BAB-CDAC-49C3-B7F0-55A91D2CCAA0}"/>
    <cellStyle name="Entrada 44 4" xfId="4197" xr:uid="{0902B298-2D3B-4AB4-8406-8905058651D1}"/>
    <cellStyle name="Entrada 44 5" xfId="4198" xr:uid="{F90AEA64-8BB2-48C6-845F-6DA32444E68C}"/>
    <cellStyle name="Entrada 44 6" xfId="3547" xr:uid="{B3833931-BAAB-4902-A49C-7C80AF886512}"/>
    <cellStyle name="Entrada 44 7" xfId="4199" xr:uid="{7B92FAEC-EA0D-45A4-A362-381D803617EB}"/>
    <cellStyle name="Entrada 45" xfId="2431" xr:uid="{47FF486B-C838-4800-886C-BAC178910B7E}"/>
    <cellStyle name="Entrada 45 2" xfId="4200" xr:uid="{BDB200BD-8F31-4D6F-9E25-613E2B128BD0}"/>
    <cellStyle name="Entrada 45 3" xfId="4201" xr:uid="{9081CB34-EC13-4570-9185-3C5F966B7ABF}"/>
    <cellStyle name="Entrada 45 4" xfId="4202" xr:uid="{9E1BE017-250D-48D0-8546-B8C2746E2727}"/>
    <cellStyle name="Entrada 45 5" xfId="4203" xr:uid="{FCCD4F7B-8502-48E8-9135-0DE7F8820CA2}"/>
    <cellStyle name="Entrada 45 6" xfId="4204" xr:uid="{62EBC8B2-2A84-40F5-869D-A48BB0B983AB}"/>
    <cellStyle name="Entrada 45 7" xfId="4205" xr:uid="{6241E26A-6E74-47E0-972C-351DFB69DA41}"/>
    <cellStyle name="Entrada 46" xfId="2432" xr:uid="{15A932BA-7947-4A70-BCA2-ABC46974BF48}"/>
    <cellStyle name="Entrada 46 2" xfId="4206" xr:uid="{6BE1C366-3F10-42E8-BBB9-C30A4211ED93}"/>
    <cellStyle name="Entrada 46 3" xfId="4207" xr:uid="{0C27CB26-9178-4A39-A17B-0C314995F282}"/>
    <cellStyle name="Entrada 46 4" xfId="4208" xr:uid="{1C75D22E-8DF0-46D2-A425-8B8A22B099F0}"/>
    <cellStyle name="Entrada 46 5" xfId="4209" xr:uid="{9D2DC502-4408-45E9-B94E-B83F6F513D1A}"/>
    <cellStyle name="Entrada 46 6" xfId="4210" xr:uid="{27A02793-C686-4A98-97C0-52F6DE9B8C0E}"/>
    <cellStyle name="Entrada 46 7" xfId="4211" xr:uid="{948CAF72-F099-4329-8B42-4DE73DB4861F}"/>
    <cellStyle name="Entrada 47" xfId="2433" xr:uid="{FDA78F53-6452-4F0B-ACC8-E008AA3F402E}"/>
    <cellStyle name="Entrada 47 2" xfId="4212" xr:uid="{E332A78E-C5DF-4D19-BD4C-7BC8A5F03508}"/>
    <cellStyle name="Entrada 47 3" xfId="4213" xr:uid="{34B04066-4AB6-4DE5-973F-1841FFDB1B3E}"/>
    <cellStyle name="Entrada 47 4" xfId="4214" xr:uid="{79294857-3D52-4717-860A-3ACA9E60E8F4}"/>
    <cellStyle name="Entrada 47 5" xfId="4215" xr:uid="{C29781F5-D354-4269-A070-C1E988F4C2EA}"/>
    <cellStyle name="Entrada 47 6" xfId="4216" xr:uid="{A0C7A1B9-49FE-46C1-97D4-B1A290E87FE9}"/>
    <cellStyle name="Entrada 47 7" xfId="4217" xr:uid="{5E37FFCA-1BBB-4D6E-9270-0C6BC0F29994}"/>
    <cellStyle name="Entrada 48" xfId="2434" xr:uid="{1888E45C-01DE-44BB-8B8D-4ED8B236107B}"/>
    <cellStyle name="Entrada 48 2" xfId="4218" xr:uid="{031A8F97-BE69-474C-8878-4EE846E64341}"/>
    <cellStyle name="Entrada 48 3" xfId="4219" xr:uid="{D6F9DCF1-B738-4954-B4DB-E0B721FC10A8}"/>
    <cellStyle name="Entrada 48 4" xfId="4220" xr:uid="{7C159C2C-CE85-4E01-A664-6FE2D00FD218}"/>
    <cellStyle name="Entrada 48 5" xfId="4221" xr:uid="{40FD9CA1-27E1-4E7D-8C64-83A8EA5539B9}"/>
    <cellStyle name="Entrada 48 6" xfId="4222" xr:uid="{F73F2299-E207-44CA-8B54-F7119DA88D83}"/>
    <cellStyle name="Entrada 48 7" xfId="4223" xr:uid="{83A75D59-65EB-4E39-8DE5-FAE076D3C6B3}"/>
    <cellStyle name="Entrada 49" xfId="2435" xr:uid="{B9873C23-D2C7-48AE-8A0E-0C61CEC04724}"/>
    <cellStyle name="Entrada 49 2" xfId="4224" xr:uid="{CC5F06CB-F768-4780-B1B6-F7B3ED1C654D}"/>
    <cellStyle name="Entrada 49 3" xfId="4225" xr:uid="{72C4B933-D56E-468D-8B55-C86EDFA7F660}"/>
    <cellStyle name="Entrada 49 4" xfId="4226" xr:uid="{8E7869B7-830B-404F-9C46-7746F6D74562}"/>
    <cellStyle name="Entrada 49 5" xfId="4227" xr:uid="{C04EE6F9-C3DF-4D84-A0B9-63B64148D157}"/>
    <cellStyle name="Entrada 49 6" xfId="4228" xr:uid="{4FCB0E57-7E95-4998-876F-F83E741B8F0B}"/>
    <cellStyle name="Entrada 49 7" xfId="4229" xr:uid="{7C63EC4E-A514-43A9-BED9-F4378D75E44E}"/>
    <cellStyle name="Entrada 5" xfId="393" xr:uid="{DBC173E9-5C65-4144-B02E-9ED2C02481C0}"/>
    <cellStyle name="Entrada 5 2" xfId="4230" xr:uid="{6C2773A8-C459-48B5-BA03-142D173FBC8F}"/>
    <cellStyle name="Entrada 5 3" xfId="4231" xr:uid="{5AAA7D6E-3645-4AF8-93C1-8E4C4EDB6BD7}"/>
    <cellStyle name="Entrada 5 4" xfId="4232" xr:uid="{3C8D48DB-06FA-44E4-B596-5ED18B0C0654}"/>
    <cellStyle name="Entrada 5 5" xfId="4233" xr:uid="{84D4E158-425F-4456-870E-EFF80E4C73D7}"/>
    <cellStyle name="Entrada 5 6" xfId="4234" xr:uid="{E1951284-F046-4E40-B0A3-9134C2F26627}"/>
    <cellStyle name="Entrada 5 7" xfId="4235" xr:uid="{CE92C0C4-242F-495B-B26A-0EC9809B6F22}"/>
    <cellStyle name="Entrada 5 8" xfId="13597" xr:uid="{5161811B-F8F6-47E6-871C-A1CF6A6C7007}"/>
    <cellStyle name="Entrada 50" xfId="2436" xr:uid="{3B00BBFB-6D66-48FA-BC9E-CB49C0FACB4A}"/>
    <cellStyle name="Entrada 50 2" xfId="4236" xr:uid="{C2F482CA-3CF9-432E-AA4A-FB469AAE68DC}"/>
    <cellStyle name="Entrada 50 3" xfId="4237" xr:uid="{8AFAA936-B3D7-4A0D-84F8-F0EDBCB17709}"/>
    <cellStyle name="Entrada 50 4" xfId="4238" xr:uid="{08A1B809-3BFD-4F1E-985D-BCF2ABC04632}"/>
    <cellStyle name="Entrada 50 5" xfId="4239" xr:uid="{8AE28FD7-BE35-405A-B771-9FE21E4EBD09}"/>
    <cellStyle name="Entrada 50 6" xfId="4240" xr:uid="{90BBA9C6-FC8B-491B-8172-A0AC5FA66EC8}"/>
    <cellStyle name="Entrada 50 7" xfId="4311" xr:uid="{C604B3A8-BEC7-4A00-AC02-85DA4738302B}"/>
    <cellStyle name="Entrada 51" xfId="2437" xr:uid="{16DE9643-CBFE-4698-8B76-0B1B2601B1C6}"/>
    <cellStyle name="Entrada 51 2" xfId="4241" xr:uid="{817CDCA3-C48B-4731-BD3E-63263625804E}"/>
    <cellStyle name="Entrada 51 3" xfId="4242" xr:uid="{4877703A-AC04-4A55-9B82-F706C64AE949}"/>
    <cellStyle name="Entrada 51 4" xfId="4243" xr:uid="{CAE33DC5-E8D0-4066-9158-C9410EE8FC16}"/>
    <cellStyle name="Entrada 51 5" xfId="4244" xr:uid="{9129D806-7232-401E-B709-551AE35CD13F}"/>
    <cellStyle name="Entrada 51 6" xfId="4245" xr:uid="{63951EC7-E0A7-4DA5-90AE-D8E07DF048A0}"/>
    <cellStyle name="Entrada 51 7" xfId="4246" xr:uid="{1D173C74-5ECD-4E1F-AC00-0B6052E77E9D}"/>
    <cellStyle name="Entrada 52" xfId="2438" xr:uid="{748A9F79-A749-46C6-92CB-F1156495DE59}"/>
    <cellStyle name="Entrada 52 2" xfId="4247" xr:uid="{D80641C2-8852-4288-869C-5BEBC5F08537}"/>
    <cellStyle name="Entrada 52 3" xfId="4248" xr:uid="{541E00CA-44A7-4192-B4EA-14EEAFA137D0}"/>
    <cellStyle name="Entrada 52 4" xfId="4249" xr:uid="{FC7C6916-815F-4D76-9981-3306EA91904A}"/>
    <cellStyle name="Entrada 52 5" xfId="4250" xr:uid="{84533CB4-E38E-4CAA-9CB4-6E9AD5DBE22B}"/>
    <cellStyle name="Entrada 52 6" xfId="4251" xr:uid="{32146463-17BB-4C53-9701-DC02CD3DAE95}"/>
    <cellStyle name="Entrada 52 7" xfId="4252" xr:uid="{A80D6E07-6878-4FE4-9C3B-F2DC54ED6E9F}"/>
    <cellStyle name="Entrada 53" xfId="2439" xr:uid="{85A22F61-05B0-49CB-B92B-525B35774627}"/>
    <cellStyle name="Entrada 53 2" xfId="4253" xr:uid="{54E6ACAC-E13D-4428-A689-77CB58AF616C}"/>
    <cellStyle name="Entrada 53 3" xfId="4254" xr:uid="{6D991B4C-0333-49AD-940F-435872E0E4D9}"/>
    <cellStyle name="Entrada 53 4" xfId="4255" xr:uid="{38FA5744-90A0-4F71-971A-EA3E82E3466C}"/>
    <cellStyle name="Entrada 53 5" xfId="4256" xr:uid="{1BA466B4-62FA-40A0-9E08-0CBA1A32B79A}"/>
    <cellStyle name="Entrada 53 6" xfId="4257" xr:uid="{1FC1A095-4F31-4ED7-A3B9-7CFD450961A7}"/>
    <cellStyle name="Entrada 53 7" xfId="4258" xr:uid="{ACB299DB-090E-45F2-AA61-3789BBFB4F13}"/>
    <cellStyle name="Entrada 54" xfId="2440" xr:uid="{878D1681-40E1-41C6-9ED6-92232F180B05}"/>
    <cellStyle name="Entrada 54 2" xfId="4259" xr:uid="{D824FFE5-AED5-446C-A1A9-215823C2BBBD}"/>
    <cellStyle name="Entrada 54 3" xfId="4260" xr:uid="{5DA2B584-CD6A-4B2B-A711-1C49EE381AF7}"/>
    <cellStyle name="Entrada 54 4" xfId="4261" xr:uid="{39C2DFBF-98A1-4A6D-AA27-0893CA0F69C4}"/>
    <cellStyle name="Entrada 54 5" xfId="4262" xr:uid="{B17698E2-0F88-4592-974C-FC945859FF57}"/>
    <cellStyle name="Entrada 54 6" xfId="4263" xr:uid="{1E4BAF01-D5C0-4A7F-96D7-F7112B4E3480}"/>
    <cellStyle name="Entrada 54 7" xfId="4264" xr:uid="{D7A24552-1324-4D90-B565-9F79E06C59D5}"/>
    <cellStyle name="Entrada 55" xfId="2441" xr:uid="{3CF1AF2A-538D-497B-8C05-C75D13CEFFBC}"/>
    <cellStyle name="Entrada 55 2" xfId="4265" xr:uid="{020F79AB-0A22-4B46-A97C-5DB33C2F2362}"/>
    <cellStyle name="Entrada 55 3" xfId="4266" xr:uid="{2B73551D-FFDB-49BE-91AE-9220B99C2529}"/>
    <cellStyle name="Entrada 55 4" xfId="3548" xr:uid="{381B2528-FA0C-4017-A512-F14039394565}"/>
    <cellStyle name="Entrada 55 5" xfId="4267" xr:uid="{0635D395-F6A8-48FC-AA8E-33BF3AC794CB}"/>
    <cellStyle name="Entrada 55 6" xfId="4268" xr:uid="{46E73418-9B9F-4F80-9107-224D0DAC47AB}"/>
    <cellStyle name="Entrada 55 7" xfId="4269" xr:uid="{9B2E890E-9E03-4BA9-A71E-CA7B30A644A0}"/>
    <cellStyle name="Entrada 56" xfId="2442" xr:uid="{C91AD769-2AE0-45B8-8FE6-A3E9C4C29AEE}"/>
    <cellStyle name="Entrada 56 2" xfId="4270" xr:uid="{F92F3FA3-ED62-4B79-A2FE-7D9158682877}"/>
    <cellStyle name="Entrada 56 3" xfId="4271" xr:uid="{FEFD2721-0130-4788-AFFC-3318B93CC629}"/>
    <cellStyle name="Entrada 56 4" xfId="4272" xr:uid="{3A5C2BCA-B4DF-4B0B-ABA5-B5ADC5B146F9}"/>
    <cellStyle name="Entrada 56 5" xfId="4273" xr:uid="{D83CA1BE-E6B2-4382-812E-D292D902DE78}"/>
    <cellStyle name="Entrada 56 6" xfId="4274" xr:uid="{36BE8A1E-D2D9-4C62-9A94-20AE8862537F}"/>
    <cellStyle name="Entrada 56 7" xfId="4275" xr:uid="{7DB99838-EE2F-4DBF-89AE-1D0AA6394D94}"/>
    <cellStyle name="Entrada 57" xfId="2443" xr:uid="{26B97A1D-45DA-418C-BFD0-207C7E3ED386}"/>
    <cellStyle name="Entrada 57 2" xfId="4276" xr:uid="{02CFA9FC-7329-492C-9A11-11DFAE00CC34}"/>
    <cellStyle name="Entrada 57 3" xfId="4277" xr:uid="{B6C20740-601E-4502-9E37-5055F4F772C9}"/>
    <cellStyle name="Entrada 57 4" xfId="4278" xr:uid="{288E6D74-1E5F-412C-8D3C-41551FBD7CED}"/>
    <cellStyle name="Entrada 57 5" xfId="4279" xr:uid="{95C26BD2-8384-4AD1-A11E-534F338E88CF}"/>
    <cellStyle name="Entrada 57 6" xfId="4280" xr:uid="{5061FF12-2D86-4291-9208-FCD95EC57AD4}"/>
    <cellStyle name="Entrada 57 7" xfId="4281" xr:uid="{86886305-5C94-4DD9-B852-379B1474267D}"/>
    <cellStyle name="Entrada 58" xfId="2444" xr:uid="{9ABBA89E-855C-4199-932C-F917336D76FA}"/>
    <cellStyle name="Entrada 58 2" xfId="4282" xr:uid="{47B108E7-DF17-4F6F-A549-CA08938CC6EF}"/>
    <cellStyle name="Entrada 58 3" xfId="4283" xr:uid="{E08CD0D3-AFDE-4C11-98D6-823635AFB85B}"/>
    <cellStyle name="Entrada 58 4" xfId="4284" xr:uid="{7828EFC6-0F28-403A-9261-D26DCFFD42EF}"/>
    <cellStyle name="Entrada 58 5" xfId="4285" xr:uid="{2768F42D-C4F2-463B-AA75-2ED5901C9471}"/>
    <cellStyle name="Entrada 58 6" xfId="4286" xr:uid="{CFA32B4E-C2EF-4D08-B64C-EE3EA2526EA9}"/>
    <cellStyle name="Entrada 58 7" xfId="4287" xr:uid="{9FBB35F8-0DC1-4482-AD26-8030ED071195}"/>
    <cellStyle name="Entrada 59" xfId="2445" xr:uid="{7D332540-B5B8-412F-9A42-CDA16C9DDC6A}"/>
    <cellStyle name="Entrada 59 2" xfId="4288" xr:uid="{2F2451F4-03F6-4762-985E-C6662D63357A}"/>
    <cellStyle name="Entrada 59 3" xfId="4289" xr:uid="{8B987529-4ECD-45F6-B449-11D27935B606}"/>
    <cellStyle name="Entrada 59 4" xfId="4290" xr:uid="{1B9DAD1B-3B4E-4678-AF0A-4ADECB70671A}"/>
    <cellStyle name="Entrada 59 5" xfId="4291" xr:uid="{A3393722-9F81-4FE4-BB56-F547608AF552}"/>
    <cellStyle name="Entrada 59 6" xfId="4292" xr:uid="{962461B7-636A-40AF-B3EA-D6641E092DDF}"/>
    <cellStyle name="Entrada 59 7" xfId="4293" xr:uid="{66422336-BC38-4BF8-AB50-A00B278B64F8}"/>
    <cellStyle name="Entrada 6" xfId="394" xr:uid="{6821488D-46C9-44DB-84D1-6F01CAC83045}"/>
    <cellStyle name="Entrada 6 2" xfId="4294" xr:uid="{C2047B65-B5FC-489F-8F6B-8607E2599024}"/>
    <cellStyle name="Entrada 6 3" xfId="4295" xr:uid="{B5015D58-4700-43A1-8D21-8FD67A953498}"/>
    <cellStyle name="Entrada 6 4" xfId="4296" xr:uid="{516FC3E1-98A9-4D83-A66C-8D2553F7D8BF}"/>
    <cellStyle name="Entrada 6 5" xfId="4297" xr:uid="{11149BF0-0F73-40B9-B4F9-BFBF7C579530}"/>
    <cellStyle name="Entrada 6 6" xfId="3549" xr:uid="{0F3F5F37-25FF-491D-BB5B-04FB531A14D1}"/>
    <cellStyle name="Entrada 6 7" xfId="4298" xr:uid="{10E7433C-9E4D-4030-A028-D50B6E0C1633}"/>
    <cellStyle name="Entrada 6 8" xfId="12968" xr:uid="{C6870D77-CC03-467D-8216-A5FF7F3B004B}"/>
    <cellStyle name="Entrada 60" xfId="2446" xr:uid="{5DB2E988-BEC8-4C7F-AF48-46684F48152B}"/>
    <cellStyle name="Entrada 60 2" xfId="4316" xr:uid="{7149B935-8406-485F-AA73-29CB20638F1A}"/>
    <cellStyle name="Entrada 60 3" xfId="4317" xr:uid="{618ED132-4AF5-470B-AD7C-FDA5BFC514E5}"/>
    <cellStyle name="Entrada 60 4" xfId="4318" xr:uid="{161ACD77-E468-41EC-BF94-67B99F95679B}"/>
    <cellStyle name="Entrada 60 5" xfId="4319" xr:uid="{42F5098A-5541-4366-B43A-743A8255A2A0}"/>
    <cellStyle name="Entrada 60 6" xfId="4320" xr:uid="{915EB947-2EBD-4605-AA10-F1E289BE3095}"/>
    <cellStyle name="Entrada 60 7" xfId="4321" xr:uid="{8C9908E7-E898-4DAA-9C8F-7E7FC2ADFF6F}"/>
    <cellStyle name="Entrada 61" xfId="2447" xr:uid="{91FBA1CC-DB11-42ED-ABEA-A61E85980F14}"/>
    <cellStyle name="Entrada 61 2" xfId="4322" xr:uid="{43FB92E7-BECD-441C-834B-A119C731D8D3}"/>
    <cellStyle name="Entrada 61 3" xfId="4323" xr:uid="{EF320E3B-F988-430E-9B35-C3FBA821D6C0}"/>
    <cellStyle name="Entrada 61 4" xfId="4324" xr:uid="{FA8C7E3E-1DE8-4C19-BCDC-63DD6EFDDAC0}"/>
    <cellStyle name="Entrada 61 5" xfId="4325" xr:uid="{15FB2752-9951-4669-8708-63AD5CE2831C}"/>
    <cellStyle name="Entrada 61 6" xfId="4326" xr:uid="{BD049E5F-BADA-45BE-B356-705242D8651E}"/>
    <cellStyle name="Entrada 61 7" xfId="4327" xr:uid="{198A495C-95AC-49D6-BA78-4BAB98ADFDB4}"/>
    <cellStyle name="Entrada 62" xfId="2448" xr:uid="{4ADBAA91-CDDC-4910-AF83-BCB6A6C0E925}"/>
    <cellStyle name="Entrada 62 2" xfId="4328" xr:uid="{6903140C-929F-4D48-81F5-FDD841BA81C6}"/>
    <cellStyle name="Entrada 62 3" xfId="4329" xr:uid="{B227516C-A889-486F-BCFE-BEAEE7961C48}"/>
    <cellStyle name="Entrada 62 4" xfId="4330" xr:uid="{682BC722-4F3E-480E-B489-FEAE9BC50ABB}"/>
    <cellStyle name="Entrada 62 5" xfId="4331" xr:uid="{43AF09E6-A886-494D-85A0-5687571269E0}"/>
    <cellStyle name="Entrada 62 6" xfId="4332" xr:uid="{39A2E7B2-19BB-4DB7-AEFE-1224A8502C40}"/>
    <cellStyle name="Entrada 62 7" xfId="4333" xr:uid="{6B7576DC-8288-4C3C-AFE5-B29A7FB2B947}"/>
    <cellStyle name="Entrada 63" xfId="2449" xr:uid="{6A976B62-A2FE-44FD-837E-BD41D379C22F}"/>
    <cellStyle name="Entrada 63 2" xfId="4334" xr:uid="{1823054E-7BF9-4F71-9C68-3575C2755363}"/>
    <cellStyle name="Entrada 63 3" xfId="4335" xr:uid="{77751521-CEA0-4F66-B269-2769FE7C5095}"/>
    <cellStyle name="Entrada 63 4" xfId="4336" xr:uid="{57F13E9D-DF54-408D-99BB-CBB4F39ED26F}"/>
    <cellStyle name="Entrada 63 5" xfId="4337" xr:uid="{8D102A2F-989E-4D22-9BFA-F30F8FC2AAF3}"/>
    <cellStyle name="Entrada 63 6" xfId="4338" xr:uid="{3B3D04AF-552D-42B8-BA64-EE133E6459CD}"/>
    <cellStyle name="Entrada 63 7" xfId="4339" xr:uid="{0501DEF9-60F7-4017-A865-69470EDEF006}"/>
    <cellStyle name="Entrada 64" xfId="2450" xr:uid="{580B2307-C51A-482F-9CC9-6EA58D26A89B}"/>
    <cellStyle name="Entrada 64 2" xfId="4340" xr:uid="{A97142F6-B3F8-4913-91DE-56B1ADC08851}"/>
    <cellStyle name="Entrada 64 3" xfId="4341" xr:uid="{6C4241DF-B212-4463-B4F9-FDF84373129E}"/>
    <cellStyle name="Entrada 64 4" xfId="4342" xr:uid="{DA01DD4F-7D4F-4CCE-8433-1BC623C32A26}"/>
    <cellStyle name="Entrada 64 5" xfId="4343" xr:uid="{9CF10BBC-3A29-4FC3-8A55-B9300287CCA6}"/>
    <cellStyle name="Entrada 64 6" xfId="4344" xr:uid="{B11C1F8F-E4B8-4C7B-A671-0E4842C5EFCA}"/>
    <cellStyle name="Entrada 64 7" xfId="4345" xr:uid="{CFC3A7E5-1DA4-4F02-8D25-C48525646B65}"/>
    <cellStyle name="Entrada 65" xfId="2451" xr:uid="{A51F16E2-07B2-4E28-9DBB-8459E035FFF5}"/>
    <cellStyle name="Entrada 65 2" xfId="4346" xr:uid="{FAA1F2A2-BB1E-4935-9849-173D24B16A44}"/>
    <cellStyle name="Entrada 65 3" xfId="4347" xr:uid="{33387300-FBEB-4521-9ADB-BC72F43D17CA}"/>
    <cellStyle name="Entrada 65 4" xfId="4348" xr:uid="{9F558FFB-BD1E-4B6C-B150-D44F6D0C7AC5}"/>
    <cellStyle name="Entrada 65 5" xfId="4349" xr:uid="{6FFA5E8D-15C8-4B01-9F5A-152F855B6F1C}"/>
    <cellStyle name="Entrada 65 6" xfId="4350" xr:uid="{85C8DF1E-9E52-435D-80BB-D7FA63A836FA}"/>
    <cellStyle name="Entrada 65 7" xfId="4351" xr:uid="{1BF51F03-CF13-4DE9-B680-E9B5D3DECCF3}"/>
    <cellStyle name="Entrada 66" xfId="2452" xr:uid="{AA45D194-50FB-4CB0-9B1A-A038FD34D3B4}"/>
    <cellStyle name="Entrada 66 2" xfId="4352" xr:uid="{294EA354-019C-4FE9-A36C-76EC6A398A78}"/>
    <cellStyle name="Entrada 66 3" xfId="4353" xr:uid="{1FB60599-02CC-4626-9EE1-39D89A0B2721}"/>
    <cellStyle name="Entrada 66 4" xfId="4354" xr:uid="{BF2AAC89-974E-4383-AC24-45DB935C0E50}"/>
    <cellStyle name="Entrada 66 5" xfId="4355" xr:uid="{66157105-F66A-4982-89B9-4AEDDA1D05B9}"/>
    <cellStyle name="Entrada 66 6" xfId="4356" xr:uid="{38F1FA10-E6B8-473E-BA5F-0E8A9AD676E2}"/>
    <cellStyle name="Entrada 66 7" xfId="4357" xr:uid="{4100F143-F7E8-4C81-B88F-47170BBF8ABB}"/>
    <cellStyle name="Entrada 67" xfId="2453" xr:uid="{3187E366-07B9-45EB-BD82-DBC86952895F}"/>
    <cellStyle name="Entrada 67 2" xfId="4358" xr:uid="{FE7A95BB-2601-420F-A923-550A6BF80759}"/>
    <cellStyle name="Entrada 67 3" xfId="4359" xr:uid="{912359F8-7F5C-4DB7-B147-81D581295978}"/>
    <cellStyle name="Entrada 67 4" xfId="4360" xr:uid="{5AC47B85-FEF6-4DFF-90FE-7E6694C6E5CE}"/>
    <cellStyle name="Entrada 67 5" xfId="4361" xr:uid="{8E8CFE90-E0CF-4AB3-B55E-3F1BCF2B390D}"/>
    <cellStyle name="Entrada 67 6" xfId="4362" xr:uid="{EC42209B-238C-4697-8E0A-C717BF9BC26F}"/>
    <cellStyle name="Entrada 67 7" xfId="4363" xr:uid="{35AE569C-80E0-40AF-8F3D-005096AD9C1F}"/>
    <cellStyle name="Entrada 68" xfId="527" xr:uid="{A3537F7C-1375-4091-B38F-011B910DF022}"/>
    <cellStyle name="Entrada 69" xfId="4364" xr:uid="{AD750CDD-4A06-4473-A8C3-E8BE57637542}"/>
    <cellStyle name="Entrada 7" xfId="395" xr:uid="{FCF4DCEB-2875-4D5C-8FE9-513013B5F575}"/>
    <cellStyle name="Entrada 7 2" xfId="4365" xr:uid="{8504558E-1092-4839-AE0D-31B484E90C09}"/>
    <cellStyle name="Entrada 7 3" xfId="4366" xr:uid="{0666F5EF-11ED-4C3C-A678-9FF8D32F294B}"/>
    <cellStyle name="Entrada 7 4" xfId="4367" xr:uid="{93CFDFC0-1A3C-4D0B-AB76-FA63B7AD1253}"/>
    <cellStyle name="Entrada 7 5" xfId="4368" xr:uid="{E458DAA7-3AAE-43E7-BC2D-2F5CEBF0C43F}"/>
    <cellStyle name="Entrada 7 6" xfId="4369" xr:uid="{AC163E98-197E-478A-B850-BE28AF6814AC}"/>
    <cellStyle name="Entrada 7 7" xfId="4370" xr:uid="{D2A1DB62-32F6-4405-80A0-4F7BEDE7A538}"/>
    <cellStyle name="Entrada 70" xfId="4371" xr:uid="{F970C765-492B-44D1-8743-7A003D6F9DE3}"/>
    <cellStyle name="Entrada 71" xfId="4372" xr:uid="{70D0600E-A3DC-42B8-AD0A-812F69C48392}"/>
    <cellStyle name="Entrada 72" xfId="4373" xr:uid="{F061C9BB-86A3-4AFE-80F9-D79E8A84881F}"/>
    <cellStyle name="Entrada 73" xfId="4374" xr:uid="{BE7B9761-8702-4A3C-B2DA-E1E4CFCB3AE4}"/>
    <cellStyle name="Entrada 8" xfId="2454" xr:uid="{8A7809EC-95AD-46EC-8579-EDB1F5AC3DE5}"/>
    <cellStyle name="Entrada 8 2" xfId="4375" xr:uid="{F95A02F1-7C0A-4180-8BBC-0B90BE74525E}"/>
    <cellStyle name="Entrada 8 3" xfId="4376" xr:uid="{09F43064-2384-4496-95A0-ED603D3BE64C}"/>
    <cellStyle name="Entrada 8 4" xfId="4377" xr:uid="{36B23543-E5BB-470C-9837-F97AD56C0D06}"/>
    <cellStyle name="Entrada 8 5" xfId="4378" xr:uid="{4928CEDF-C8C4-48B4-A7B3-3FF9D9D17F25}"/>
    <cellStyle name="Entrada 8 6" xfId="4379" xr:uid="{2DEFA043-1A49-4A80-8A90-6A98A19FC3B3}"/>
    <cellStyle name="Entrada 8 7" xfId="4380" xr:uid="{61D1EA6B-D094-4D88-B73D-890B753D6B10}"/>
    <cellStyle name="Entrada 9" xfId="2455" xr:uid="{825F9670-75A1-45A9-9C29-0AB50F93D103}"/>
    <cellStyle name="Entrada 9 2" xfId="4381" xr:uid="{B25997C5-BDE9-4F8B-A920-E1AD41D74725}"/>
    <cellStyle name="Entrada 9 3" xfId="4382" xr:uid="{34DF2C70-17B5-4BB5-835A-C79D23C4AC07}"/>
    <cellStyle name="Entrada 9 4" xfId="4383" xr:uid="{2D884979-61FE-44D2-9ADE-DC1F56ACF019}"/>
    <cellStyle name="Entrada 9 5" xfId="4384" xr:uid="{83D75238-432F-4ED2-8345-AAFBC50F62A6}"/>
    <cellStyle name="Entrada 9 6" xfId="4385" xr:uid="{72F2363D-2A6A-47CA-84E2-3AAF8F8BA446}"/>
    <cellStyle name="Entrada 9 7" xfId="4386" xr:uid="{A1BD8B02-88EF-4EF3-B357-8DF87F64B0EF}"/>
    <cellStyle name="Estilo 1" xfId="76" xr:uid="{372FCB0E-285C-4D02-836B-3BB93A7AD0F0}"/>
    <cellStyle name="Estilo 1 2" xfId="3516" xr:uid="{0B7B1DB6-928F-4781-8A18-14908F9DE2E0}"/>
    <cellStyle name="Estilo 1 2 10" xfId="10985" xr:uid="{29CF997D-5E91-45B6-899A-CCEF1905AF8E}"/>
    <cellStyle name="Estilo 1 2 11" xfId="13831" xr:uid="{F86E89C0-1186-4D41-8E71-67C1EF2DFED9}"/>
    <cellStyle name="Estilo 1 2 12" xfId="11275" xr:uid="{EBF21986-F69A-4A46-A66E-BC903E207093}"/>
    <cellStyle name="Estilo 1 2 13" xfId="12456" xr:uid="{F64B9AB9-4A97-4E69-A61B-C51C80397B68}"/>
    <cellStyle name="Estilo 1 2 14" xfId="13359" xr:uid="{A43E31EC-6653-439E-BF51-A9B75EFC5F9B}"/>
    <cellStyle name="Estilo 1 2 15" xfId="11591" xr:uid="{4D78D739-8795-4AE2-B286-72053700A1FE}"/>
    <cellStyle name="Estilo 1 2 16" xfId="13533" xr:uid="{602B2CF2-C187-43F0-B4E5-4353A7CB5C10}"/>
    <cellStyle name="Estilo 1 2 17" xfId="11592" xr:uid="{D8C92527-6868-450D-9A0E-932EC5AA8E8A}"/>
    <cellStyle name="Estilo 1 2 18" xfId="11593" xr:uid="{96502467-C2FA-4D4E-AE4D-B2716637BA0E}"/>
    <cellStyle name="Estilo 1 2 19" xfId="12969" xr:uid="{4CBB906F-2A37-4470-A188-2B6008DC47C5}"/>
    <cellStyle name="Estilo 1 2 2" xfId="13191" xr:uid="{66A5165B-996A-4766-A819-66DFE171DE52}"/>
    <cellStyle name="Estilo 1 2 20" xfId="13764" xr:uid="{BD8C119D-5D79-4C56-BC45-930C5814356A}"/>
    <cellStyle name="Estilo 1 2 21" xfId="13994" xr:uid="{DA30581D-5511-482C-82E8-FC288701F04B}"/>
    <cellStyle name="Estilo 1 2 22" xfId="11276" xr:uid="{EB6F055E-5E71-442C-A19E-36C3F135015A}"/>
    <cellStyle name="Estilo 1 2 23" xfId="11594" xr:uid="{6BA42D95-5FF8-495A-A463-A4235BC18E1D}"/>
    <cellStyle name="Estilo 1 2 24" xfId="13360" xr:uid="{DF0A5E60-2D1A-44B9-8C33-5BDEEC522BB5}"/>
    <cellStyle name="Estilo 1 2 25" xfId="11595" xr:uid="{5E05621F-5315-40E4-9E85-FA0C552CAC81}"/>
    <cellStyle name="Estilo 1 2 26" xfId="13534" xr:uid="{FDD42EBB-1FC3-4325-9565-6D24795B0B1B}"/>
    <cellStyle name="Estilo 1 2 27" xfId="11596" xr:uid="{F6E7D072-3A63-4B25-8C71-2D7D68DBDDF8}"/>
    <cellStyle name="Estilo 1 2 28" xfId="11597" xr:uid="{36B29578-584D-4427-A43D-ED6DD7F2DED4}"/>
    <cellStyle name="Estilo 1 2 29" xfId="11220" xr:uid="{DE6E56F0-4DE8-4285-A665-07CA82E44892}"/>
    <cellStyle name="Estilo 1 2 3" xfId="13192" xr:uid="{BFE3A4AA-E1B2-4993-BC44-F94367EFBC01}"/>
    <cellStyle name="Estilo 1 2 30" xfId="13765" xr:uid="{8CDFBD5A-6E3A-421F-B595-2BA0C81FF054}"/>
    <cellStyle name="Estilo 1 2 31" xfId="13995" xr:uid="{50507AB4-86A0-41E7-98DE-FB5F5E5549E0}"/>
    <cellStyle name="Estilo 1 2 32" xfId="11598" xr:uid="{6C12C476-BB7B-4D4A-8402-4A71922CAE0D}"/>
    <cellStyle name="Estilo 1 2 33" xfId="11599" xr:uid="{7E5656DF-3857-4F00-9C5D-A7ADA50F1102}"/>
    <cellStyle name="Estilo 1 2 34" xfId="11600" xr:uid="{5F84C3B1-F63B-42ED-A25D-6E4780E190B3}"/>
    <cellStyle name="Estilo 1 2 35" xfId="13259" xr:uid="{29465F79-6D0F-4EBE-963F-B0FFE2DF7F11}"/>
    <cellStyle name="Estilo 1 2 36" xfId="13658" xr:uid="{2E18C16B-FDBC-4A81-88E2-9A50CF237395}"/>
    <cellStyle name="Estilo 1 2 37" xfId="13996" xr:uid="{03E5A698-1307-46F8-B1F8-76D8EA60A68E}"/>
    <cellStyle name="Estilo 1 2 38" xfId="12457" xr:uid="{B7634FCC-51B8-4E3C-B354-002D7BE4E807}"/>
    <cellStyle name="Estilo 1 2 39" xfId="13429" xr:uid="{86557B7B-E9CC-4A74-A6BA-36A09C748C8F}"/>
    <cellStyle name="Estilo 1 2 4" xfId="11684" xr:uid="{B398468A-DE2E-4491-964A-FD7944D68439}"/>
    <cellStyle name="Estilo 1 2 40" xfId="11601" xr:uid="{C292AD63-31EC-4444-B4C3-DD715B154301}"/>
    <cellStyle name="Estilo 1 2 41" xfId="13083" xr:uid="{7889DFAA-4C77-488B-B9CE-BCDB949A048B}"/>
    <cellStyle name="Estilo 1 2 42" xfId="12999" xr:uid="{7EDD14BB-6F6B-402D-841E-C73E910763C7}"/>
    <cellStyle name="Estilo 1 2 43" xfId="13598" xr:uid="{2A9AE8C3-88E4-49C7-80F6-9B6BD0269263}"/>
    <cellStyle name="Estilo 1 2 44" xfId="11277" xr:uid="{C875AA9C-5D3F-4973-98B3-469E80A00FE1}"/>
    <cellStyle name="Estilo 1 2 45" xfId="11602" xr:uid="{3D576D5E-EC98-4B6A-9EB9-D54CE567F689}"/>
    <cellStyle name="Estilo 1 2 46" xfId="13361" xr:uid="{A916B572-9111-4A79-9335-78946A16D274}"/>
    <cellStyle name="Estilo 1 2 47" xfId="11603" xr:uid="{C9B1ABA1-96DA-48A4-8416-C49FEC79A25D}"/>
    <cellStyle name="Estilo 1 2 48" xfId="13830" xr:uid="{5D63F9C2-3391-4963-ADE6-C837B55E4F41}"/>
    <cellStyle name="Estilo 1 2 5" xfId="13535" xr:uid="{4514CEEC-344A-483E-9DAD-8C8714877D5B}"/>
    <cellStyle name="Estilo 1 2 6" xfId="11019" xr:uid="{5773FA83-44F7-401A-A901-393D9DBFC32E}"/>
    <cellStyle name="Estilo 1 2 7" xfId="11604" xr:uid="{7C4A8B4D-F1F7-4822-B6CF-56EC61FD4BD1}"/>
    <cellStyle name="Estilo 1 2 8" xfId="13193" xr:uid="{314F9324-3C90-48DA-B204-3517D28272CA}"/>
    <cellStyle name="Estilo 1 2 9" xfId="13766" xr:uid="{E9324FBA-703A-4390-93A4-C3E80131A44A}"/>
    <cellStyle name="Estilo 1 3" xfId="13615" xr:uid="{6E678AE9-E7E1-4931-8EC0-50FFE2B604C1}"/>
    <cellStyle name="Estilo 1_09.06.10" xfId="13876" xr:uid="{712B2FA8-C1B1-4BE5-9DFC-7273B96A0850}"/>
    <cellStyle name="Euro" xfId="41" xr:uid="{D0E31E1C-9BE7-4923-AE15-1D17CF60BA00}"/>
    <cellStyle name="Euro 2" xfId="84" xr:uid="{51BA8CD5-6763-4D6E-84ED-2C2BB942168B}"/>
    <cellStyle name="Euro 2 10" xfId="11478" xr:uid="{0ED62D6F-A01C-4E55-8927-DEF70D62390B}"/>
    <cellStyle name="Euro 2 11" xfId="12079" xr:uid="{01ABF494-C115-488A-B09B-459AE2829747}"/>
    <cellStyle name="Euro 2 12" xfId="13997" xr:uid="{F15E8CDC-18AA-47D3-9A31-FA379E9747EB}"/>
    <cellStyle name="Euro 2 13" xfId="13041" xr:uid="{630E3BDD-2AD6-48D4-B31D-478997EFF5DE}"/>
    <cellStyle name="Euro 2 14" xfId="11180" xr:uid="{B40940F1-CFFA-4EE0-B3F3-5551EA0E6EF8}"/>
    <cellStyle name="Euro 2 15" xfId="13792" xr:uid="{B8D97C02-ED62-4BEE-86F0-40BC1CC1B3E9}"/>
    <cellStyle name="Euro 2 16" xfId="11848" xr:uid="{BB62D896-F54E-45CB-AB0A-96671028DC93}"/>
    <cellStyle name="Euro 2 17" xfId="12080" xr:uid="{E08FFC94-AC5A-44D2-83CA-FAB4C0E69B37}"/>
    <cellStyle name="Euro 2 18" xfId="13288" xr:uid="{96B092D3-6003-4C5F-BC08-530EA6C78159}"/>
    <cellStyle name="Euro 2 19" xfId="11278" xr:uid="{09129059-919C-47F0-9993-2A66AE089D85}"/>
    <cellStyle name="Euro 2 2" xfId="6071" xr:uid="{756F8A52-8A16-4D96-BFC0-ABDEF8D880D9}"/>
    <cellStyle name="Euro 2 2 2" xfId="12081" xr:uid="{36E65EB4-12E4-49A5-8D12-4CB58C45E204}"/>
    <cellStyle name="Euro 2 2 2 2" xfId="19674" xr:uid="{46C788D3-FF85-41D8-8438-16B3DD93DAC8}"/>
    <cellStyle name="Euro 2 2 2 3" xfId="20649" xr:uid="{D9CCA002-E6F6-4238-B834-EF6644A00B71}"/>
    <cellStyle name="Euro 2 20" xfId="13458" xr:uid="{61E77FDD-5B2C-4705-9031-B7AAEF8F8319}"/>
    <cellStyle name="Euro 2 21" xfId="12082" xr:uid="{32519531-A246-441D-8A77-51F6DEC13055}"/>
    <cellStyle name="Euro 2 22" xfId="12083" xr:uid="{7B7FFC96-BD3A-4E21-8078-EE8EA6682E40}"/>
    <cellStyle name="Euro 2 23" xfId="13113" xr:uid="{E6A0035A-2D2C-4494-9E4A-0769E3254055}"/>
    <cellStyle name="Euro 2 24" xfId="13689" xr:uid="{22AFC5AC-AD89-4F2F-BFCE-D5C23FF05A46}"/>
    <cellStyle name="Euro 2 25" xfId="13877" xr:uid="{5A2EA5E1-7E7C-4ABB-8C87-8EA1EF21DE1C}"/>
    <cellStyle name="Euro 2 26" xfId="11849" xr:uid="{411919B4-BDC5-4657-8B43-7C9D1E9A5CB9}"/>
    <cellStyle name="Euro 2 27" xfId="13389" xr:uid="{424B0DC0-60DA-42ED-B995-6F7D17410379}"/>
    <cellStyle name="Euro 2 3" xfId="144" xr:uid="{213B46C0-1001-48DD-952E-220C011C2F4F}"/>
    <cellStyle name="Euro 2 3 2" xfId="12509" xr:uid="{694ACB0B-B16C-4B73-A318-4BEF25CFADF0}"/>
    <cellStyle name="Euro 2 4" xfId="6093" xr:uid="{3E2A7006-77B6-43B4-883D-6D23BED811CB}"/>
    <cellStyle name="Euro 2 4 2" xfId="13289" xr:uid="{9B3A825B-B846-4E1F-A926-9188E9103CDB}"/>
    <cellStyle name="Euro 2 5" xfId="12970" xr:uid="{58DD328D-B1CF-4EBF-8B97-020083AD5A71}"/>
    <cellStyle name="Euro 2 6" xfId="12084" xr:uid="{7B808AE5-8E25-41B1-A4A9-A0B0294E32B5}"/>
    <cellStyle name="Euro 2 7" xfId="11216" xr:uid="{CE299361-74EA-41DC-876E-3568CD56B475}"/>
    <cellStyle name="Euro 2 8" xfId="13459" xr:uid="{31032EB9-300C-4F17-8CD0-99015A263713}"/>
    <cellStyle name="Euro 2 9" xfId="11479" xr:uid="{B6F82D9F-86A1-4665-B47A-40F421EDA97D}"/>
    <cellStyle name="Euro 3" xfId="2456" xr:uid="{13607AD3-7B73-451B-8158-248AF71BE484}"/>
    <cellStyle name="Euro 3 2" xfId="12085" xr:uid="{98C418F1-AAC6-47F8-8806-89D0FE4CF743}"/>
    <cellStyle name="Euro 3 2 2" xfId="19683" xr:uid="{1A664119-7FEE-4A02-BBFC-B21B6113417C}"/>
    <cellStyle name="Euro 3 2 3" xfId="20650" xr:uid="{66484779-3C3C-414A-992A-B4D473CD4DD2}"/>
    <cellStyle name="Euro 4" xfId="2457" xr:uid="{A0D4E665-4E8A-417B-AD5D-82EDCAC3D663}"/>
    <cellStyle name="Euro 4 2" xfId="13114" xr:uid="{160048DC-489B-462C-A8E5-400ABFC20D1D}"/>
    <cellStyle name="Euro 4 2 2" xfId="19684" xr:uid="{694F82FF-55BA-42F6-B699-2BCE7BCA9250}"/>
    <cellStyle name="Euro 4 2 3" xfId="20773" xr:uid="{717E08C6-4EF2-4AC7-A98E-A429F229E810}"/>
    <cellStyle name="Euro 5" xfId="2458" xr:uid="{258EB30D-A3A8-4FDD-8930-40D159CC0446}"/>
    <cellStyle name="Euro 5 2" xfId="13690" xr:uid="{99C0F371-B436-4FDD-930C-F0DF2EE3B99E}"/>
    <cellStyle name="Euro 5 2 2" xfId="19685" xr:uid="{8B336834-8C8F-46E0-80F7-61CBDF58BCF3}"/>
    <cellStyle name="Euro 5 2 3" xfId="20808" xr:uid="{429092EA-730C-4AB0-A1CD-A601DD922637}"/>
    <cellStyle name="Euro 6" xfId="2459" xr:uid="{621B5675-E56B-44B2-AF04-1C9F8C8D8F42}"/>
    <cellStyle name="Euro 6 2" xfId="19686" xr:uid="{78AEE210-BB57-428B-A6FF-2837F133422D}"/>
    <cellStyle name="Euro 7" xfId="528" xr:uid="{321F2621-EEC5-48F3-B531-B8539F642922}"/>
    <cellStyle name="Euro 7 2" xfId="19680" xr:uid="{08CE3D22-9414-45F4-96E9-4B8935B6EABD}"/>
    <cellStyle name="Euro 8" xfId="129" xr:uid="{816FF4F1-FA67-42B6-86E0-EE1EA6383438}"/>
    <cellStyle name="Euro 8 2" xfId="19670" xr:uid="{6944AB0C-6DEC-4E0C-96D1-64DA606D7984}"/>
    <cellStyle name="Euro 9" xfId="12078" xr:uid="{CECAC39A-01B1-41D8-B91A-749A88A8BF07}"/>
    <cellStyle name="Euro_09.06.10" xfId="13878" xr:uid="{111BFF79-C25A-46FD-8C86-DEE9EED925D7}"/>
    <cellStyle name="Explanatory Text" xfId="11605" xr:uid="{4E32C009-EB87-4288-B5CA-8ABB6C60260B}"/>
    <cellStyle name="F2" xfId="529" xr:uid="{C3E1E411-3046-4A10-B162-F454504DE935}"/>
    <cellStyle name="F2 2" xfId="12087" xr:uid="{7A5171DE-3833-4582-A780-B9C92E1CDBD1}"/>
    <cellStyle name="F2 2 10" xfId="12088" xr:uid="{1A28FBEA-2822-4F90-B9A0-6C41E5442137}"/>
    <cellStyle name="F2 2 11" xfId="13219" xr:uid="{CECF257C-F3F4-4C03-8012-D6C19782FC02}"/>
    <cellStyle name="F2 2 12" xfId="13617" xr:uid="{F11F2A10-5EBD-4365-870D-D49157707638}"/>
    <cellStyle name="F2 2 13" xfId="13879" xr:uid="{55F6477A-DE39-466D-B12C-7CD68A047C96}"/>
    <cellStyle name="F2 2 14" xfId="13362" xr:uid="{4F39BF19-B204-48D5-A12B-6B3996A828FB}"/>
    <cellStyle name="F2 2 15" xfId="12089" xr:uid="{57B0563E-F0DD-42C7-A697-13F942F4FC07}"/>
    <cellStyle name="F2 2 16" xfId="13391" xr:uid="{015F4398-5D08-4F13-9199-32B5A969B023}"/>
    <cellStyle name="F2 2 17" xfId="12090" xr:uid="{E9707E06-301F-499B-AA2D-CEA9647434D9}"/>
    <cellStyle name="F2 2 18" xfId="11480" xr:uid="{F7B802BE-8A03-45D3-86FD-89AA64B06D9E}"/>
    <cellStyle name="F2 2 19" xfId="13043" xr:uid="{F1F36D15-35BB-495F-9CF4-C5A40DC52FD6}"/>
    <cellStyle name="F2 2 2" xfId="13558" xr:uid="{7030B3D9-3D8F-4F41-8161-6835D9A396BD}"/>
    <cellStyle name="F2 2 20" xfId="11606" xr:uid="{EB984830-20AD-414D-834C-5D1CEC9C7421}"/>
    <cellStyle name="F2 2 21" xfId="11891" xr:uid="{832A6D25-77E4-46AC-A179-2D90C308C4A8}"/>
    <cellStyle name="F2 2 22" xfId="10997" xr:uid="{F9AC6604-76AC-423D-837A-252E6B27A7AE}"/>
    <cellStyle name="F2 2 23" xfId="11181" xr:uid="{4A0787C0-81D5-40BF-9215-1255D91C2FE1}"/>
    <cellStyle name="F2 2 3" xfId="12091" xr:uid="{9A914FA9-C20E-4109-93FF-5ABFF730174F}"/>
    <cellStyle name="F2 2 4" xfId="13220" xr:uid="{52BCFFEA-EE23-42E3-A228-205747F76FE1}"/>
    <cellStyle name="F2 2 5" xfId="12092" xr:uid="{BDD2D92D-9A57-4F58-91A6-7030BD915E71}"/>
    <cellStyle name="F2 2 6" xfId="13536" xr:uid="{D5B5961C-7B74-4E3B-845B-2FAA0DAE644B}"/>
    <cellStyle name="F2 2 7" xfId="13392" xr:uid="{08E27668-424D-4E79-83A4-6BCECBA86636}"/>
    <cellStyle name="F2 2 8" xfId="12093" xr:uid="{077DD685-F507-4A12-98D4-8F620348FB9E}"/>
    <cellStyle name="F2 2 9" xfId="12411" xr:uid="{D4064E4F-4613-4517-A85B-1E6C0723B384}"/>
    <cellStyle name="F2 3" xfId="12086" xr:uid="{1AFA32DC-8B09-4887-99C9-69B044544F57}"/>
    <cellStyle name="F2_09.06.10" xfId="13044" xr:uid="{7C8B106D-356A-4D3C-A02A-548DB3E1A07B}"/>
    <cellStyle name="F3" xfId="530" xr:uid="{ED0122DF-D239-49CA-968E-32A8F1AB2A94}"/>
    <cellStyle name="F3 2" xfId="13880" xr:uid="{EF5C4106-8150-4B1F-B211-C3D22443A53B}"/>
    <cellStyle name="F3 2 10" xfId="11607" xr:uid="{BC843705-058A-443F-A991-BF56F477840E}"/>
    <cellStyle name="F3 2 11" xfId="11319" xr:uid="{CAC51797-59F9-479C-91A9-4145CA484998}"/>
    <cellStyle name="F3 2 12" xfId="11663" xr:uid="{C5F5F8A1-7862-47CE-83BE-F3736E553C82}"/>
    <cellStyle name="F3 2 13" xfId="13290" xr:uid="{D8397931-DC88-4EFC-A1D5-4364F198DA18}"/>
    <cellStyle name="F3 2 14" xfId="12094" xr:uid="{0AC5C103-3C31-47A2-A8EC-87BAD57BC91F}"/>
    <cellStyle name="F3 2 15" xfId="13460" xr:uid="{216F6484-6A8B-46FA-8CAE-8D960B7B90DD}"/>
    <cellStyle name="F3 2 16" xfId="12095" xr:uid="{F85B98C5-5D03-44D1-AC7A-6DDB7BF172D6}"/>
    <cellStyle name="F3 2 17" xfId="11608" xr:uid="{266C4F6D-12B2-42E9-80C9-9830460C7635}"/>
    <cellStyle name="F3 2 18" xfId="12096" xr:uid="{7C83C104-5004-4048-8391-5099E478C140}"/>
    <cellStyle name="F3 2 19" xfId="13115" xr:uid="{B6B91C6C-D34A-4EDE-9E4A-502D52A75784}"/>
    <cellStyle name="F3 2 2" xfId="13692" xr:uid="{BAF078EF-3E95-470F-98EE-2870B3408BD6}"/>
    <cellStyle name="F3 2 20" xfId="13881" xr:uid="{64B239F4-0E15-40F0-B924-207730C5C758}"/>
    <cellStyle name="F3 2 21" xfId="11892" xr:uid="{2FA1E269-F2C2-4636-811A-334467DADFCD}"/>
    <cellStyle name="F3 2 22" xfId="11481" xr:uid="{B89A61F5-62E7-4B4F-8F04-C30B97C373BA}"/>
    <cellStyle name="F3 2 23" xfId="13194" xr:uid="{ECD8E91F-957B-4FEF-AC4B-6F62604EF031}"/>
    <cellStyle name="F3 2 3" xfId="13376" xr:uid="{E797BD1F-41A5-40CF-8152-FA71C18F7D3E}"/>
    <cellStyle name="F3 2 4" xfId="12097" xr:uid="{D7012C8C-63FB-4C15-A379-92FC5AD505D8}"/>
    <cellStyle name="F3 2 5" xfId="12098" xr:uid="{1FDC5A16-A1C4-4F39-B79E-8197CDA0FBC2}"/>
    <cellStyle name="F3 2 6" xfId="13204" xr:uid="{D30A7E98-4FBC-492C-B583-399928ABAD49}"/>
    <cellStyle name="F3 2 7" xfId="13618" xr:uid="{10828174-DE33-49B4-9252-6A670B80DFF8}"/>
    <cellStyle name="F3 2 8" xfId="13882" xr:uid="{A638143E-3E71-4927-B683-44F3ADCEC1A0}"/>
    <cellStyle name="F3 2 9" xfId="13767" xr:uid="{EF60D89B-E513-4836-9114-C30055AF990F}"/>
    <cellStyle name="F3 3" xfId="13691" xr:uid="{9195812D-1AB7-48F0-B19C-CCE6149FCED6}"/>
    <cellStyle name="F3_09.06.10" xfId="12099" xr:uid="{767AB29E-A454-43A8-9838-DF18373B8B1C}"/>
    <cellStyle name="F4" xfId="531" xr:uid="{4507CE5B-969B-4FD4-9273-72151EF59CB6}"/>
    <cellStyle name="F4 2" xfId="12100" xr:uid="{7FDBE081-01CA-4325-9F58-EB81A9C49A52}"/>
    <cellStyle name="F4 2 10" xfId="12412" xr:uid="{C90C8CF2-FC97-40D2-8513-E200B013E6A7}"/>
    <cellStyle name="F4 2 11" xfId="13029" xr:uid="{49A73EE5-7D61-4068-8C9E-FBA81D23EF3B}"/>
    <cellStyle name="F4 2 12" xfId="13559" xr:uid="{54DF94F9-8FFA-4C38-8D14-B3B80CBD8D12}"/>
    <cellStyle name="F4 2 13" xfId="12971" xr:uid="{DD5C11FA-8DB7-464D-AD8F-F3EAC544C337}"/>
    <cellStyle name="F4 2 14" xfId="13793" xr:uid="{056B3609-A39B-491C-AC6B-B6A6483AE974}"/>
    <cellStyle name="F4 2 15" xfId="11333" xr:uid="{A2B554EC-CBB3-470F-8CF0-985EBAE4EDA7}"/>
    <cellStyle name="F4 2 16" xfId="13560" xr:uid="{89E78DB1-960A-4D62-8844-6DCFF66129DA}"/>
    <cellStyle name="F4 2 17" xfId="13794" xr:uid="{A4FA2357-3E14-4C2E-800D-67D63801295A}"/>
    <cellStyle name="F4 2 18" xfId="11182" xr:uid="{D2573265-79FD-4C4F-A847-39DC45B87A7C}"/>
    <cellStyle name="F4 2 19" xfId="13795" xr:uid="{BC819AFE-49CB-4313-ADD4-20035494F314}"/>
    <cellStyle name="F4 2 2" xfId="13998" xr:uid="{7A7ECAE8-C82F-4204-9C33-0D0DB1086860}"/>
    <cellStyle name="F4 2 20" xfId="11957" xr:uid="{48DBEA56-63B5-46FA-8D6B-46F389E33E3C}"/>
    <cellStyle name="F4 2 21" xfId="12101" xr:uid="{E986C910-F933-4FC7-B07F-36190DF3205D}"/>
    <cellStyle name="F4 2 22" xfId="13291" xr:uid="{ABA95562-B503-4ADF-8AC4-876719E1D638}"/>
    <cellStyle name="F4 2 23" xfId="12102" xr:uid="{A8EE7E95-2E00-4C26-8BDD-D41B2D910814}"/>
    <cellStyle name="F4 2 3" xfId="13461" xr:uid="{EF625C8E-94ED-4C2C-A62E-5867A2CA8CF8}"/>
    <cellStyle name="F4 2 4" xfId="11482" xr:uid="{8A8F1217-81FF-4217-BF45-C3C7E4AC2550}"/>
    <cellStyle name="F4 2 5" xfId="11609" xr:uid="{1B078FD1-1FDC-4456-AC04-1436C32C106D}"/>
    <cellStyle name="F4 2 6" xfId="12103" xr:uid="{9FDBAC4F-ED42-46AF-8C37-D91FFF300A8F}"/>
    <cellStyle name="F4 2 7" xfId="13116" xr:uid="{536B5867-64B6-445D-9D41-064302078838}"/>
    <cellStyle name="F4 2 8" xfId="13693" xr:uid="{FB3A4E00-D2DB-4E97-9DEC-D24E19B9420F}"/>
    <cellStyle name="F4 2 9" xfId="13883" xr:uid="{C19DCE92-679F-4E68-B50A-068AF5DA110D}"/>
    <cellStyle name="F4 3" xfId="13371" xr:uid="{C711E5A2-692E-470A-831E-26E5180A4440}"/>
    <cellStyle name="F4_09.06.10" xfId="10991" xr:uid="{5828B720-0FAE-4B8C-BB76-1CB91FE25D97}"/>
    <cellStyle name="F5" xfId="532" xr:uid="{76A79DE5-21BD-45FD-B64C-7FC5B45F63FE}"/>
    <cellStyle name="F5 2" xfId="11610" xr:uid="{E45A5624-382B-4402-9565-6B11413A80E2}"/>
    <cellStyle name="F5 2 10" xfId="13292" xr:uid="{DF1226FD-EDE9-4222-849F-47812A53AE1A}"/>
    <cellStyle name="F5 2 11" xfId="12105" xr:uid="{3550DE75-2053-41A1-A3B6-C99445B7BC2B}"/>
    <cellStyle name="F5 2 12" xfId="13462" xr:uid="{97980454-93B5-4B10-82D3-A0635F59FABA}"/>
    <cellStyle name="F5 2 13" xfId="12106" xr:uid="{3B320384-0C89-4C5F-9F89-41B61995C24D}"/>
    <cellStyle name="F5 2 14" xfId="12107" xr:uid="{CF5D70BB-25C8-4AD6-A593-4CB18A3F83FA}"/>
    <cellStyle name="F5 2 15" xfId="13117" xr:uid="{9602BF24-768E-4276-B577-799F133D09CB}"/>
    <cellStyle name="F5 2 16" xfId="11611" xr:uid="{1CDA82A4-FC87-4373-A442-96D8E2F1B891}"/>
    <cellStyle name="F5 2 17" xfId="13694" xr:uid="{DE6CE8D5-43BC-4ADB-AF4A-608BC2DF39C0}"/>
    <cellStyle name="F5 2 18" xfId="13884" xr:uid="{47542EE5-6D6D-4A1D-A6A2-805DA49CC6DF}"/>
    <cellStyle name="F5 2 19" xfId="12108" xr:uid="{39FA3B59-455E-49D8-A046-2E9BD8B8826E}"/>
    <cellStyle name="F5 2 2" xfId="11483" xr:uid="{A5AB1C93-3D3F-4A52-98D8-66CC30F6678C}"/>
    <cellStyle name="F5 2 20" xfId="12413" xr:uid="{ED02302F-9447-4388-A9D3-8B387BCB8FFE}"/>
    <cellStyle name="F5 2 21" xfId="13222" xr:uid="{E7A2C4FE-E18F-4D87-A697-DFCE09674B73}"/>
    <cellStyle name="F5 2 22" xfId="13258" xr:uid="{CFFA728B-3986-4610-9F91-F3CF6A6B9DAC}"/>
    <cellStyle name="F5 2 23" xfId="13620" xr:uid="{D586B251-BB44-4339-9538-64885E7AD27C}"/>
    <cellStyle name="F5 2 3" xfId="13885" xr:uid="{36C64BC8-C863-4F0B-B016-B072B5B1DBAA}"/>
    <cellStyle name="F5 2 4" xfId="12109" xr:uid="{7B05840F-5F5C-498C-863E-0A6BC3ED5414}"/>
    <cellStyle name="F5 2 5" xfId="13394" xr:uid="{824D7B75-F0EC-43C2-A232-9253AFF21F13}"/>
    <cellStyle name="F5 2 6" xfId="12110" xr:uid="{73FAF8E4-900C-413E-9581-E68D00A1695D}"/>
    <cellStyle name="F5 2 7" xfId="12111" xr:uid="{A447C953-3A54-4841-82BD-E14BDB03C038}"/>
    <cellStyle name="F5 2 8" xfId="13657" xr:uid="{C81485B0-75DB-4140-B1FF-607F51280C46}"/>
    <cellStyle name="F5 2 9" xfId="13046" xr:uid="{70A4D30E-15E9-4FD4-90FC-90DB07CFFCC2}"/>
    <cellStyle name="F5 3" xfId="12104" xr:uid="{58763A67-A862-4951-8C43-13ADA258DD58}"/>
    <cellStyle name="F5_09.06.10" xfId="13561" xr:uid="{F50933F5-0576-4378-BC73-BD38D72ACE8E}"/>
    <cellStyle name="F6" xfId="533" xr:uid="{F2264B30-130D-41A4-8ECD-4557F32BD7E1}"/>
    <cellStyle name="F6 2" xfId="12112" xr:uid="{AB526746-D38B-4208-9DE6-783D739873D8}"/>
    <cellStyle name="F6 2 10" xfId="13293" xr:uid="{A58A092E-D09D-4CB7-992C-669754301B2D}"/>
    <cellStyle name="F6 2 11" xfId="12113" xr:uid="{B135ABF6-A593-41B8-85D5-5F79E133C871}"/>
    <cellStyle name="F6 2 12" xfId="13999" xr:uid="{B530C5E7-5A6C-4779-BED2-97D307024A75}"/>
    <cellStyle name="F6 2 13" xfId="13463" xr:uid="{765384BE-D642-4C62-9778-4F9132386E55}"/>
    <cellStyle name="F6 2 14" xfId="12114" xr:uid="{49AB895A-ACCF-40B2-AB0D-5B665DF75359}"/>
    <cellStyle name="F6 2 15" xfId="11484" xr:uid="{C8028765-09FA-4B10-8444-BD442D09C3E5}"/>
    <cellStyle name="F6 2 16" xfId="13118" xr:uid="{5319825C-7582-43A5-B98B-C33E207772A8}"/>
    <cellStyle name="F6 2 17" xfId="13695" xr:uid="{14266EDE-F252-40E0-811C-A7FBACE83534}"/>
    <cellStyle name="F6 2 18" xfId="13886" xr:uid="{1B9896E4-2061-49CB-9E49-A0795F4ED9F0}"/>
    <cellStyle name="F6 2 19" xfId="11612" xr:uid="{77F0D372-9B54-4243-A5BA-EA0B941025DC}"/>
    <cellStyle name="F6 2 2" xfId="11318" xr:uid="{7237319D-1E66-474B-A0C5-F4F5F7128F7D}"/>
    <cellStyle name="F6 2 20" xfId="12115" xr:uid="{D20A342B-A94D-47BF-A9C3-751D4BEBA720}"/>
    <cellStyle name="F6 2 21" xfId="13294" xr:uid="{FB0737B2-65A0-42E4-9916-D001CE16B0D4}"/>
    <cellStyle name="F6 2 22" xfId="12116" xr:uid="{85E60B8A-23A6-4D9E-A2B0-20BFB28317BD}"/>
    <cellStyle name="F6 2 23" xfId="13464" xr:uid="{10C7074D-CE6B-4DCF-BA7C-52CA474DF8AA}"/>
    <cellStyle name="F6 2 3" xfId="12117" xr:uid="{951931FF-8CC9-405F-B83B-AE7B95310C85}"/>
    <cellStyle name="F6 2 4" xfId="13428" xr:uid="{F3BDCC1E-A1E7-4427-A08D-1FCE67CE62B3}"/>
    <cellStyle name="F6 2 5" xfId="12414" xr:uid="{8801C00C-C79E-4738-8B68-92648B79AD17}"/>
    <cellStyle name="F6 2 6" xfId="13119" xr:uid="{610F908E-54B9-410B-9CDE-AED33A070FD5}"/>
    <cellStyle name="F6 2 7" xfId="13696" xr:uid="{FE2C398D-759A-45BB-A0D3-F6B42221E790}"/>
    <cellStyle name="F6 2 8" xfId="13887" xr:uid="{34975954-0BCF-4398-9D9F-F30F38938C6A}"/>
    <cellStyle name="F6 2 9" xfId="12594" xr:uid="{4DAE3654-A64F-4BD0-8622-5579448BD9D9}"/>
    <cellStyle name="F6 3" xfId="11850" xr:uid="{4F548339-5F9D-4C3D-BCCD-8B04B8CD2568}"/>
    <cellStyle name="F6_09.06.10" xfId="12118" xr:uid="{494CBA66-A1F4-46E2-A197-3C89290115B0}"/>
    <cellStyle name="F7" xfId="534" xr:uid="{56C7E303-AA7E-4049-B30A-356F7D045CCB}"/>
    <cellStyle name="F7 2" xfId="13393" xr:uid="{086BFE9B-C536-4C15-88D4-86678D327483}"/>
    <cellStyle name="F7 2 10" xfId="12119" xr:uid="{12F67933-4120-431A-AF38-62005272F757}"/>
    <cellStyle name="F7 2 11" xfId="12120" xr:uid="{A5172AFD-D33E-41A8-8505-083101BD68E6}"/>
    <cellStyle name="F7 2 12" xfId="13221" xr:uid="{5E00087D-B443-4FA0-B3DE-D0511FAE9AFC}"/>
    <cellStyle name="F7 2 13" xfId="13619" xr:uid="{F127B6C6-90EC-4F47-8540-AF6DE25222CD}"/>
    <cellStyle name="F7 2 14" xfId="13888" xr:uid="{07C86BE7-354E-400B-A2D0-BAC1E8AB8410}"/>
    <cellStyle name="F7 2 15" xfId="12404" xr:uid="{A34B1027-B862-49EB-AEF8-DC967EA6E5B1}"/>
    <cellStyle name="F7 2 16" xfId="11485" xr:uid="{5E65B7F7-A33F-40A2-BC64-77DCA0EDFC81}"/>
    <cellStyle name="F7 2 17" xfId="13375" xr:uid="{FBA320CC-B638-463C-B1EF-3258C154C74C}"/>
    <cellStyle name="F7 2 18" xfId="12121" xr:uid="{BB97A1F4-7BBF-43BF-B3B9-0248B35EE2E0}"/>
    <cellStyle name="F7 2 19" xfId="12122" xr:uid="{A9F33060-7FBD-4651-A55E-40DE4FD509E0}"/>
    <cellStyle name="F7 2 2" xfId="13045" xr:uid="{E1B621CA-7782-4CF1-A38B-2CE7D6B1DFD8}"/>
    <cellStyle name="F7 2 20" xfId="11183" xr:uid="{1BBA6787-7783-4C19-877D-ED12C8806DFE}"/>
    <cellStyle name="F7 2 21" xfId="12517" xr:uid="{DA4A8E3C-7FDB-42E8-AC45-7C5623580833}"/>
    <cellStyle name="F7 2 22" xfId="13562" xr:uid="{8C6E07F1-A11F-4AA2-B5CB-945CAA6796BC}"/>
    <cellStyle name="F7 2 23" xfId="13796" xr:uid="{FFB38170-FB21-4FD1-8749-49BAA205CD39}"/>
    <cellStyle name="F7 2 3" xfId="11184" xr:uid="{769E06F4-E291-4BA8-979C-0F63373079B6}"/>
    <cellStyle name="F7 2 4" xfId="13797" xr:uid="{C6FBE538-089F-41AE-BC90-A0A1DA02F4C4}"/>
    <cellStyle name="F7 2 5" xfId="12019" xr:uid="{9F908072-6803-4AD4-B81E-30FCF092EB7B}"/>
    <cellStyle name="F7 2 6" xfId="12123" xr:uid="{F71C8D85-1510-4992-BF97-BB3777BCCB98}"/>
    <cellStyle name="F7 2 7" xfId="13082" xr:uid="{0FD07165-2BFB-45CA-8902-E4676A2F7B48}"/>
    <cellStyle name="F7 2 8" xfId="13295" xr:uid="{8E2DC283-2360-4640-8F70-2B2A4C5C0EBA}"/>
    <cellStyle name="F7 2 9" xfId="12124" xr:uid="{70A1AC23-CBB7-4F63-89B6-4C7120AAE22F}"/>
    <cellStyle name="F7 3" xfId="12458" xr:uid="{E966AEC0-714A-4C89-BD08-E2F961437DCE}"/>
    <cellStyle name="F7_09.06.10" xfId="13465" xr:uid="{6EFACB91-D04E-4597-9265-A546EE98E0F3}"/>
    <cellStyle name="F8" xfId="535" xr:uid="{E6CCE2A3-D1C6-47A3-B37A-69127383BBC4}"/>
    <cellStyle name="F8 2" xfId="12126" xr:uid="{79E047E7-823F-4859-AFE6-A01132F74DA4}"/>
    <cellStyle name="F8 2 10" xfId="13120" xr:uid="{880DD15F-7DEE-4B46-A93A-EA5025E9C37F}"/>
    <cellStyle name="F8 2 11" xfId="11206" xr:uid="{6242190B-7DA6-4517-8D69-A777A667B435}"/>
    <cellStyle name="F8 2 12" xfId="13697" xr:uid="{CC9A29C7-0520-4180-BB77-3A95D7B393AF}"/>
    <cellStyle name="F8 2 13" xfId="13889" xr:uid="{95692F2F-9AC9-49EB-9CE4-A7A9D332B598}"/>
    <cellStyle name="F8 2 14" xfId="12939" xr:uid="{030D497A-CCE5-46CF-8C0E-3AB162CAA170}"/>
    <cellStyle name="F8 2 15" xfId="12415" xr:uid="{6C7682B9-99BA-4570-88ED-5BFF907798B8}"/>
    <cellStyle name="F8 2 16" xfId="13296" xr:uid="{317F9A6B-C849-4015-956E-344508F8AEF9}"/>
    <cellStyle name="F8 2 17" xfId="11486" xr:uid="{7B81E815-36B5-4E4C-84B2-BA1FFAE6C135}"/>
    <cellStyle name="F8 2 18" xfId="13599" xr:uid="{B19C6357-A02A-4E3D-82CE-A62A608C4E1D}"/>
    <cellStyle name="F8 2 19" xfId="13466" xr:uid="{ECFD9E77-908F-4C2F-AAFE-90363AD48A39}"/>
    <cellStyle name="F8 2 2" xfId="12127" xr:uid="{1DF640D2-760E-403B-A543-9F5C0F4D9F07}"/>
    <cellStyle name="F8 2 20" xfId="12128" xr:uid="{7D64C95E-E52A-4CD9-A9FA-9AE0B3FBC998}"/>
    <cellStyle name="F8 2 21" xfId="13121" xr:uid="{5D766394-EDAF-4E63-A5AD-C08EEC5924E4}"/>
    <cellStyle name="F8 2 22" xfId="13698" xr:uid="{A36FE49C-F9E0-4215-87FD-7A85AE0B4C6E}"/>
    <cellStyle name="F8 2 23" xfId="13890" xr:uid="{591F53CC-A3CA-424A-B839-9C4552DE33F6}"/>
    <cellStyle name="F8 2 3" xfId="13832" xr:uid="{21468765-1668-4C7F-8B5A-37FC27048B8F}"/>
    <cellStyle name="F8 2 4" xfId="12129" xr:uid="{958699E5-F799-4055-8F79-9C4386D8EB62}"/>
    <cellStyle name="F8 2 5" xfId="12130" xr:uid="{8E3B5D49-A276-4A57-8FFA-AD7C0B73724F}"/>
    <cellStyle name="F8 2 6" xfId="12131" xr:uid="{3D68381C-E77E-4E6F-9798-8C96D8C28B8F}"/>
    <cellStyle name="F8 2 7" xfId="13224" xr:uid="{FFCCEF4F-69AE-4EBA-A261-04A2A4803320}"/>
    <cellStyle name="F8 2 8" xfId="13622" xr:uid="{C5825085-01D8-4DA5-81FC-81B3EF7E680B}"/>
    <cellStyle name="F8 2 9" xfId="13891" xr:uid="{8C7359FF-3BD0-474A-A5DE-2D3B534C6518}"/>
    <cellStyle name="F8 3" xfId="12125" xr:uid="{E7F6B81B-4298-47BF-8EBA-0A32BED8BED5}"/>
    <cellStyle name="F8_09.06.10" xfId="12598" xr:uid="{FEADF332-C25D-4FD6-8CFD-C9385E6D723E}"/>
    <cellStyle name="FAB level" xfId="12132" xr:uid="{8145E75B-A927-4017-ABE4-90A083460521}"/>
    <cellStyle name="FAB no" xfId="13396" xr:uid="{8D01F7AA-1645-4B65-AA23-67B455392DFC}"/>
    <cellStyle name="FAB price" xfId="11008" xr:uid="{23E690DB-6E4C-46B2-A49C-307ABBD79CA4}"/>
    <cellStyle name="Fecha" xfId="130" xr:uid="{C97AB427-9C21-4666-878E-F69D618D1C5F}"/>
    <cellStyle name="Fijo" xfId="131" xr:uid="{6B5D045C-085A-4458-8A37-D32DB5000B8D}"/>
    <cellStyle name="Fijo 10" xfId="13563" xr:uid="{815CC990-52E7-49BA-9B67-1BDFDD19BFED}"/>
    <cellStyle name="Fijo 11" xfId="13833" xr:uid="{F0ACC68B-38AD-44E8-A0F6-04797909B7A4}"/>
    <cellStyle name="Fijo 12" xfId="12940" xr:uid="{5EE97A1E-D42A-4C11-9A57-D9099278745E}"/>
    <cellStyle name="Fijo 13" xfId="12133" xr:uid="{D5BF1EB6-AFBF-42E6-85F7-DACFF00E59F0}"/>
    <cellStyle name="Fijo 14" xfId="13297" xr:uid="{B58B6CD5-A40F-4F35-9C68-5E78C74A098D}"/>
    <cellStyle name="Fijo 15" xfId="11487" xr:uid="{7CFF8EB3-3A06-4694-A440-8CF291916F5A}"/>
    <cellStyle name="Fijo 16" xfId="13467" xr:uid="{4830C626-8E0C-44D6-9A13-8474ECD7823D}"/>
    <cellStyle name="Fijo 17" xfId="12134" xr:uid="{680ED75D-48E2-46CD-9E20-43FFF6D62BE9}"/>
    <cellStyle name="Fijo 18" xfId="10942" xr:uid="{D7333AF2-4A8F-49D1-A9FB-7519233252D5}"/>
    <cellStyle name="Fijo 19" xfId="12135" xr:uid="{1C7CEDA6-B08B-4FCB-9FAB-7F132B05306D}"/>
    <cellStyle name="Fijo 2" xfId="13122" xr:uid="{5F6BB9B8-3AE0-4991-A27B-290E65ACE0DE}"/>
    <cellStyle name="Fijo 20" xfId="13699" xr:uid="{9202C16E-9F0B-413C-AE61-1B42DE25A9C3}"/>
    <cellStyle name="Fijo 21" xfId="13892" xr:uid="{A6850349-5AC6-47B0-8E48-13052DC65B4E}"/>
    <cellStyle name="Fijo 22" xfId="12941" xr:uid="{B5627901-98A9-4F39-8BB7-B1EF9489ADCB}"/>
    <cellStyle name="Fijo 23" xfId="12136" xr:uid="{F1054438-11ED-4954-898E-35CCD60DFBDD}"/>
    <cellStyle name="Fijo 24" xfId="11613" xr:uid="{1E19DC65-D52F-44B4-9754-CB02DF25C4D9}"/>
    <cellStyle name="Fijo 25" xfId="13048" xr:uid="{CF967517-1F76-4902-B60B-9BF8503B8D07}"/>
    <cellStyle name="Fijo 3" xfId="13298" xr:uid="{4F2558C4-F9D2-426A-9CC5-B0CC6C63673E}"/>
    <cellStyle name="Fijo 4" xfId="12510" xr:uid="{62E9C080-9161-4701-8FBE-91DD147AE491}"/>
    <cellStyle name="Fijo 5" xfId="13468" xr:uid="{1D8F2E7C-5A1C-4D65-92E1-04004005E01B}"/>
    <cellStyle name="Fijo 6" xfId="12137" xr:uid="{937175C0-44AB-470F-ACC6-E8DFB15466C4}"/>
    <cellStyle name="Fijo 7" xfId="11488" xr:uid="{F40FA64E-E468-452B-AEBD-AE7249C99F47}"/>
    <cellStyle name="Fijo 8" xfId="13123" xr:uid="{0051D764-1FC1-46C1-A14B-601930200643}"/>
    <cellStyle name="Fijo 9" xfId="13363" xr:uid="{78AE0ADC-80E2-401F-A4F3-6B4013FD5E87}"/>
    <cellStyle name="FINANCIERO" xfId="132" xr:uid="{CE5F2BF4-F90F-4AAC-93B7-4B1AAD7FC690}"/>
    <cellStyle name="Financiero 2" xfId="13700" xr:uid="{B54DB858-2DDC-4DEA-98BF-C80BCF3CC573}"/>
    <cellStyle name="Fixed" xfId="133" xr:uid="{B5042BEC-37A1-422B-96A7-589AC21CC344}"/>
    <cellStyle name="Fixed 10" xfId="12138" xr:uid="{CA15F1D2-6BCB-4746-BF85-3FD56E932CE7}"/>
    <cellStyle name="Fixed 11" xfId="12139" xr:uid="{268ADF19-E3C1-401C-BA03-6EEF576726EC}"/>
    <cellStyle name="Fixed 12" xfId="12140" xr:uid="{65EFB3D0-2294-4DA8-B1C7-D4745BC6B266}"/>
    <cellStyle name="Fixed 13" xfId="13223" xr:uid="{7DAE5D24-8CCE-4C2C-BEA5-06E0EB82AA40}"/>
    <cellStyle name="Fixed 14" xfId="12972" xr:uid="{F157005E-8CE0-41FA-AD04-E44EBC5497F6}"/>
    <cellStyle name="Fixed 15" xfId="13621" xr:uid="{0CD6F0A1-155B-4320-81F6-9A0252B87E42}"/>
    <cellStyle name="Fixed 16" xfId="13894" xr:uid="{ECD4EEDE-9153-4DF9-9C40-16FDF331840E}"/>
    <cellStyle name="Fixed 17" xfId="12141" xr:uid="{46F92D10-148C-4443-A3C6-DE5D78C28DB5}"/>
    <cellStyle name="Fixed 18" xfId="13395" xr:uid="{1047151C-29CC-4B0F-AB10-3341B41FBDA3}"/>
    <cellStyle name="Fixed 19" xfId="12142" xr:uid="{60DDAF11-8AFE-4709-BE6A-56E3CAB89418}"/>
    <cellStyle name="Fixed 2" xfId="12143" xr:uid="{62B139CD-A5F2-4753-8262-3A0FCA8538AB}"/>
    <cellStyle name="Fixed 20" xfId="11020" xr:uid="{7DA76D02-D860-4AA6-9B81-03EAF63E08B1}"/>
    <cellStyle name="Fixed 21" xfId="13047" xr:uid="{9D2AD71B-F995-489A-923A-53BD352E26D9}"/>
    <cellStyle name="Fixed 22" xfId="11185" xr:uid="{7EB0049C-E096-4DA4-A338-B6F37198A3FC}"/>
    <cellStyle name="Fixed 23" xfId="13564" xr:uid="{5D691FCE-89BA-4CA6-953C-6C62CC4C2D39}"/>
    <cellStyle name="Fixed 24" xfId="13798" xr:uid="{D1C8C8D6-CEF6-4F27-8DEA-4867091CE222}"/>
    <cellStyle name="Fixed 25" xfId="13893" xr:uid="{A0E46B1C-1E54-462D-B51A-27108602DADD}"/>
    <cellStyle name="Fixed 3" xfId="12595" xr:uid="{E20D54EA-665F-41C8-BB27-F66B51C04BD4}"/>
    <cellStyle name="Fixed 4" xfId="13799" xr:uid="{871167BF-9FE4-42C2-B7B9-99F3BACEFA0E}"/>
    <cellStyle name="Fixed 5" xfId="13537" xr:uid="{709A42FA-33BF-4067-81B0-2CBD1EE3FE2C}"/>
    <cellStyle name="Fixed 6" xfId="12942" xr:uid="{C64ACC5D-CEA0-4DAE-A8AF-655AC2704099}"/>
    <cellStyle name="Fixed 7" xfId="11489" xr:uid="{79095765-4F9E-4D01-B50C-ADED829E7333}"/>
    <cellStyle name="Fixed 8" xfId="13299" xr:uid="{EE6D7E7D-5A4F-47A3-ADB4-A7B4E29A7A76}"/>
    <cellStyle name="Fixed 9" xfId="12144" xr:uid="{2626DB03-8EDE-4EFC-A566-59C54FC967D5}"/>
    <cellStyle name="Fixed_09.06.10" xfId="13469" xr:uid="{8D66B443-DA14-47F3-92A5-ED2670B151C4}"/>
    <cellStyle name="Followed Hyperlink" xfId="12145" xr:uid="{8DC5C056-5530-48B6-9380-6DF7EF774FF0}"/>
    <cellStyle name="Good" xfId="11614" xr:uid="{23B1E22A-415E-4AA6-84F1-EA83C3E6F2C6}"/>
    <cellStyle name="Grey" xfId="12146" xr:uid="{2F4CCF28-9AC5-43C5-AC05-400544ED4D5B}"/>
    <cellStyle name="Heading 1" xfId="134" xr:uid="{E31C2096-38C0-45DE-84EF-FE2B00922B59}"/>
    <cellStyle name="Heading 1 10" xfId="13701" xr:uid="{9F4EC712-849D-48CE-B2F5-75E7D8FE998E}"/>
    <cellStyle name="Heading 1 11" xfId="13895" xr:uid="{C84390A9-3F8D-43F2-8EB2-A4A0E6E93FD7}"/>
    <cellStyle name="Heading 1 12" xfId="12943" xr:uid="{12DBB282-5531-4069-880A-32FD80B07DE5}"/>
    <cellStyle name="Heading 1 13" xfId="11677" xr:uid="{C88F0E28-EC99-4C46-AABA-A646EE887E5B}"/>
    <cellStyle name="Heading 1 14" xfId="11615" xr:uid="{52563091-13E7-4C72-A964-BB118BA7ACD8}"/>
    <cellStyle name="Heading 1 15" xfId="13300" xr:uid="{8D3A3F12-66AB-4F7C-AB9B-81F013A0CE71}"/>
    <cellStyle name="Heading 1 16" xfId="11664" xr:uid="{F0F41BCA-0F64-44BF-A14F-B488776784B0}"/>
    <cellStyle name="Heading 1 17" xfId="13470" xr:uid="{D0EA8A68-A1CF-4172-9F83-6AB469CFF437}"/>
    <cellStyle name="Heading 1 18" xfId="12147" xr:uid="{0A916E90-1E40-47B4-A859-C10BF4E52F62}"/>
    <cellStyle name="Heading 1 19" xfId="12148" xr:uid="{AFB9E61A-82C4-46FB-AD0C-7776D2ECD72D}"/>
    <cellStyle name="Heading 1 2" xfId="13125" xr:uid="{4CDA76E7-A4C6-48C9-A7B2-621D9017F9B0}"/>
    <cellStyle name="Heading 1 2 10" xfId="13195" xr:uid="{5438A459-88CD-4F5A-8D2B-EF2A5C98A47F}"/>
    <cellStyle name="Heading 1 2 11" xfId="13702" xr:uid="{B3AE1C7C-0E38-42EF-804B-56B4BD3B55EF}"/>
    <cellStyle name="Heading 1 2 12" xfId="13896" xr:uid="{01ADF952-9F7B-4C9E-BB94-518C2F5C75F5}"/>
    <cellStyle name="Heading 1 2 13" xfId="12149" xr:uid="{63A8AEF5-49D2-4D78-8B85-B18DAC6F364C}"/>
    <cellStyle name="Heading 1 2 14" xfId="11490" xr:uid="{ADD5AF7D-54ED-4906-9324-F14D9E9BB5AE}"/>
    <cellStyle name="Heading 1 2 15" xfId="12150" xr:uid="{2EB6EAA9-258E-42C3-928D-A1B2813A6780}"/>
    <cellStyle name="Heading 1 2 16" xfId="13226" xr:uid="{3D28D6B3-31EB-4D14-94C2-EDC56E8C88E6}"/>
    <cellStyle name="Heading 1 2 17" xfId="13768" xr:uid="{9E7FB4E6-4052-43AB-AD79-538E3332A76A}"/>
    <cellStyle name="Heading 1 2 18" xfId="13624" xr:uid="{0104C872-C745-4F23-847D-7B32627E4863}"/>
    <cellStyle name="Heading 1 2 19" xfId="13897" xr:uid="{CDD0CBE3-5F0A-4AE2-BC35-B4CA0CF68457}"/>
    <cellStyle name="Heading 1 2 2" xfId="12151" xr:uid="{5AB35610-2081-4CA4-BF2D-0EB3C766860D}"/>
    <cellStyle name="Heading 1 2 20" xfId="13398" xr:uid="{278CC3AA-111E-4C9B-9D5B-630FA1F01E88}"/>
    <cellStyle name="Heading 1 2 21" xfId="12152" xr:uid="{38EBBBDF-B137-4567-89B4-031A577D902A}"/>
    <cellStyle name="Heading 1 2 22" xfId="12153" xr:uid="{5B6C3EA8-52F7-426D-B05C-6A719242306C}"/>
    <cellStyle name="Heading 1 2 23" xfId="14000" xr:uid="{626E6307-4BCB-4B2F-A7D5-C795B1F91C79}"/>
    <cellStyle name="Heading 1 2 3" xfId="13050" xr:uid="{2952705A-141B-4694-916D-03EDFDF4804C}"/>
    <cellStyle name="Heading 1 2 4" xfId="13565" xr:uid="{778D47FF-6F15-486D-9145-7A703AE471F2}"/>
    <cellStyle name="Heading 1 2 5" xfId="12944" xr:uid="{53BBD826-C074-47B7-A6E3-0B359F398857}"/>
    <cellStyle name="Heading 1 2 6" xfId="12416" xr:uid="{A2AC1F09-33F8-4932-B431-7D9CED8C5B38}"/>
    <cellStyle name="Heading 1 2 7" xfId="13301" xr:uid="{E3DFC3CC-9043-4DE5-9CFE-6017DE18DA67}"/>
    <cellStyle name="Heading 1 2 8" xfId="12154" xr:uid="{25F2404F-3B59-4DC5-B8F7-B6DE9150D72B}"/>
    <cellStyle name="Heading 1 2 9" xfId="12946" xr:uid="{70684DEA-FDB1-4936-AA91-AABB3BE900F2}"/>
    <cellStyle name="Heading 1 20" xfId="13471" xr:uid="{43029F36-275A-4563-BCB9-09DF7C5A9240}"/>
    <cellStyle name="Heading 1 21" xfId="12155" xr:uid="{AE7EBD79-2BB7-4B73-85C3-ED19F4ED181C}"/>
    <cellStyle name="Heading 1 22" xfId="11491" xr:uid="{12DD928E-9AD4-4D1E-BB74-B0DD5009A594}"/>
    <cellStyle name="Heading 1 23" xfId="13126" xr:uid="{CDD3DFD7-65BC-4399-957B-7437C597E1DE}"/>
    <cellStyle name="Heading 1 24" xfId="13703" xr:uid="{2ABB2D0B-EAA3-49A1-A49F-D02C540890F8}"/>
    <cellStyle name="Heading 1 25" xfId="13124" xr:uid="{F266AACC-EDAF-4F00-B944-C502F3C9D550}"/>
    <cellStyle name="Heading 1 3" xfId="13898" xr:uid="{C2899518-770D-4797-AEF3-D6B416E5D9AA}"/>
    <cellStyle name="Heading 1 4" xfId="11616" xr:uid="{8F12FCAF-50F3-4504-9CF8-CA7CA3B5BB16}"/>
    <cellStyle name="Heading 1 5" xfId="12945" xr:uid="{33BD09EC-E415-4F0F-A5DC-42B6E8BF1B79}"/>
    <cellStyle name="Heading 1 6" xfId="12156" xr:uid="{E8C6A977-F0ED-4874-A3C3-403FC2555702}"/>
    <cellStyle name="Heading 1 7" xfId="13302" xr:uid="{B04B6D87-A1B3-4C33-ACC5-378CF8D46CEC}"/>
    <cellStyle name="Heading 1 8" xfId="12157" xr:uid="{F6CD6B27-C098-4CA9-AD6A-DF8102A6A35C}"/>
    <cellStyle name="Heading 1 9" xfId="13472" xr:uid="{0A7EF321-4A58-49A8-863A-A95FD840C84D}"/>
    <cellStyle name="Heading 1_09.06.10" xfId="12158" xr:uid="{C31FE76D-59A8-4FAC-AE21-61BE75179847}"/>
    <cellStyle name="Heading 2" xfId="135" xr:uid="{BE76A63F-7C2E-4DF9-813C-8DDD9ED52D05}"/>
    <cellStyle name="Heading 2 10" xfId="12159" xr:uid="{CBA6AE49-5F99-4ED2-AAC7-EC2BFD1595B3}"/>
    <cellStyle name="Heading 2 11" xfId="13127" xr:uid="{75B67B3D-CE90-42FE-9461-9E52703A8B1F}"/>
    <cellStyle name="Heading 2 12" xfId="13704" xr:uid="{5E62E959-09C0-4719-B86C-28E0097B09BF}"/>
    <cellStyle name="Heading 2 13" xfId="13899" xr:uid="{62A375AF-79AF-4C50-8F99-C890EA4624E2}"/>
    <cellStyle name="Heading 2 14" xfId="12160" xr:uid="{77BDD255-3A97-46BA-8148-AE662BB68F49}"/>
    <cellStyle name="Heading 2 15" xfId="12161" xr:uid="{0554A469-8AF7-416B-A1F3-E332BB33882A}"/>
    <cellStyle name="Heading 2 16" xfId="12973" xr:uid="{7C124381-6F64-44DE-9DA2-C6DF784EF822}"/>
    <cellStyle name="Heading 2 17" xfId="11492" xr:uid="{90EEB0D0-56B3-45B3-8C88-AD7596DE3F94}"/>
    <cellStyle name="Heading 2 18" xfId="13225" xr:uid="{26983477-C438-455F-A61A-AF3529091B6C}"/>
    <cellStyle name="Heading 2 19" xfId="13623" xr:uid="{F61EC4E2-FE2E-41A8-AD18-B322D3434301}"/>
    <cellStyle name="Heading 2 2" xfId="13900" xr:uid="{5371C23A-DDAE-46D8-8D80-8BB332B8AF95}"/>
    <cellStyle name="Heading 2 2 10" xfId="12417" xr:uid="{9D6044CC-C599-4278-B73A-792DAB4846D7}"/>
    <cellStyle name="Heading 2 2 11" xfId="13397" xr:uid="{314F29EA-B00D-4834-9D69-1FFA2D5AC862}"/>
    <cellStyle name="Heading 2 2 12" xfId="11617" xr:uid="{A9BD6585-DDA8-4A28-B681-9027E0777688}"/>
    <cellStyle name="Heading 2 2 13" xfId="12162" xr:uid="{4568BDBE-766A-425F-97EE-55BB9F095FF8}"/>
    <cellStyle name="Heading 2 2 14" xfId="12163" xr:uid="{C00CE713-7F53-4C0D-8CE1-2676E4C8E755}"/>
    <cellStyle name="Heading 2 2 15" xfId="13049" xr:uid="{E273D82E-A362-4D6F-A70C-08B3D41D4BFE}"/>
    <cellStyle name="Heading 2 2 16" xfId="12828" xr:uid="{25BF81B4-5F97-448F-8486-83C332D5524A}"/>
    <cellStyle name="Heading 2 2 17" xfId="13566" xr:uid="{116A35C9-6DD7-408C-9D3B-059287574366}"/>
    <cellStyle name="Heading 2 2 18" xfId="13800" xr:uid="{A0EDB879-7F26-41B4-9CC2-C8292356CA6F}"/>
    <cellStyle name="Heading 2 2 19" xfId="13538" xr:uid="{053C37F9-C348-4A05-AC4E-59F256E20A33}"/>
    <cellStyle name="Heading 2 2 2" xfId="12829" xr:uid="{E8065975-BB62-4865-ACB7-1A67851450D7}"/>
    <cellStyle name="Heading 2 2 20" xfId="13801" xr:uid="{1D1E690E-3576-4557-A9F0-9A53FEEBFB28}"/>
    <cellStyle name="Heading 2 2 21" xfId="11851" xr:uid="{3C28138C-E7BF-4285-9DC1-E4FA4683C011}"/>
    <cellStyle name="Heading 2 2 22" xfId="12164" xr:uid="{77673789-3DF7-446D-BB30-E8B74EDE2FDF}"/>
    <cellStyle name="Heading 2 2 23" xfId="13303" xr:uid="{1563447D-2B70-4BB5-B62E-24AA7CB55959}"/>
    <cellStyle name="Heading 2 2 3" xfId="12165" xr:uid="{4BA88536-1EC5-4366-BACC-E740F18E42D7}"/>
    <cellStyle name="Heading 2 2 4" xfId="11618" xr:uid="{D6411E03-A1EA-42CE-BE13-E33BECC377C8}"/>
    <cellStyle name="Heading 2 2 5" xfId="13473" xr:uid="{E7D1121B-BAE8-4EF0-AE58-9EDBD4F75668}"/>
    <cellStyle name="Heading 2 2 6" xfId="12166" xr:uid="{8D8CD31C-5F8F-417D-960A-E1D03532A610}"/>
    <cellStyle name="Heading 2 2 7" xfId="12167" xr:uid="{975F2CC4-C65D-403B-88B8-3EFE72D12FEE}"/>
    <cellStyle name="Heading 2 2 8" xfId="13128" xr:uid="{A97EFB05-56A2-4CEE-B62A-CEA3230E0519}"/>
    <cellStyle name="Heading 2 2 9" xfId="13705" xr:uid="{6E1AE0F0-FA2B-4B9A-8FCD-B9ACE8B92253}"/>
    <cellStyle name="Heading 2 20" xfId="13901" xr:uid="{F618C058-56A8-45C7-B82F-1D440EE96E0D}"/>
    <cellStyle name="Heading 2 21" xfId="11619" xr:uid="{4F6BC4EC-566B-4C35-ABE6-1A23A21415DB}"/>
    <cellStyle name="Heading 2 22" xfId="11852" xr:uid="{D5BD039F-FE54-431C-B7C7-F78D321C3B49}"/>
    <cellStyle name="Heading 2 23" xfId="11493" xr:uid="{51D1A7BA-C27C-4BDD-AF33-33959C4E5255}"/>
    <cellStyle name="Heading 2 24" xfId="13364" xr:uid="{81914528-F58B-4EF9-9E17-153D17D3A9EB}"/>
    <cellStyle name="Heading 2 3" xfId="13304" xr:uid="{D6E10CA2-B11B-4EF2-9514-B33AF859C72B}"/>
    <cellStyle name="Heading 2 4" xfId="12168" xr:uid="{141EEEB4-1037-44EC-8362-D56B64CD2BB3}"/>
    <cellStyle name="Heading 2 5" xfId="13474" xr:uid="{AE7CDA22-4FBF-4EF4-9FC5-1D74D50D68EC}"/>
    <cellStyle name="Heading 2 6" xfId="12169" xr:uid="{94725302-C651-4D8B-A0D5-CCAF0325F0B4}"/>
    <cellStyle name="Heading 2 7" xfId="13196" xr:uid="{87153ED1-A417-4A82-BDF0-3C33AD9A2720}"/>
    <cellStyle name="Heading 2 8" xfId="12170" xr:uid="{8CE739E0-A3D5-4D6D-8229-B5856889CA2C}"/>
    <cellStyle name="Heading 2 9" xfId="13129" xr:uid="{72877FD4-72B7-404E-B640-98A4CCD3DBEF}"/>
    <cellStyle name="Heading 2_09.06.10" xfId="13706" xr:uid="{D88B7C49-80F4-4A6F-B72C-829BEEE13B30}"/>
    <cellStyle name="Heading 3" xfId="13902" xr:uid="{71443E10-C955-4722-B012-8DF7ED8F52AA}"/>
    <cellStyle name="Heading 3 10" xfId="12418" xr:uid="{128A17F0-EA5D-4112-B2C7-6CB6B72E82D8}"/>
    <cellStyle name="Heading 3 11" xfId="12171" xr:uid="{F7C5EFFE-B5F7-44A7-9BC5-9CABD5A4FDF7}"/>
    <cellStyle name="Heading 3 12" xfId="13769" xr:uid="{5F62441B-BF1B-423F-BDB9-FCBB9C176FBC}"/>
    <cellStyle name="Heading 3 13" xfId="12172" xr:uid="{795A808C-D4EF-416F-AF10-5A6FD3F421B1}"/>
    <cellStyle name="Heading 3 14" xfId="13228" xr:uid="{87509802-6064-4B91-82B8-D3B874E1DE6C}"/>
    <cellStyle name="Heading 3 15" xfId="13626" xr:uid="{EC9EAA70-5F6B-4FB2-AB81-F708DE9A8129}"/>
    <cellStyle name="Heading 3 16" xfId="13903" xr:uid="{AA6DB3F2-B903-44FC-9CF3-507BBEFB8C52}"/>
    <cellStyle name="Heading 3 17" xfId="12173" xr:uid="{23BF4BD8-AA65-4CEF-AAF7-6365AF847D82}"/>
    <cellStyle name="Heading 3 18" xfId="13400" xr:uid="{EE2F45F4-E43B-480F-9C74-18188D2FD9A9}"/>
    <cellStyle name="Heading 3 19" xfId="14001" xr:uid="{F858A987-28F7-4038-BD39-15415F4C0416}"/>
    <cellStyle name="Heading 3 2" xfId="11494" xr:uid="{A74AE69B-CCCC-4092-8F8D-092A5242FBD4}"/>
    <cellStyle name="Heading 3 20" xfId="12174" xr:uid="{A2FBD484-56EC-4DC9-ADB9-0D8D54C431AF}"/>
    <cellStyle name="Heading 3 21" xfId="13052" xr:uid="{B006003B-C66C-4C48-9337-7C186E4CF572}"/>
    <cellStyle name="Heading 3 22" xfId="13567" xr:uid="{8A93A235-3F87-4CC0-B3A7-F21BA951DBA8}"/>
    <cellStyle name="Heading 3 23" xfId="11853" xr:uid="{B13DDB82-D7BE-48BD-A571-8FF47436DEA1}"/>
    <cellStyle name="Heading 3 3" xfId="12175" xr:uid="{65688AE9-E1E4-4BA0-B62A-977EEBF42286}"/>
    <cellStyle name="Heading 3 4" xfId="11620" xr:uid="{2B471705-5EF1-47E3-B533-C04B770B2216}"/>
    <cellStyle name="Heading 3 5" xfId="13305" xr:uid="{AC8408B7-AECE-4220-95F3-D2D963D9B065}"/>
    <cellStyle name="Heading 3 6" xfId="12176" xr:uid="{E2F33CBF-F82C-4416-BAB6-3D4E07AFB601}"/>
    <cellStyle name="Heading 3 7" xfId="13475" xr:uid="{E10EEB7F-F69B-4179-ADB1-9C052A19A7FC}"/>
    <cellStyle name="Heading 3 8" xfId="12177" xr:uid="{99AA73C7-C5E2-4C66-99C9-FDDFE6DFCDA2}"/>
    <cellStyle name="Heading 3 9" xfId="12178" xr:uid="{96D0627A-F7F5-42E2-AD62-A15ADB12D896}"/>
    <cellStyle name="Heading 4" xfId="13130" xr:uid="{78FCF2A0-C0E9-4EAD-9D02-26A7722291CD}"/>
    <cellStyle name="Heading1" xfId="11621" xr:uid="{D450D8FE-ED1E-49E8-896B-A0BD31407862}"/>
    <cellStyle name="HEADING1 10" xfId="13707" xr:uid="{BAE522F5-CD2C-4310-8285-7EEA0D1F2A74}"/>
    <cellStyle name="HEADING1 11" xfId="13904" xr:uid="{5E496908-0ECB-4760-8D71-91FDFA1989DF}"/>
    <cellStyle name="HEADING1 12" xfId="11854" xr:uid="{B41BFCC8-2620-4163-80B8-779EA5D775DE}"/>
    <cellStyle name="HEADING1 13" xfId="12179" xr:uid="{66C92764-B76E-499A-95E2-2C60432A1E2E}"/>
    <cellStyle name="HEADING1 14" xfId="13306" xr:uid="{0E0A6447-4515-47EA-9B0C-1319AE7A18C9}"/>
    <cellStyle name="HEADING1 15" xfId="12419" xr:uid="{37F722DC-72BE-408D-A4C0-4D471664D627}"/>
    <cellStyle name="HEADING1 16" xfId="11622" xr:uid="{936B2984-C4B2-45B8-B37C-24D0346EC655}"/>
    <cellStyle name="HEADING1 17" xfId="13476" xr:uid="{3412CC6A-7820-4318-97A2-352A8CD6F3AF}"/>
    <cellStyle name="HEADING1 18" xfId="11495" xr:uid="{727FC62D-CA88-4433-BF8B-CA65E5DEF999}"/>
    <cellStyle name="HEADING1 19" xfId="12180" xr:uid="{022DE3B2-1EFA-411D-8AC7-9263E8D64E75}"/>
    <cellStyle name="HEADING1 2" xfId="13131" xr:uid="{DD8F292A-9A9F-4170-A2E0-9F025E1080D5}"/>
    <cellStyle name="HEADING1 20" xfId="13708" xr:uid="{02E6FC70-43D4-4CCA-A7CE-FECEFDEE83C9}"/>
    <cellStyle name="HEADING1 21" xfId="13905" xr:uid="{F523B772-CF86-4386-B5A3-14D0ECCF1BC5}"/>
    <cellStyle name="HEADING1 22" xfId="12181" xr:uid="{9878DBAA-9C7E-44F2-82C3-5A07FB99F9F2}"/>
    <cellStyle name="HEADING1 23" xfId="12182" xr:uid="{EB3A69E3-3310-48BC-8254-630178CB7EC1}"/>
    <cellStyle name="HEADING1 24" xfId="12183" xr:uid="{422C36DC-1566-45BC-9DA9-C6060755E536}"/>
    <cellStyle name="HEADING1 3" xfId="13227" xr:uid="{08443090-C371-4CE7-A646-798DF038AD42}"/>
    <cellStyle name="HEADING1 4" xfId="13261" xr:uid="{654DFC7B-1A4B-431F-A9EE-76F665BBB6D6}"/>
    <cellStyle name="HEADING1 5" xfId="13625" xr:uid="{279B2406-611B-4B5C-84BB-1B3A342D641A}"/>
    <cellStyle name="HEADING1 6" xfId="13906" xr:uid="{2568B9D4-C491-4E01-BFA0-3AF1F410BFEE}"/>
    <cellStyle name="HEADING1 7" xfId="12184" xr:uid="{DF82C370-E262-4A44-9349-C2D603CBA635}"/>
    <cellStyle name="HEADING1 8" xfId="13399" xr:uid="{3C1D5A1C-1024-4B13-9A5F-0A7989DE0154}"/>
    <cellStyle name="HEADING1 9" xfId="12185" xr:uid="{F208AAAE-6574-43BA-B047-6D9C50C59DD0}"/>
    <cellStyle name="Heading2" xfId="11496" xr:uid="{CED3677D-7B04-414A-88C4-B99CDA27C3D6}"/>
    <cellStyle name="HEADING2 10" xfId="13660" xr:uid="{AB6CECA3-F6F8-474D-AD55-CDCB0FB5F684}"/>
    <cellStyle name="HEADING2 11" xfId="13051" xr:uid="{071D1346-C2FE-4E1E-8688-7F1F68971DF2}"/>
    <cellStyle name="HEADING2 12" xfId="11186" xr:uid="{605BA6A0-9305-42EA-AC8D-21056CA171FA}"/>
    <cellStyle name="HEADING2 13" xfId="13568" xr:uid="{C3B06F95-1098-451B-A40D-6DDB44C8BE48}"/>
    <cellStyle name="HEADING2 14" xfId="13802" xr:uid="{1668D40F-6206-4BC5-ADC8-CFAC48C265DE}"/>
    <cellStyle name="HEADING2 15" xfId="10979" xr:uid="{E6A08313-A718-49B0-9437-8604CF37B8E7}"/>
    <cellStyle name="HEADING2 16" xfId="13803" xr:uid="{D8334404-D4FD-4970-8C9F-D584E5924D91}"/>
    <cellStyle name="HEADING2 17" xfId="14002" xr:uid="{2392461F-3A13-4FB3-8E70-73591BF11712}"/>
    <cellStyle name="HEADING2 18" xfId="11855" xr:uid="{27C64EFB-00B5-40D2-85AE-777BFCF130E6}"/>
    <cellStyle name="HEADING2 19" xfId="12186" xr:uid="{1D9E77A3-7E33-43B8-8DB7-7EAD234DC300}"/>
    <cellStyle name="HEADING2 2" xfId="13307" xr:uid="{66CA6547-BDFE-4DD4-BE7A-32B98E7F1F6E}"/>
    <cellStyle name="HEADING2 20" xfId="12187" xr:uid="{4790CB1B-B444-4CE8-BF8C-07F0F9181531}"/>
    <cellStyle name="HEADING2 21" xfId="13477" xr:uid="{1423B5CD-73D8-4F16-B485-7FC84B5F25B4}"/>
    <cellStyle name="HEADING2 22" xfId="12188" xr:uid="{22030D6B-D7D5-4BC1-A182-F7167BA6C21F}"/>
    <cellStyle name="HEADING2 23" xfId="11623" xr:uid="{679AC7E0-00AB-46C6-BD3C-FD6F35B97602}"/>
    <cellStyle name="HEADING2 24" xfId="12189" xr:uid="{7BB8046A-1AAE-4198-8FC3-0FBABEE0E53A}"/>
    <cellStyle name="HEADING2 3" xfId="13132" xr:uid="{2818A198-B75B-4EF7-B905-D4916940A111}"/>
    <cellStyle name="HEADING2 4" xfId="10987" xr:uid="{0E3EC924-03F2-443F-B0EA-BCF0CE1B7649}"/>
    <cellStyle name="HEADING2 5" xfId="13709" xr:uid="{6DDAB137-F574-4F48-A13B-D9B7FD9B8644}"/>
    <cellStyle name="HEADING2 6" xfId="13907" xr:uid="{3E8A5B33-822D-446C-9A40-3B7FECC150AF}"/>
    <cellStyle name="HEADING2 7" xfId="11255" xr:uid="{CB4968A1-B7F8-4BCE-BC8F-BDDA8A4D323C}"/>
    <cellStyle name="HEADING2 8" xfId="12190" xr:uid="{CAD8763E-EEE5-436C-B22D-C77EFA943FB3}"/>
    <cellStyle name="HEADING2 9" xfId="13308" xr:uid="{1201BF05-C907-47BD-8546-ECE7EF11C9E2}"/>
    <cellStyle name="Hipervínculo 10" xfId="12191" xr:uid="{30262BF0-0454-48BD-A0BC-F35F3B54B994}"/>
    <cellStyle name="Hipervínculo 2" xfId="13431" xr:uid="{B880E2CA-8471-4B2B-BC32-A9AD1AF8B91D}"/>
    <cellStyle name="Hipervínculo 3" xfId="13478" xr:uid="{3DA7623B-7E1D-474D-B7A9-AD01CB0AEFF1}"/>
    <cellStyle name="Hyperlink" xfId="12511" xr:uid="{32491F15-2D0F-4313-8F69-EFB53C23AB0F}"/>
    <cellStyle name="Incorrecto 10" xfId="2460" xr:uid="{CAE49232-0915-4FF9-94C8-DDBBD44ECD35}"/>
    <cellStyle name="Incorrecto 11" xfId="2461" xr:uid="{2BE657F8-210D-43F4-9069-DB2C66AC985C}"/>
    <cellStyle name="Incorrecto 12" xfId="2462" xr:uid="{B98E15C9-8786-42D5-B140-3F372EE1BB67}"/>
    <cellStyle name="Incorrecto 13" xfId="2463" xr:uid="{CF6A3E61-A659-419F-979E-846776599BBF}"/>
    <cellStyle name="Incorrecto 14" xfId="2464" xr:uid="{C565713F-58EA-4684-9519-0BC0B9D6A4DB}"/>
    <cellStyle name="Incorrecto 15" xfId="2465" xr:uid="{112F8B69-08A5-4750-855C-8A6D6DA17D16}"/>
    <cellStyle name="Incorrecto 16" xfId="2466" xr:uid="{7FC1260D-FC9B-4019-A67A-4F2180856D15}"/>
    <cellStyle name="Incorrecto 17" xfId="2467" xr:uid="{ACADDC45-D538-4BE0-90F5-242095780AD9}"/>
    <cellStyle name="Incorrecto 18" xfId="2468" xr:uid="{4A21EF22-FC47-4C5A-A6F5-AD7059A4CEDD}"/>
    <cellStyle name="Incorrecto 19" xfId="2469" xr:uid="{06B666C6-8B57-4986-8D71-8F2CB376F138}"/>
    <cellStyle name="Incorrecto 2" xfId="42" xr:uid="{D5D24D77-0201-4A79-8B56-542883762DA0}"/>
    <cellStyle name="Incorrecto 2 2" xfId="2470" xr:uid="{DFC2538E-A33F-47A0-B2B8-23ADA251B821}"/>
    <cellStyle name="Incorrecto 2 3" xfId="2471" xr:uid="{87386B66-2019-433C-9E03-A77186FFC9E4}"/>
    <cellStyle name="Incorrecto 2 4" xfId="2472" xr:uid="{AD8FD2A1-BF71-4BB0-88AE-EF5C5FF5779D}"/>
    <cellStyle name="Incorrecto 2 5" xfId="2473" xr:uid="{A4DBC524-3F56-432F-8FA4-A751794928E5}"/>
    <cellStyle name="Incorrecto 2 6" xfId="11497" xr:uid="{F9785D53-E413-4ED3-9F48-74A7ED3F7864}"/>
    <cellStyle name="Incorrecto 20" xfId="2474" xr:uid="{4408FBE7-BBDC-4EAC-B7DD-E610826714F1}"/>
    <cellStyle name="Incorrecto 21" xfId="2475" xr:uid="{914E0701-A3B0-4CFE-9CE6-CEFD501F6053}"/>
    <cellStyle name="Incorrecto 22" xfId="2476" xr:uid="{950B9969-2B95-4AFE-97D0-0F675C4B69E5}"/>
    <cellStyle name="Incorrecto 23" xfId="2477" xr:uid="{7439D391-731E-455F-B3D7-DEB4DAFC7A88}"/>
    <cellStyle name="Incorrecto 24" xfId="2478" xr:uid="{ED55E61E-427C-4AA0-9747-4032F55AA120}"/>
    <cellStyle name="Incorrecto 25" xfId="2479" xr:uid="{8D363FB2-AB06-4572-841A-51B6E7E915B0}"/>
    <cellStyle name="Incorrecto 26" xfId="2480" xr:uid="{8E6752DD-28FD-4B73-9C94-31633AA1475C}"/>
    <cellStyle name="Incorrecto 27" xfId="2481" xr:uid="{9AB2331E-0BA2-4A0E-B0E9-18A33A264AFD}"/>
    <cellStyle name="Incorrecto 28" xfId="2482" xr:uid="{1ABDAB16-2997-4C9F-A452-E6CACE1F23EE}"/>
    <cellStyle name="Incorrecto 29" xfId="2483" xr:uid="{E58586E9-0F25-496C-81F8-B26A0E3AE6CB}"/>
    <cellStyle name="Incorrecto 3" xfId="396" xr:uid="{50B8C8AE-CC52-4F66-9F86-2F2E3A2B65BB}"/>
    <cellStyle name="Incorrecto 3 2" xfId="13133" xr:uid="{E4E1C09A-5815-4AFF-9206-0F578F43A66D}"/>
    <cellStyle name="Incorrecto 30" xfId="2484" xr:uid="{3A3AA071-06EA-4D4A-BAF3-5D2FD873A9C0}"/>
    <cellStyle name="Incorrecto 31" xfId="2485" xr:uid="{FCD5E5BE-CA22-451C-A3DE-61240A582AC5}"/>
    <cellStyle name="Incorrecto 32" xfId="2486" xr:uid="{5FA5C37D-6F0C-4F39-88EA-742BA0E63AA1}"/>
    <cellStyle name="Incorrecto 33" xfId="2487" xr:uid="{D1CAB1A0-2593-406C-901E-E400C1AA9ED4}"/>
    <cellStyle name="Incorrecto 34" xfId="2488" xr:uid="{CCB33102-52C0-4C3D-8BF6-AEBADB7771FF}"/>
    <cellStyle name="Incorrecto 35" xfId="2489" xr:uid="{32242B61-5CE6-4DC3-8995-5076E5C908E8}"/>
    <cellStyle name="Incorrecto 36" xfId="2490" xr:uid="{83D3F313-0882-408A-BC71-ADFD35A7A9E7}"/>
    <cellStyle name="Incorrecto 37" xfId="2491" xr:uid="{DC245181-5B0C-4775-B27B-84307C064605}"/>
    <cellStyle name="Incorrecto 38" xfId="2492" xr:uid="{EA26541A-A172-4200-83AE-21D0E1A97A6E}"/>
    <cellStyle name="Incorrecto 39" xfId="2493" xr:uid="{14E26C05-FB1F-4A2E-A44D-A653CEF75E0A}"/>
    <cellStyle name="Incorrecto 4" xfId="397" xr:uid="{7E4024A1-2DB0-4A0D-9D08-1A4A689A6F25}"/>
    <cellStyle name="Incorrecto 4 2" xfId="13710" xr:uid="{BF2F065E-509A-4339-BE42-561D0C111BE2}"/>
    <cellStyle name="Incorrecto 40" xfId="2494" xr:uid="{4CA94B8C-3AA7-4E79-B62E-05A306A6B3CC}"/>
    <cellStyle name="Incorrecto 41" xfId="2495" xr:uid="{3786FE54-5C43-432F-9FB5-D890CE8C6633}"/>
    <cellStyle name="Incorrecto 42" xfId="2496" xr:uid="{5664BF2C-FB8C-4974-84DE-27E93603C7C1}"/>
    <cellStyle name="Incorrecto 43" xfId="2497" xr:uid="{28373F34-8845-4590-892B-4939E5A71224}"/>
    <cellStyle name="Incorrecto 44" xfId="2498" xr:uid="{7C3FAEEA-CB82-42D8-9965-D032972354FF}"/>
    <cellStyle name="Incorrecto 45" xfId="2499" xr:uid="{A92F1469-2FC5-4073-A7FE-801DE20737EA}"/>
    <cellStyle name="Incorrecto 46" xfId="2500" xr:uid="{8E0BB32D-E814-47AC-A60A-112F63F32B52}"/>
    <cellStyle name="Incorrecto 47" xfId="2501" xr:uid="{9FC96056-69F5-4B92-89BE-F63E2AB78DA7}"/>
    <cellStyle name="Incorrecto 48" xfId="2502" xr:uid="{35D4D3B2-DC5B-4DF9-979E-070490B2224E}"/>
    <cellStyle name="Incorrecto 49" xfId="2503" xr:uid="{371282C3-A837-48C0-82CA-59DEE1F29DF8}"/>
    <cellStyle name="Incorrecto 5" xfId="398" xr:uid="{F372ADE4-3E4B-42B1-9947-72699978D946}"/>
    <cellStyle name="Incorrecto 5 2" xfId="13908" xr:uid="{1B1DCD1D-A444-4AAE-9180-85A398F0FD1D}"/>
    <cellStyle name="Incorrecto 50" xfId="2504" xr:uid="{CA841C6F-633F-4FE3-90D8-F305EF140130}"/>
    <cellStyle name="Incorrecto 51" xfId="2505" xr:uid="{3E3F8430-DD0F-4383-AF05-DFC0E3DAE8FA}"/>
    <cellStyle name="Incorrecto 52" xfId="2506" xr:uid="{2E79FB4D-79B1-4849-9682-6F6DC7E595CB}"/>
    <cellStyle name="Incorrecto 53" xfId="2507" xr:uid="{597D0B5E-8814-48CF-98A2-D7B5860BF7E1}"/>
    <cellStyle name="Incorrecto 54" xfId="2508" xr:uid="{D380DA4C-669A-497B-885F-817EF0FFF20A}"/>
    <cellStyle name="Incorrecto 55" xfId="2509" xr:uid="{A38B0DF7-47B3-4313-A39E-19E99D7A9AC1}"/>
    <cellStyle name="Incorrecto 56" xfId="2510" xr:uid="{98A4DE0D-33C0-432E-8061-9D56F7188CEC}"/>
    <cellStyle name="Incorrecto 57" xfId="2511" xr:uid="{E5C25994-D9E9-4A72-A5A0-8BF04ABB7A21}"/>
    <cellStyle name="Incorrecto 58" xfId="2512" xr:uid="{70691112-6A2B-451E-B2FD-B990A830D2EC}"/>
    <cellStyle name="Incorrecto 59" xfId="2513" xr:uid="{EB4025B2-D072-4D99-A362-105EA11B82F7}"/>
    <cellStyle name="Incorrecto 6" xfId="399" xr:uid="{A5941267-A468-422E-8FEE-8899FDC429E9}"/>
    <cellStyle name="Incorrecto 6 2" xfId="12459" xr:uid="{FC861048-092C-420E-B6C2-C317E1F9BB08}"/>
    <cellStyle name="Incorrecto 60" xfId="2514" xr:uid="{3A67C763-285E-45F7-8FAD-91E13E674EF0}"/>
    <cellStyle name="Incorrecto 61" xfId="2515" xr:uid="{49ABA9D5-700D-4BAE-9B55-6E333099E7F3}"/>
    <cellStyle name="Incorrecto 62" xfId="2516" xr:uid="{FD0AFF58-596E-42C4-8244-D2818714A8BB}"/>
    <cellStyle name="Incorrecto 63" xfId="2517" xr:uid="{1FCF172E-DCFB-45C3-82C1-0C4BBCF5FB9F}"/>
    <cellStyle name="Incorrecto 64" xfId="2518" xr:uid="{18563A10-BAE3-4CF2-884E-1FCD68DE22AC}"/>
    <cellStyle name="Incorrecto 65" xfId="2519" xr:uid="{81B01EF4-A8F6-4AB0-9D2B-27F47CE1DF47}"/>
    <cellStyle name="Incorrecto 66" xfId="2520" xr:uid="{A1523B4A-2358-49F6-9B5A-3E021A9EF42C}"/>
    <cellStyle name="Incorrecto 67" xfId="2521" xr:uid="{328E68A1-B9CC-4699-BEF7-DE9DB5AE0156}"/>
    <cellStyle name="Incorrecto 68" xfId="536" xr:uid="{2030F785-9B0D-4293-BE8B-C920889CDBFA}"/>
    <cellStyle name="Incorrecto 7" xfId="400" xr:uid="{9107D95B-CA27-4032-8503-19EDA44071E3}"/>
    <cellStyle name="Incorrecto 8" xfId="2522" xr:uid="{04BDED5B-D90C-4564-BD75-53C5282FB020}"/>
    <cellStyle name="Incorrecto 9" xfId="2523" xr:uid="{4305F6B0-D9DE-490D-9BAC-5A56B48CE716}"/>
    <cellStyle name="Input" xfId="12192" xr:uid="{1748BC43-F20A-4728-B321-0C6202D9B404}"/>
    <cellStyle name="Input [yellow]" xfId="12193" xr:uid="{7137249D-C011-4700-B4EB-A4D0A3A4FD78}"/>
    <cellStyle name="Linked Cell" xfId="12194" xr:uid="{6D80AB57-AE27-4D25-8F91-86ED631D47C0}"/>
    <cellStyle name="Millares [0] 2" xfId="3521" xr:uid="{AEE9794E-1C73-4CDF-B18E-F3CC7140A750}"/>
    <cellStyle name="Millares [0] 2 2" xfId="13230" xr:uid="{A4037BB9-44EC-4DBE-B27C-C9DD55AF45AB}"/>
    <cellStyle name="Millares [0] 2 2 2" xfId="19951" xr:uid="{E1C5A734-A22B-4E5E-B877-E155D3D7A353}"/>
    <cellStyle name="Millares [0] 2 2 3" xfId="20784" xr:uid="{1021D0B3-3867-46BC-BDAF-AA50366E064E}"/>
    <cellStyle name="Millares 10" xfId="3517" xr:uid="{703A167F-C365-456E-A4FF-AE1C6DDE0942}"/>
    <cellStyle name="Millares 10 10" xfId="10242" xr:uid="{08E42CC1-D476-467B-894B-1484216C5119}"/>
    <cellStyle name="Millares 10 10 2" xfId="13909" xr:uid="{F23CC201-5F2E-428E-A05C-90CC0EF8FC6A}"/>
    <cellStyle name="Millares 10 11" xfId="11021" xr:uid="{D1C0C18A-B97F-4363-AF48-BA2DFEA431C5}"/>
    <cellStyle name="Millares 10 11 2" xfId="16070" xr:uid="{41DC29D0-C016-40B0-B4EA-D181C7832061}"/>
    <cellStyle name="Millares 10 11 3" xfId="20498" xr:uid="{A8CCF92C-0C10-4657-88B0-371CE7096EE4}"/>
    <cellStyle name="Millares 10 12" xfId="12195" xr:uid="{3446985E-3697-43B9-8671-715CF19965B9}"/>
    <cellStyle name="Millares 10 13" xfId="13402" xr:uid="{D56CDBBD-39E2-4427-860F-809B71AB3965}"/>
    <cellStyle name="Millares 10 14" xfId="12196" xr:uid="{2572B4E2-8557-45EA-A2AA-9AF61C3D510E}"/>
    <cellStyle name="Millares 10 15" xfId="12197" xr:uid="{8BB641B1-69CE-4E62-9C8D-C0B3647BB1C3}"/>
    <cellStyle name="Millares 10 16" xfId="13054" xr:uid="{61A9887E-5991-4145-B6E4-D77F63E06353}"/>
    <cellStyle name="Millares 10 17" xfId="13569" xr:uid="{3488C8D3-49F5-44EC-BADB-9A90F1AF2151}"/>
    <cellStyle name="Millares 10 18" xfId="13085" xr:uid="{ED2B0BFA-3DC0-4D5A-B384-A6496FD5EFF1}"/>
    <cellStyle name="Millares 10 19" xfId="11856" xr:uid="{1F21409F-DE49-40FE-81C5-A3A327BE159B}"/>
    <cellStyle name="Millares 10 2" xfId="4387" xr:uid="{6DE5186B-ACAB-48F0-9BEB-0F66E7448A40}"/>
    <cellStyle name="Millares 10 2 2" xfId="6094" xr:uid="{987A215E-2573-482F-A07D-7AAC93C88B71}"/>
    <cellStyle name="Millares 10 2 2 2" xfId="8833" xr:uid="{0F775804-EF5C-456C-AC74-8CBB0FBB80AB}"/>
    <cellStyle name="Millares 10 2 2 2 2" xfId="18885" xr:uid="{4B8D0DD6-F67B-4088-8F95-A0E0F9EE5BDC}"/>
    <cellStyle name="Millares 10 2 2 3" xfId="16341" xr:uid="{5454EC40-4D2F-4F69-A5B6-DFFF834005B0}"/>
    <cellStyle name="Millares 10 2 2 4" xfId="15281" xr:uid="{5FC07EDC-EB0C-449E-A1C4-5BB94DBFADF9}"/>
    <cellStyle name="Millares 10 2 3" xfId="6095" xr:uid="{BF54CE0A-671A-4BB2-BA90-C763CC85AF52}"/>
    <cellStyle name="Millares 10 2 3 2" xfId="9281" xr:uid="{8033745C-5126-4591-BDE3-A0111EDD5A54}"/>
    <cellStyle name="Millares 10 2 3 2 2" xfId="19333" xr:uid="{253D8EE2-0F6C-4D6A-9FAF-156EBBFE6478}"/>
    <cellStyle name="Millares 10 2 3 3" xfId="16784" xr:uid="{4BD77C8F-F385-40B3-BB21-CA7BA1991696}"/>
    <cellStyle name="Millares 10 2 3 4" xfId="14886" xr:uid="{D16C7FE2-936C-47B6-B8F4-F6CAD1434CCA}"/>
    <cellStyle name="Millares 10 2 4" xfId="6096" xr:uid="{27AEE195-5A40-4D6F-856E-4150A51389B9}"/>
    <cellStyle name="Millares 10 2 4 2" xfId="17388" xr:uid="{596635BE-5A6A-44E0-9B55-1BD83C13DB1E}"/>
    <cellStyle name="Millares 10 2 4 3" xfId="14793" xr:uid="{5B13F11A-BEDD-4FE7-A462-F86596463D5F}"/>
    <cellStyle name="Millares 10 2 5" xfId="6097" xr:uid="{8F34AF52-0956-4D4E-9160-79F8A37E7299}"/>
    <cellStyle name="Millares 10 2 5 2" xfId="17998" xr:uid="{916506F9-6F1A-4C6B-8CCA-48215E31D2EB}"/>
    <cellStyle name="Millares 10 2 5 3" xfId="14428" xr:uid="{049437CC-55AE-44EF-8511-CC9E40C7E938}"/>
    <cellStyle name="Millares 10 2 6" xfId="8405" xr:uid="{D7803BE6-527F-4377-BFE1-592E40F41FE6}"/>
    <cellStyle name="Millares 10 2 6 2" xfId="18457" xr:uid="{4C17AB7A-B01B-4093-9DCB-65DF73663185}"/>
    <cellStyle name="Millares 10 2 7" xfId="9874" xr:uid="{BEC7E092-FBEC-44C6-8191-50DD6FA5A9E3}"/>
    <cellStyle name="Millares 10 2 8" xfId="10403" xr:uid="{4DFF8671-C1E8-4B79-A494-A2685B501A7C}"/>
    <cellStyle name="Millares 10 2 9" xfId="11009" xr:uid="{114D1C89-87CE-42F4-8392-B3EE283A96E8}"/>
    <cellStyle name="Millares 10 2 9 2" xfId="16060" xr:uid="{20BAE50F-2625-4AF8-9970-E2D8B2581327}"/>
    <cellStyle name="Millares 10 2 9 3" xfId="20495" xr:uid="{9E10D9C0-FF1D-43DC-8772-469FADFD0D65}"/>
    <cellStyle name="Millares 10 20" xfId="13309" xr:uid="{DDD61320-D2B5-44BF-BFAE-1C77083ACFCD}"/>
    <cellStyle name="Millares 10 21" xfId="11010" xr:uid="{AAE5B6C5-5CE6-4DF6-875A-6B036ADB3C15}"/>
    <cellStyle name="Millares 10 22" xfId="13479" xr:uid="{0DB6729B-0B90-4026-8C48-8124CDFE5957}"/>
    <cellStyle name="Millares 10 23" xfId="12198" xr:uid="{049C6564-160A-40C2-AF4A-64B44A604CAC}"/>
    <cellStyle name="Millares 10 24" xfId="13627" xr:uid="{3988C3E4-4E63-44FC-9F61-3AAD576C8B7D}"/>
    <cellStyle name="Millares 10 3" xfId="4388" xr:uid="{60B8A76D-1A59-4612-86A9-1DAAA6D54C21}"/>
    <cellStyle name="Millares 10 3 2" xfId="6098" xr:uid="{816BCBE0-93D9-4B0F-9263-C2BF23230E6F}"/>
    <cellStyle name="Millares 10 3 2 2" xfId="8834" xr:uid="{FACBF722-3F53-4A4E-B525-3D4DD4AE638C}"/>
    <cellStyle name="Millares 10 3 2 2 2" xfId="18886" xr:uid="{72A85D6F-3D26-4882-9F9B-FB6AFBFA9C84}"/>
    <cellStyle name="Millares 10 3 2 3" xfId="16342" xr:uid="{D3E498A4-431F-441C-AE91-FC14058BA0B9}"/>
    <cellStyle name="Millares 10 3 2 4" xfId="15280" xr:uid="{F1CE6253-DB10-4C8F-B589-0EB35947EA12}"/>
    <cellStyle name="Millares 10 3 3" xfId="6099" xr:uid="{F27A5E36-685C-41B0-ADAE-8DC55328F44E}"/>
    <cellStyle name="Millares 10 3 3 2" xfId="9282" xr:uid="{81B1E004-6FDA-4AB1-8F80-E2E3B35B95BA}"/>
    <cellStyle name="Millares 10 3 3 2 2" xfId="19334" xr:uid="{55B12404-C074-42B6-AF2C-6EF62D9DD6FE}"/>
    <cellStyle name="Millares 10 3 3 3" xfId="16785" xr:uid="{F913D73F-3A30-4273-8F51-F58C57851C51}"/>
    <cellStyle name="Millares 10 3 3 4" xfId="14885" xr:uid="{29B4CE98-137A-4DCB-9F32-BDA7FD102D18}"/>
    <cellStyle name="Millares 10 3 4" xfId="6100" xr:uid="{E230DFEB-7F76-478A-A7AB-FC9BD04F0458}"/>
    <cellStyle name="Millares 10 3 4 2" xfId="17389" xr:uid="{74CF342E-5597-440F-80AE-67B740873D5D}"/>
    <cellStyle name="Millares 10 3 4 3" xfId="14792" xr:uid="{19A1D17F-1AF2-4C13-9DDF-DC06038939D5}"/>
    <cellStyle name="Millares 10 3 5" xfId="6101" xr:uid="{3C75866E-6A67-4137-9B00-117200E5481F}"/>
    <cellStyle name="Millares 10 3 5 2" xfId="17999" xr:uid="{77D20194-20B5-4A10-86FF-83B8AB731A0F}"/>
    <cellStyle name="Millares 10 3 5 3" xfId="14427" xr:uid="{F371BE94-708D-4F4B-8174-090EC623B13C}"/>
    <cellStyle name="Millares 10 3 6" xfId="8406" xr:uid="{F6D5D8A7-58F0-4E14-B9CC-E8527E123383}"/>
    <cellStyle name="Millares 10 3 6 2" xfId="18458" xr:uid="{A4C7E1F1-3B5B-4721-8D85-C447F37274F5}"/>
    <cellStyle name="Millares 10 3 7" xfId="9875" xr:uid="{5A76765F-88EE-4E21-AEEB-B984B4A2AFA8}"/>
    <cellStyle name="Millares 10 3 8" xfId="10404" xr:uid="{E86342BB-118B-4F4F-A108-4742C39CBAD3}"/>
    <cellStyle name="Millares 10 3 9" xfId="13600" xr:uid="{DD890F27-EC1B-4091-B340-099B1D8A712B}"/>
    <cellStyle name="Millares 10 3 9 2" xfId="16059" xr:uid="{EDEC3868-6EDB-44EA-B837-5750184219A7}"/>
    <cellStyle name="Millares 10 3 9 3" xfId="20804" xr:uid="{0BA1D936-B7BD-4559-B345-847CA3B14CF3}"/>
    <cellStyle name="Millares 10 4" xfId="6102" xr:uid="{F05DD4D5-5605-4A69-BA97-9C95A8B8F6C0}"/>
    <cellStyle name="Millares 10 4 2" xfId="6103" xr:uid="{FC0AA60D-E51A-4E59-957A-59DE5B3C0378}"/>
    <cellStyle name="Millares 10 4 2 2" xfId="17240" xr:uid="{811613C1-3BB0-469F-8CA7-F8BE4DEB70FA}"/>
    <cellStyle name="Millares 10 4 3" xfId="6104" xr:uid="{8D8CA5E5-3183-46E7-B5AE-B5AA59D6D743}"/>
    <cellStyle name="Millares 10 4 3 2" xfId="17852" xr:uid="{BE9AF0B2-7571-4492-8B7D-961A78541D7D}"/>
    <cellStyle name="Millares 10 4 4" xfId="8822" xr:uid="{C2EBE35B-CAC6-41FC-9C55-ABCD5CFDC06C}"/>
    <cellStyle name="Millares 10 4 4 2" xfId="18874" xr:uid="{870D3D3D-1682-449D-A35B-C12E6F840CCE}"/>
    <cellStyle name="Millares 10 4 5" xfId="9728" xr:uid="{B4EF3A81-E216-4496-8C0D-7B8E256D30FA}"/>
    <cellStyle name="Millares 10 4 6" xfId="10405" xr:uid="{AC81C3F4-84DA-423C-8DC8-5FFA1F7A5A9B}"/>
    <cellStyle name="Millares 10 4 7" xfId="11498" xr:uid="{6C749EF5-AF4D-4B51-A858-41C0FB1D5B97}"/>
    <cellStyle name="Millares 10 4 7 2" xfId="15291" xr:uid="{4C331135-5E80-45EF-87B2-A4D4E970E4C5}"/>
    <cellStyle name="Millares 10 4 7 3" xfId="20577" xr:uid="{C52AF9DF-05E3-4C77-B391-1B4E6C628345}"/>
    <cellStyle name="Millares 10 5" xfId="6105" xr:uid="{F5E452B2-7B36-47CD-996A-C99BA4E3697A}"/>
    <cellStyle name="Millares 10 5 2" xfId="9270" xr:uid="{7DACE9F8-83E4-446F-A39A-09C20E7BAD33}"/>
    <cellStyle name="Millares 10 5 2 2" xfId="19322" xr:uid="{7CF41B03-C39B-4B63-9F2B-1289B488A1AE}"/>
    <cellStyle name="Millares 10 5 3" xfId="13134" xr:uid="{32362875-7EAF-4E02-904C-E75658463A86}"/>
    <cellStyle name="Millares 10 5 3 2" xfId="16773" xr:uid="{28BA58EA-E8FA-4743-88AE-E9FAF3EA92CB}"/>
    <cellStyle name="Millares 10 5 3 3" xfId="20774" xr:uid="{46FE4C8D-CAF8-4B7B-8090-457AE7D270D6}"/>
    <cellStyle name="Millares 10 5 4" xfId="14896" xr:uid="{743FE464-413E-4222-97D6-DFE32B26A881}"/>
    <cellStyle name="Millares 10 6" xfId="6106" xr:uid="{0DE65D48-C08F-4FB1-9444-99D835B732C8}"/>
    <cellStyle name="Millares 10 6 2" xfId="13711" xr:uid="{7C66EC2C-8FB5-47A7-A9AF-A1065764040F}"/>
    <cellStyle name="Millares 10 6 2 2" xfId="17092" xr:uid="{D3BFFA42-39B8-4E33-B9ED-AC76D15E3D0F}"/>
    <cellStyle name="Millares 10 6 2 3" xfId="20809" xr:uid="{1DFD8FD4-B2F6-4B8B-ABF5-C8BCFB2FC1C4}"/>
    <cellStyle name="Millares 10 6 3" xfId="15597" xr:uid="{9C538CA8-1679-4084-B46A-137C103EC35B}"/>
    <cellStyle name="Millares 10 7" xfId="6107" xr:uid="{C2713AE5-7BEB-487C-BB52-4B1DF028F6E1}"/>
    <cellStyle name="Millares 10 7 2" xfId="13910" xr:uid="{F3398003-978D-45F7-9DD8-FB93B19D3EE9}"/>
    <cellStyle name="Millares 10 7 2 2" xfId="17697" xr:uid="{63D99CF8-5A41-41E0-A9BE-F89AFA86B06A}"/>
    <cellStyle name="Millares 10 7 2 3" xfId="20823" xr:uid="{BAAC3D72-432F-480B-ABF6-8A6A418EBB5F}"/>
    <cellStyle name="Millares 10 7 3" xfId="14020" xr:uid="{3DFE5448-F756-499F-A96B-5E01B70956E4}"/>
    <cellStyle name="Millares 10 8" xfId="8394" xr:uid="{8882A011-2F4E-4151-AEA8-7D752AA798E2}"/>
    <cellStyle name="Millares 10 8 2" xfId="11857" xr:uid="{DB0F15B3-62E0-4988-8288-085A297A9717}"/>
    <cellStyle name="Millares 10 8 2 2" xfId="18446" xr:uid="{E878F747-FC6E-4D19-B5FA-8B3D3FB66F23}"/>
    <cellStyle name="Millares 10 8 2 3" xfId="20629" xr:uid="{2A45F2F6-2EA6-43E9-8280-2995F251AB3A}"/>
    <cellStyle name="Millares 10 9" xfId="9580" xr:uid="{9E1A5BEF-21F2-41C0-899F-F64ECC5B0627}"/>
    <cellStyle name="Millares 10 9 2" xfId="12199" xr:uid="{F37FD567-42BD-4B2E-8D9E-ADF09762AD76}"/>
    <cellStyle name="Millares 100" xfId="6108" xr:uid="{8283D792-C593-4E00-B656-DA23975B79AA}"/>
    <cellStyle name="Millares 100 2" xfId="17088" xr:uid="{7205956F-6F71-4D87-98A0-E10C76AFEA09}"/>
    <cellStyle name="Millares 101" xfId="6109" xr:uid="{B898E6FA-A5D9-4827-B534-E8171C49367C}"/>
    <cellStyle name="Millares 101 2" xfId="17090" xr:uid="{E3EBF8DA-5DB9-410C-8C52-845270B25649}"/>
    <cellStyle name="Millares 102" xfId="6110" xr:uid="{6CD813DE-A85C-4344-9700-F5178EF6BD90}"/>
    <cellStyle name="Millares 102 2" xfId="17385" xr:uid="{EDC0151D-FB03-4943-A05A-36F7E435A355}"/>
    <cellStyle name="Millares 103" xfId="6111" xr:uid="{C05BA876-BF8B-40C1-B6BC-3A82421D6642}"/>
    <cellStyle name="Millares 103 2" xfId="17679" xr:uid="{EF48E33E-13FF-4B97-B76F-726B0442C755}"/>
    <cellStyle name="Millares 104" xfId="6112" xr:uid="{168B8193-F828-4D62-895F-0FC028E26572}"/>
    <cellStyle name="Millares 104 2" xfId="17089" xr:uid="{970F3D0F-0D7F-49B7-B208-3997CB24FC4D}"/>
    <cellStyle name="Millares 105" xfId="6113" xr:uid="{2ECFC151-57FE-49CD-9C1A-DE65F7A38340}"/>
    <cellStyle name="Millares 105 2" xfId="17091" xr:uid="{F8BD3540-9730-44AD-8A8E-22EC0C4D52F8}"/>
    <cellStyle name="Millares 106" xfId="6114" xr:uid="{C2564F9B-44EC-48DA-BF9A-F25C1138BC1F}"/>
    <cellStyle name="Millares 106 2" xfId="17666" xr:uid="{51AB2B97-A4E2-49ED-A954-47C33706B6A8}"/>
    <cellStyle name="Millares 107" xfId="6115" xr:uid="{D9F8D211-A679-4151-BE50-DA2B4157830C}"/>
    <cellStyle name="Millares 107 2" xfId="17663" xr:uid="{E30E9F6E-9E70-4D17-9255-AAA017FE4D12}"/>
    <cellStyle name="Millares 108" xfId="6116" xr:uid="{59F5BE07-6632-4988-AD0E-EF6C956792F6}"/>
    <cellStyle name="Millares 108 2" xfId="17086" xr:uid="{0D323D50-029E-42DB-AE7E-2BD90D585EC5}"/>
    <cellStyle name="Millares 109" xfId="6117" xr:uid="{00BE22A6-7A19-47EF-A195-7C6140A78F5B}"/>
    <cellStyle name="Millares 109 2" xfId="17083" xr:uid="{693304F8-AFD5-4C87-9FDD-2A970F005212}"/>
    <cellStyle name="Millares 11" xfId="3529" xr:uid="{126CAAC0-2D41-46BD-9D85-A02F705D1338}"/>
    <cellStyle name="Millares 11 10" xfId="12200" xr:uid="{BC6CC072-C275-493A-B508-420F76D30749}"/>
    <cellStyle name="Millares 11 11" xfId="13135" xr:uid="{4BFBB1EB-AACE-4672-BC49-7D7EC4B74C70}"/>
    <cellStyle name="Millares 11 12" xfId="12460" xr:uid="{EDDFB849-F680-41A7-9F59-5F765ECFD149}"/>
    <cellStyle name="Millares 11 13" xfId="13712" xr:uid="{2A936AFD-F023-47C0-9692-9245AC6AD8AA}"/>
    <cellStyle name="Millares 11 14" xfId="13911" xr:uid="{FA5E433D-4008-43F1-A6D3-226D3BB4ECA9}"/>
    <cellStyle name="Millares 11 15" xfId="12201" xr:uid="{9AEE12A4-ABF7-4FA4-B494-ADB71D0198D1}"/>
    <cellStyle name="Millares 11 16" xfId="12202" xr:uid="{68023D7F-93F4-47DD-9210-A98C02770B2B}"/>
    <cellStyle name="Millares 11 17" xfId="11499" xr:uid="{F63C9ED6-E687-4C45-950F-D4A7674B8201}"/>
    <cellStyle name="Millares 11 18" xfId="13229" xr:uid="{A190098E-FCE4-4895-A11E-8DB9E5A3A500}"/>
    <cellStyle name="Millares 11 19" xfId="13365" xr:uid="{0378788A-74BD-4161-9A97-A78D2FECCD6A}"/>
    <cellStyle name="Millares 11 2" xfId="4389" xr:uid="{2ECCED8E-05EA-492E-9F5D-E67F8913FCF5}"/>
    <cellStyle name="Millares 11 2 2" xfId="6118" xr:uid="{BF814745-7548-41AA-8CA8-92C174344E47}"/>
    <cellStyle name="Millares 11 2 2 2" xfId="8835" xr:uid="{5C1852AF-702D-4FCF-9696-9F7119235BDF}"/>
    <cellStyle name="Millares 11 2 2 2 2" xfId="18887" xr:uid="{1616D0C2-1824-444A-9501-9552222C10C2}"/>
    <cellStyle name="Millares 11 2 2 3" xfId="16343" xr:uid="{A1667D5B-7B03-4DEA-82F2-0B16FBC76755}"/>
    <cellStyle name="Millares 11 2 2 4" xfId="15279" xr:uid="{69D69411-1B2D-49B6-9664-E8AA19F02AD3}"/>
    <cellStyle name="Millares 11 2 3" xfId="6119" xr:uid="{AC755D47-0619-46C7-87F1-26F2048C03CB}"/>
    <cellStyle name="Millares 11 2 3 2" xfId="9283" xr:uid="{13E86D60-9C02-452D-AB5E-0AAB4C33EDC7}"/>
    <cellStyle name="Millares 11 2 3 2 2" xfId="19335" xr:uid="{DFAE6764-EAC7-4854-80D9-677960D7BAEA}"/>
    <cellStyle name="Millares 11 2 3 3" xfId="16786" xr:uid="{795F4173-D849-4581-83E8-7E036B401162}"/>
    <cellStyle name="Millares 11 2 3 4" xfId="14884" xr:uid="{5E7BA1D5-0DA4-4BDE-92B1-B61B3FA36AE2}"/>
    <cellStyle name="Millares 11 2 4" xfId="6120" xr:uid="{E28F3631-71D5-44CD-BA91-49478A491F20}"/>
    <cellStyle name="Millares 11 2 4 2" xfId="17241" xr:uid="{2CEE047A-B839-4A60-B1EE-14AAA88D2C9E}"/>
    <cellStyle name="Millares 11 2 4 3" xfId="15491" xr:uid="{1120183E-F1D8-4A5E-8188-3F324E020E7E}"/>
    <cellStyle name="Millares 11 2 5" xfId="6121" xr:uid="{007598E3-A51D-4E9F-9D4F-14A7F69FAE37}"/>
    <cellStyle name="Millares 11 2 5 2" xfId="17853" xr:uid="{C3E34CBF-AC7C-490E-AB4A-56FC2F5337AE}"/>
    <cellStyle name="Millares 11 2 5 3" xfId="14439" xr:uid="{E0E9776D-F1E2-4A1E-8529-3BF817A866C5}"/>
    <cellStyle name="Millares 11 2 6" xfId="8407" xr:uid="{7ABB57FA-A5A3-444C-9E2E-3746F250F85C}"/>
    <cellStyle name="Millares 11 2 6 2" xfId="18459" xr:uid="{AE40A4DF-C0A4-4269-B494-F4E65DFF39B0}"/>
    <cellStyle name="Millares 11 2 7" xfId="9729" xr:uid="{AF04E02E-5AAD-4FEA-A133-471262F25CAB}"/>
    <cellStyle name="Millares 11 2 8" xfId="10406" xr:uid="{0819FDC1-8D34-466C-BABE-E5F14690354C}"/>
    <cellStyle name="Millares 11 2 9" xfId="15427" xr:uid="{5C8F575A-8248-4E84-BFDD-563BD73FC106}"/>
    <cellStyle name="Millares 11 20" xfId="13912" xr:uid="{29F93AA8-50BB-448A-86D6-DDB579EB7D91}"/>
    <cellStyle name="Millares 11 21" xfId="12203" xr:uid="{2249FEA4-52E3-4B2D-9B70-71DA34F4333F}"/>
    <cellStyle name="Millares 11 22" xfId="13401" xr:uid="{5A190B38-5A7D-4EA4-A1B9-3F34BA536302}"/>
    <cellStyle name="Millares 11 23" xfId="12204" xr:uid="{C0E23440-5C8F-40A0-99BF-3B8052CF081D}"/>
    <cellStyle name="Millares 11 24" xfId="12205" xr:uid="{5592D866-DCDA-40F3-A50A-F67F8F394E58}"/>
    <cellStyle name="Millares 11 3" xfId="6122" xr:uid="{40E78FE2-9E41-4188-8BE2-5DBA4E55E302}"/>
    <cellStyle name="Millares 11 3 2" xfId="12461" xr:uid="{10FA9DAC-9470-4118-9B51-2EF3DFC6650B}"/>
    <cellStyle name="Millares 11 3 2 2" xfId="20469" xr:uid="{9A471975-5059-4D98-BAD8-E3607C8FF720}"/>
    <cellStyle name="Millares 11 3 2 3" xfId="20686" xr:uid="{FF55C404-DAC8-4CF3-8A17-8F844D71D229}"/>
    <cellStyle name="Millares 11 4" xfId="6123" xr:uid="{23494486-B5B2-4D83-B0AC-07A19333A740}"/>
    <cellStyle name="Millares 11 4 2" xfId="10149" xr:uid="{78EE19E6-647E-4E2E-8DBF-9193B08DDA71}"/>
    <cellStyle name="Millares 11 4 2 2" xfId="19661" xr:uid="{20F41712-2170-4536-A078-987C64552602}"/>
    <cellStyle name="Millares 11 4 3" xfId="10893" xr:uid="{33D02D2D-A9BC-4327-B144-53291A9FF9BE}"/>
    <cellStyle name="Millares 11 4 4" xfId="13053" xr:uid="{874F3BFF-9C43-46C2-8A39-CCA34BDF6D0C}"/>
    <cellStyle name="Millares 11 4 4 2" xfId="17093" xr:uid="{E14BDFE4-3AEA-49B2-AA9E-F3491948359A}"/>
    <cellStyle name="Millares 11 4 4 3" xfId="20771" xr:uid="{4B0C9414-0D2F-44D3-8B09-124898F57C10}"/>
    <cellStyle name="Millares 11 5" xfId="6124" xr:uid="{7CD9F6E6-83A2-4F5B-869A-16D72E0ADB8E}"/>
    <cellStyle name="Millares 11 5 2" xfId="10980" xr:uid="{CA6167C1-AE17-440E-8AB5-CF275F2CE41F}"/>
    <cellStyle name="Millares 11 5 2 2" xfId="17698" xr:uid="{064DA6A3-1A2C-4CF8-BFB7-DB7BFBEFBB91}"/>
    <cellStyle name="Millares 11 5 2 3" xfId="20492" xr:uid="{71CE7002-8710-4B73-B162-1F634826D7F3}"/>
    <cellStyle name="Millares 11 6" xfId="9581" xr:uid="{053616D5-3A6D-40DC-A0BD-1B62E655775E}"/>
    <cellStyle name="Millares 11 6 2" xfId="13570" xr:uid="{80E52AA5-8A41-4DBA-90AC-79E1699BF51A}"/>
    <cellStyle name="Millares 11 7" xfId="13804" xr:uid="{D5989FA2-5FFE-407A-94DB-9185B27CC006}"/>
    <cellStyle name="Millares 11 8" xfId="11187" xr:uid="{49E7C112-810C-45CA-BBFD-6D8A5E722127}"/>
    <cellStyle name="Millares 11 9" xfId="13805" xr:uid="{CB2587D5-06F6-4740-AA3A-8DD7C5E45175}"/>
    <cellStyle name="Millares 110" xfId="6125" xr:uid="{8ED417BF-630B-4D49-B335-911862435EC4}"/>
    <cellStyle name="Millares 110 2" xfId="17078" xr:uid="{44E1FC13-6265-4C2B-87CF-A9E1B5E39721}"/>
    <cellStyle name="Millares 111" xfId="6126" xr:uid="{D3387558-9891-4193-BB8E-D8CADD458313}"/>
    <cellStyle name="Millares 111 2" xfId="17386" xr:uid="{219B8509-E9F7-4881-A676-97B346341B2B}"/>
    <cellStyle name="Millares 112" xfId="6127" xr:uid="{80BE92D2-89F5-4C08-A9C7-8BC0B87DAEB7}"/>
    <cellStyle name="Millares 112 2" xfId="17087" xr:uid="{A8FE21E8-30FA-4F97-B33E-53424C3A932E}"/>
    <cellStyle name="Millares 113" xfId="6089" xr:uid="{B31A781C-8195-4B1D-B6F2-F82A213B40D0}"/>
    <cellStyle name="Millares 113 2" xfId="17667" xr:uid="{CD01CB15-3BE8-45D1-B39A-5F40DFEF07D9}"/>
    <cellStyle name="Millares 114" xfId="6128" xr:uid="{00488204-7D6A-4D08-87C2-4CEA8A776520}"/>
    <cellStyle name="Millares 114 2" xfId="17079" xr:uid="{5C34C33B-8F27-462E-AD8E-8C7C3D658A01}"/>
    <cellStyle name="Millares 115" xfId="6129" xr:uid="{C0968C02-3417-40E2-9A41-045DB09D3006}"/>
    <cellStyle name="Millares 115 2" xfId="17114" xr:uid="{FB65D4D8-FF15-4B17-84B9-FA9CD7009F30}"/>
    <cellStyle name="Millares 116" xfId="6130" xr:uid="{FB4E04DF-D549-42F8-BD41-22A753AEAD58}"/>
    <cellStyle name="Millares 116 2" xfId="17084" xr:uid="{624B9556-976D-4DC2-A735-35A278665027}"/>
    <cellStyle name="Millares 117" xfId="6131" xr:uid="{B78D3B70-6A96-491D-B5CD-7380D68A1989}"/>
    <cellStyle name="Millares 117 2" xfId="17384" xr:uid="{D8E29E15-2F2D-42D2-8D74-89A31E78EECA}"/>
    <cellStyle name="Millares 118" xfId="6132" xr:uid="{DF5F0BFA-BEDF-4C57-B148-51661711A2CF}"/>
    <cellStyle name="Millares 118 2" xfId="17678" xr:uid="{8CA4309A-C5F1-41DF-B86A-B3E764199D8C}"/>
    <cellStyle name="Millares 119" xfId="6133" xr:uid="{CAEE597A-2DFB-4C9B-B423-B186C29F1F98}"/>
    <cellStyle name="Millares 119 2" xfId="17082" xr:uid="{EDF99290-F5F4-4848-A508-4C971E4A17E9}"/>
    <cellStyle name="Millares 12" xfId="2524" xr:uid="{36F542D8-A952-415E-8F56-2933EC656E81}"/>
    <cellStyle name="Millares 12 10" xfId="10243" xr:uid="{79B58869-8C8D-4793-A158-439687DB9626}"/>
    <cellStyle name="Millares 12 10 2" xfId="12985" xr:uid="{EC2FD6E4-C4F0-4FAB-8203-CFFC38157464}"/>
    <cellStyle name="Millares 12 11" xfId="13000" xr:uid="{E62EF430-2EA5-4281-B4CD-2E4FA2B5DA82}"/>
    <cellStyle name="Millares 12 11 2" xfId="16190" xr:uid="{0E841B40-02E9-4B0C-812D-2384747C2F16}"/>
    <cellStyle name="Millares 12 11 3" xfId="20761" xr:uid="{D90B86B3-52F4-4649-BCF7-4AB5BE2688CD}"/>
    <cellStyle name="Millares 12 12" xfId="12993" xr:uid="{B663D819-216E-49B7-83D1-7C8D3B2DD73C}"/>
    <cellStyle name="Millares 12 13" xfId="11233" xr:uid="{09D34A58-79F2-4B3A-A80F-ACA59442B4C8}"/>
    <cellStyle name="Millares 12 14" xfId="12508" xr:uid="{0D032C22-FABB-4405-A510-F2F60338D213}"/>
    <cellStyle name="Millares 12 15" xfId="11458" xr:uid="{0E6B99E6-B954-4F2E-A909-2D9F5A00D4CA}"/>
    <cellStyle name="Millares 12 16" xfId="11295" xr:uid="{95CA519B-8529-4811-BE8C-39542DE45F8A}"/>
    <cellStyle name="Millares 12 17" xfId="12613" xr:uid="{B50273AE-F907-4F7C-973B-6ED7E357A3B7}"/>
    <cellStyle name="Millares 12 18" xfId="13839" xr:uid="{C1CB2D3C-744D-4E1B-8B23-375638207F59}"/>
    <cellStyle name="Millares 12 19" xfId="12994" xr:uid="{E7167B13-8D99-447F-BBD4-AE270864055D}"/>
    <cellStyle name="Millares 12 2" xfId="4390" xr:uid="{3A87EADD-9CBC-4F2F-9920-6119D821FD07}"/>
    <cellStyle name="Millares 12 2 2" xfId="6134" xr:uid="{391A43F6-DDA1-4C39-B925-4C4759B1A594}"/>
    <cellStyle name="Millares 12 2 2 2" xfId="8836" xr:uid="{21986297-FF3B-474C-9F22-09038C9DB005}"/>
    <cellStyle name="Millares 12 2 2 2 2" xfId="18888" xr:uid="{CA262145-8A92-4F07-B576-413E1840267A}"/>
    <cellStyle name="Millares 12 2 2 3" xfId="16344" xr:uid="{D0039214-F8BC-408F-99D5-4CD1FBDDF7CF}"/>
    <cellStyle name="Millares 12 2 2 4" xfId="15278" xr:uid="{0760C8D3-40DD-4B4D-A181-1C003B7B86B4}"/>
    <cellStyle name="Millares 12 2 3" xfId="6135" xr:uid="{3C15B387-0B8F-4399-A84A-49D4792959EC}"/>
    <cellStyle name="Millares 12 2 3 2" xfId="9284" xr:uid="{B703D053-D1C1-4D3C-AAE9-CF61889B0D77}"/>
    <cellStyle name="Millares 12 2 3 2 2" xfId="19336" xr:uid="{8C44D099-AB43-44CC-956C-173548596B60}"/>
    <cellStyle name="Millares 12 2 3 3" xfId="16787" xr:uid="{CDB0124C-A2F3-42FF-B454-94213B299504}"/>
    <cellStyle name="Millares 12 2 3 4" xfId="14883" xr:uid="{DB49C665-E601-46B9-9A7B-036A7964352E}"/>
    <cellStyle name="Millares 12 2 4" xfId="6136" xr:uid="{20C1867B-33B9-4577-BF4A-6D34CDFA425C}"/>
    <cellStyle name="Millares 12 2 4 2" xfId="17390" xr:uid="{FD431EE6-ADDA-48BD-A903-80660AF6C71A}"/>
    <cellStyle name="Millares 12 2 4 3" xfId="14791" xr:uid="{25E5BC21-5FDE-4B6B-BAF6-F545D7640422}"/>
    <cellStyle name="Millares 12 2 5" xfId="6137" xr:uid="{D34F8C46-FCBD-49A9-BC6C-D9CB32F7C919}"/>
    <cellStyle name="Millares 12 2 5 2" xfId="18000" xr:uid="{CFC29E93-8295-4E19-A96F-ECFF047ED59D}"/>
    <cellStyle name="Millares 12 2 5 3" xfId="14426" xr:uid="{50C97BF6-76DA-41CC-B282-F67ACAD2E710}"/>
    <cellStyle name="Millares 12 2 6" xfId="8408" xr:uid="{6904C7BD-BA8C-4DB8-B2D5-1B7F80310425}"/>
    <cellStyle name="Millares 12 2 6 2" xfId="18460" xr:uid="{02E50292-4BE7-4006-90A6-6EF6E67108A8}"/>
    <cellStyle name="Millares 12 2 7" xfId="9876" xr:uid="{E90C5E6A-DC60-4F03-855A-8107A0C92C61}"/>
    <cellStyle name="Millares 12 2 8" xfId="10407" xr:uid="{2872980D-5979-4520-AAAD-9F02D6C7ABA4}"/>
    <cellStyle name="Millares 12 2 9" xfId="11366" xr:uid="{A852CE89-4D01-4752-AC48-37A1E4A12B50}"/>
    <cellStyle name="Millares 12 2 9 2" xfId="16058" xr:uid="{E4243F27-EC7B-454A-8122-A7490A9671A0}"/>
    <cellStyle name="Millares 12 2 9 3" xfId="20553" xr:uid="{A69E812D-01D2-4CD8-885B-4A9656C6193C}"/>
    <cellStyle name="Millares 12 20" xfId="12475" xr:uid="{BE671066-E4E7-4C64-B61D-8B9A3796CF37}"/>
    <cellStyle name="Millares 12 21" xfId="11240" xr:uid="{75216D3C-3593-4537-BA73-F0E8905204CE}"/>
    <cellStyle name="Millares 12 22" xfId="11450" xr:uid="{2DFD8247-4784-4B9A-B8B0-1F75F7B85E2F}"/>
    <cellStyle name="Millares 12 23" xfId="11756" xr:uid="{4485CEE3-3E78-4407-82C5-DBFF0FD9ECA7}"/>
    <cellStyle name="Millares 12 24" xfId="13539" xr:uid="{429B8C8B-2EA8-4A07-80A4-B08BD936171D}"/>
    <cellStyle name="Millares 12 3" xfId="4391" xr:uid="{87157440-5714-493A-868D-194F66B0B208}"/>
    <cellStyle name="Millares 12 3 2" xfId="6138" xr:uid="{FD7A3790-1946-47C8-8C37-5F7E1FE06E78}"/>
    <cellStyle name="Millares 12 3 2 2" xfId="8837" xr:uid="{E27404EC-D3E5-469E-A44A-23AF037AE1AE}"/>
    <cellStyle name="Millares 12 3 2 2 2" xfId="18889" xr:uid="{856DFFEF-EF9C-465F-B2E3-8572CE0C54B6}"/>
    <cellStyle name="Millares 12 3 2 3" xfId="16345" xr:uid="{71C0B412-3315-4B73-8BE6-3D8B6CFD037C}"/>
    <cellStyle name="Millares 12 3 2 4" xfId="15277" xr:uid="{8E2F26D6-3AF9-4251-9B2B-F5B93414CC73}"/>
    <cellStyle name="Millares 12 3 3" xfId="6139" xr:uid="{BE16BA5E-9180-41D6-9606-A55C73316C62}"/>
    <cellStyle name="Millares 12 3 3 2" xfId="9285" xr:uid="{51D61439-D4BA-4415-89DF-BEE2CC88FF73}"/>
    <cellStyle name="Millares 12 3 3 2 2" xfId="19337" xr:uid="{21398382-5CEA-477C-BE96-4BFA6100F9A0}"/>
    <cellStyle name="Millares 12 3 3 3" xfId="16788" xr:uid="{96B27096-2789-4347-8B78-1086B4F94CE0}"/>
    <cellStyle name="Millares 12 3 3 4" xfId="14882" xr:uid="{9BCB81B3-2D97-4FF5-B377-3E294F3F4B5A}"/>
    <cellStyle name="Millares 12 3 4" xfId="6140" xr:uid="{7A7EF1EE-E8F8-4F60-A604-A627BEC3C2C3}"/>
    <cellStyle name="Millares 12 3 4 2" xfId="17391" xr:uid="{9DDE4E98-F9EE-43B6-BE79-8FCAFA9952C7}"/>
    <cellStyle name="Millares 12 3 4 3" xfId="14790" xr:uid="{6F5A2A67-B6BF-445B-A6DA-8F22ECF00CBE}"/>
    <cellStyle name="Millares 12 3 5" xfId="6141" xr:uid="{3AB0E86A-F972-45C1-8A12-E62A27F7AA8B}"/>
    <cellStyle name="Millares 12 3 5 2" xfId="18001" xr:uid="{ABA39432-B4E9-475C-B026-ADAC71E738B1}"/>
    <cellStyle name="Millares 12 3 5 3" xfId="14425" xr:uid="{1763F666-9DDE-49FD-A978-FBFFDDABF661}"/>
    <cellStyle name="Millares 12 3 6" xfId="8409" xr:uid="{56178832-749F-4828-ABED-812C086C9C62}"/>
    <cellStyle name="Millares 12 3 6 2" xfId="18461" xr:uid="{758025E1-8120-426F-BDCE-D2258837322B}"/>
    <cellStyle name="Millares 12 3 7" xfId="9877" xr:uid="{DF8A1D02-8F08-4EB2-98CA-2A0306CC7853}"/>
    <cellStyle name="Millares 12 3 8" xfId="10408" xr:uid="{AB3858C2-B7F8-466C-B37F-C501EB0E4E9F}"/>
    <cellStyle name="Millares 12 3 9" xfId="13166" xr:uid="{26CE4168-F0BD-42CC-B98E-6656229A93AF}"/>
    <cellStyle name="Millares 12 3 9 2" xfId="16057" xr:uid="{15C43516-5E97-45F9-A442-1E4104B92430}"/>
    <cellStyle name="Millares 12 3 9 3" xfId="20782" xr:uid="{BAF42CEF-C7C3-4AEF-B84C-BE1095BBC059}"/>
    <cellStyle name="Millares 12 4" xfId="6142" xr:uid="{D0ED0136-8F6D-45B4-B74C-D32AAD53BF8A}"/>
    <cellStyle name="Millares 12 4 2" xfId="6143" xr:uid="{A65ADB6E-06FC-4867-9BCC-1EFC6FC82D35}"/>
    <cellStyle name="Millares 12 4 2 2" xfId="17242" xr:uid="{99F95C6F-0E6D-4050-87BD-12DD98CAF2DF}"/>
    <cellStyle name="Millares 12 4 3" xfId="6144" xr:uid="{E2BA4058-05E0-4459-865B-48E37552A514}"/>
    <cellStyle name="Millares 12 4 3 2" xfId="17854" xr:uid="{0423CBCA-65D8-42C2-867D-94CAF43D74D9}"/>
    <cellStyle name="Millares 12 4 4" xfId="8694" xr:uid="{F2AE267D-F5A6-4BAE-92F7-4D6CF9E672E2}"/>
    <cellStyle name="Millares 12 4 4 2" xfId="18746" xr:uid="{0A0E93AA-86B4-4471-9161-98B95F6C105C}"/>
    <cellStyle name="Millares 12 4 5" xfId="9730" xr:uid="{996F2186-E37D-4F2A-83B3-09849C4E1F20}"/>
    <cellStyle name="Millares 12 4 6" xfId="10409" xr:uid="{D947AB8F-E816-4E4B-A373-1F524D277869}"/>
    <cellStyle name="Millares 12 4 7" xfId="12583" xr:uid="{CB88DD4E-B40F-4D51-A25D-D17952C0C22D}"/>
    <cellStyle name="Millares 12 4 7 2" xfId="15389" xr:uid="{F6CAA691-7B19-48A5-BF8A-5E703840EDA6}"/>
    <cellStyle name="Millares 12 4 7 3" xfId="20709" xr:uid="{59AA92E6-79C0-4F12-A40A-1834B4586898}"/>
    <cellStyle name="Millares 12 5" xfId="6145" xr:uid="{D07107D0-0906-4E39-94EC-42F99D50101D}"/>
    <cellStyle name="Millares 12 5 2" xfId="9142" xr:uid="{30E3C8AC-37AA-4F4F-9DCE-D6A7FC904E9D}"/>
    <cellStyle name="Millares 12 5 2 2" xfId="19194" xr:uid="{537CCFD1-DACB-462C-8303-9A5915661E6B}"/>
    <cellStyle name="Millares 12 5 3" xfId="12467" xr:uid="{8F729502-7C24-4734-A614-3EF900E38978}"/>
    <cellStyle name="Millares 12 5 3 2" xfId="16644" xr:uid="{71B2B73A-8BB9-4E2C-AD9C-992B44BCC425}"/>
    <cellStyle name="Millares 12 5 3 3" xfId="20687" xr:uid="{D7F95106-1AFE-4448-B1C3-871BD6E6B86E}"/>
    <cellStyle name="Millares 12 5 4" xfId="15003" xr:uid="{5D4283B3-9CF5-4960-B651-FE3D9DC35333}"/>
    <cellStyle name="Millares 12 6" xfId="6146" xr:uid="{7FA67411-E676-4A4C-9F61-AED91B0751A2}"/>
    <cellStyle name="Millares 12 6 2" xfId="11719" xr:uid="{190653DD-EE8E-4136-921D-0875286F93CD}"/>
    <cellStyle name="Millares 12 6 2 2" xfId="17094" xr:uid="{5CAFB0D5-5FF1-4FCB-947A-65024B972285}"/>
    <cellStyle name="Millares 12 6 2 3" xfId="20593" xr:uid="{B4D3B8AC-7502-40ED-B4EB-05835ECFF683}"/>
    <cellStyle name="Millares 12 6 3" xfId="15596" xr:uid="{A5A16577-3C89-45AC-86AE-7C2EC1E959D3}"/>
    <cellStyle name="Millares 12 7" xfId="6147" xr:uid="{366EB914-AAA1-4055-A527-3E59E5F12891}"/>
    <cellStyle name="Millares 12 7 2" xfId="11302" xr:uid="{71CC03D7-A036-41C6-A3DA-272DC0001D01}"/>
    <cellStyle name="Millares 12 7 2 2" xfId="17699" xr:uid="{D59391F7-DD86-41FE-A931-ED71278150DD}"/>
    <cellStyle name="Millares 12 7 2 3" xfId="20536" xr:uid="{10DAEEEA-8E5B-4F64-8370-49A58F253720}"/>
    <cellStyle name="Millares 12 7 3" xfId="14546" xr:uid="{351AAEE1-9E36-47B0-B061-8F31C41BF555}"/>
    <cellStyle name="Millares 12 8" xfId="8266" xr:uid="{02A9024E-0171-4CF9-8538-73687F4F8DD5}"/>
    <cellStyle name="Millares 12 8 2" xfId="12494" xr:uid="{77B7BB5B-E60B-4917-B16B-927C26C6F5C1}"/>
    <cellStyle name="Millares 12 8 2 2" xfId="18318" xr:uid="{AB0D555D-52AE-4ECB-8B95-4EBFAA211A38}"/>
    <cellStyle name="Millares 12 8 2 3" xfId="20697" xr:uid="{40021E1E-DA88-42F1-8785-B548C741AEDC}"/>
    <cellStyle name="Millares 12 9" xfId="9582" xr:uid="{D551AEFF-8B6C-4810-8C70-73BBB5AF914B}"/>
    <cellStyle name="Millares 12 9 2" xfId="12476" xr:uid="{F9B51D9C-DC94-4E38-B50F-AEB5369A729F}"/>
    <cellStyle name="Millares 120" xfId="6148" xr:uid="{0F012FDB-D04D-42C8-BA9F-E959DE4E5DCC}"/>
    <cellStyle name="Millares 120 2" xfId="17676" xr:uid="{66BF5462-AF07-426D-A025-A54FABD19705}"/>
    <cellStyle name="Millares 121" xfId="6149" xr:uid="{92284AD9-8244-423E-9B15-B0EA46B88974}"/>
    <cellStyle name="Millares 121 2" xfId="17387" xr:uid="{CABE7228-FFE2-4846-85D3-E9F79C50FEA5}"/>
    <cellStyle name="Millares 122" xfId="6150" xr:uid="{2F2B0EA5-299C-4B04-9D82-73E4DA7FF8B1}"/>
    <cellStyle name="Millares 122 2" xfId="17688" xr:uid="{9F845B80-87A1-4CCB-B49B-2CA206365446}"/>
    <cellStyle name="Millares 123" xfId="6151" xr:uid="{75F49E54-6DED-4787-AEC0-9D6C9EDDE88F}"/>
    <cellStyle name="Millares 123 2" xfId="18290" xr:uid="{98873D2E-E2D0-4A34-A075-41F8A51507EA}"/>
    <cellStyle name="Millares 124" xfId="6152" xr:uid="{7F21111D-9D74-4DCA-83CC-CF302D807781}"/>
    <cellStyle name="Millares 124 2" xfId="18304" xr:uid="{E9D1A062-4516-4824-8787-951D34F5FE04}"/>
    <cellStyle name="Millares 125" xfId="6153" xr:uid="{AD73186A-0A19-4516-AAF2-4E44331689B2}"/>
    <cellStyle name="Millares 125 2" xfId="18288" xr:uid="{D39F4D90-40D9-4054-A50D-BFDC2FE5D3C1}"/>
    <cellStyle name="Millares 126" xfId="6154" xr:uid="{083AC432-0FA7-4CF9-8D59-74031F69FDF3}"/>
    <cellStyle name="Millares 126 2" xfId="18303" xr:uid="{6758DC00-2FE3-4610-A98A-096F753E2625}"/>
    <cellStyle name="Millares 127" xfId="6155" xr:uid="{0CDF18B8-D315-43B0-B155-F8A9A0BA0008}"/>
    <cellStyle name="Millares 127 2" xfId="18287" xr:uid="{1AF636C3-D57E-4C7E-94FF-2EEB38DCB8A1}"/>
    <cellStyle name="Millares 128" xfId="6156" xr:uid="{A770F265-601B-4C19-A490-3A61F798F134}"/>
    <cellStyle name="Millares 128 2" xfId="18301" xr:uid="{F6B412CE-EDA7-4653-A1F8-4126ED1A27AD}"/>
    <cellStyle name="Millares 129" xfId="6157" xr:uid="{850BB2F2-4177-41B5-AA71-7C89DCCC1176}"/>
    <cellStyle name="Millares 129 2" xfId="18286" xr:uid="{02D55404-1450-4904-B2EF-90EF33C9783C}"/>
    <cellStyle name="Millares 13" xfId="548" xr:uid="{4711B644-D7AB-484D-A542-744AAB0650EF}"/>
    <cellStyle name="Millares 13 10" xfId="12732" xr:uid="{66AA8F87-66E7-4A3C-BCFF-A99B4B94F767}"/>
    <cellStyle name="Millares 13 11" xfId="11915" xr:uid="{59120756-003F-4A40-B6D5-42699910BEC9}"/>
    <cellStyle name="Millares 13 12" xfId="11858" xr:uid="{036D8CD6-6E79-4F98-B9B1-223FF4D2B954}"/>
    <cellStyle name="Millares 13 13" xfId="10996" xr:uid="{71AA85C2-B2F4-45C3-A1C9-704334BB9CA0}"/>
    <cellStyle name="Millares 13 14" xfId="11757" xr:uid="{7096CBAE-E614-45C8-80C8-927714A95428}"/>
    <cellStyle name="Millares 13 15" xfId="12721" xr:uid="{CD4E088C-9945-4832-9F18-4760D3BE859D}"/>
    <cellStyle name="Millares 13 16" xfId="12974" xr:uid="{0EAB052E-BE16-4F26-B27E-E809C496D09D}"/>
    <cellStyle name="Millares 13 17" xfId="11758" xr:uid="{E5401B2E-4560-47A2-9480-C513DFA36E1C}"/>
    <cellStyle name="Millares 13 18" xfId="11914" xr:uid="{C3F7969A-BE8E-4EE6-BF91-DF8A0CFFDD1E}"/>
    <cellStyle name="Millares 13 19" xfId="12949" xr:uid="{C618B1F4-27A5-4C42-8678-255202329655}"/>
    <cellStyle name="Millares 13 2" xfId="4392" xr:uid="{2282DF59-5F4D-49B9-8905-0162818F5797}"/>
    <cellStyle name="Millares 13 2 2" xfId="6158" xr:uid="{A414C903-6FDC-4E9B-B574-7A364DB7DAFE}"/>
    <cellStyle name="Millares 13 2 2 2" xfId="8838" xr:uid="{6E22A7C2-5FC6-41B3-AB81-FD1FB25D177C}"/>
    <cellStyle name="Millares 13 2 2 2 2" xfId="18890" xr:uid="{415543F6-6490-46BE-9A37-736E0277190E}"/>
    <cellStyle name="Millares 13 2 2 3" xfId="16346" xr:uid="{D73E545B-F426-4A9B-A4F7-5C48DA55D4A9}"/>
    <cellStyle name="Millares 13 2 2 4" xfId="15276" xr:uid="{4E3F81FE-3FCA-4F19-ADA3-0B929AC6818E}"/>
    <cellStyle name="Millares 13 2 3" xfId="6159" xr:uid="{82E22888-B815-47D5-B632-807207196AF7}"/>
    <cellStyle name="Millares 13 2 3 2" xfId="9286" xr:uid="{2F47885A-2001-465D-AFE6-AEB13A2B369E}"/>
    <cellStyle name="Millares 13 2 3 2 2" xfId="19338" xr:uid="{19051EB8-FAD2-42B5-9AAA-CCC514DCCDC2}"/>
    <cellStyle name="Millares 13 2 3 3" xfId="16789" xr:uid="{2A52BCB0-0FA4-403D-BF56-F915349AACA1}"/>
    <cellStyle name="Millares 13 2 3 4" xfId="14881" xr:uid="{21488499-ED5D-4891-A5AC-6B8C4B947AEE}"/>
    <cellStyle name="Millares 13 2 4" xfId="6160" xr:uid="{6A535795-FEFC-4954-892E-51517F4D6687}"/>
    <cellStyle name="Millares 13 2 4 2" xfId="17243" xr:uid="{9DDBF369-4463-4B3B-AA65-E363A5FC698D}"/>
    <cellStyle name="Millares 13 2 4 3" xfId="15490" xr:uid="{7A2B2A94-13AF-443F-ADA8-35DB5EB9F21A}"/>
    <cellStyle name="Millares 13 2 5" xfId="6161" xr:uid="{2881C14A-D2C9-4831-9CC5-E47BD1D3E229}"/>
    <cellStyle name="Millares 13 2 5 2" xfId="17855" xr:uid="{C60CBDCB-978D-4C79-BDAA-79D2C9780480}"/>
    <cellStyle name="Millares 13 2 5 3" xfId="14438" xr:uid="{D6C97C32-D3A1-4A00-B0D6-B461849ABFAB}"/>
    <cellStyle name="Millares 13 2 6" xfId="8410" xr:uid="{129F5DCB-29EB-4A06-A5D8-9705A61AE18C}"/>
    <cellStyle name="Millares 13 2 6 2" xfId="18462" xr:uid="{21E61CE3-F1A0-430E-B597-FA30D15CE8A3}"/>
    <cellStyle name="Millares 13 2 7" xfId="9731" xr:uid="{004D52F5-B57F-49E4-BBC9-7185A6D995A0}"/>
    <cellStyle name="Millares 13 2 8" xfId="10411" xr:uid="{BE4D44DC-8566-4E1D-82E6-00D4B284BAC5}"/>
    <cellStyle name="Millares 13 2 9" xfId="12983" xr:uid="{00833C78-B4B5-4A0F-B1FB-5A3FE21A4DEB}"/>
    <cellStyle name="Millares 13 2 9 2" xfId="16056" xr:uid="{2C6011EF-167A-4F3A-A92E-E786A2D592BA}"/>
    <cellStyle name="Millares 13 2 9 3" xfId="20759" xr:uid="{3988E9C3-A358-4700-A43E-76DC642E7522}"/>
    <cellStyle name="Millares 13 20" xfId="11222" xr:uid="{D31E3B3F-D474-4181-82BD-A95E143B3DB6}"/>
    <cellStyle name="Millares 13 21" xfId="11895" xr:uid="{B36574A7-E9BA-4FE3-9DDC-6D7F1D22B39B}"/>
    <cellStyle name="Millares 13 22" xfId="12532" xr:uid="{16322CEB-B956-4446-ABC4-1721B8719CC2}"/>
    <cellStyle name="Millares 13 23" xfId="11759" xr:uid="{C09EB9C2-1DAB-4BC9-8A62-46D56F8752B5}"/>
    <cellStyle name="Millares 13 24" xfId="11217" xr:uid="{97646607-692B-48AE-99EE-5E3921497069}"/>
    <cellStyle name="Millares 13 3" xfId="6162" xr:uid="{7EF051EE-7F71-4BC5-8D73-4DE5FC22249C}"/>
    <cellStyle name="Millares 13 3 2" xfId="10192" xr:uid="{8F8B33DE-05FE-486A-8F86-5DDD06C11DA4}"/>
    <cellStyle name="Millares 13 3 2 2" xfId="19663" xr:uid="{96D80EC2-45B7-4126-9A0C-23E533B28AEF}"/>
    <cellStyle name="Millares 13 3 3" xfId="10886" xr:uid="{F381D342-BBE1-4BED-9C38-4C34C6CAE903}"/>
    <cellStyle name="Millares 13 3 4" xfId="11351" xr:uid="{820BA359-48A7-4359-8C8A-13F1DA83231C}"/>
    <cellStyle name="Millares 13 4" xfId="6163" xr:uid="{95DCB802-735F-41CF-9C34-31A25A19F2E7}"/>
    <cellStyle name="Millares 13 4 2" xfId="10174" xr:uid="{24CF2043-8519-4971-8CE9-B0DC9C8A7FC0}"/>
    <cellStyle name="Millares 13 4 3" xfId="11353" xr:uid="{2144F14B-B49B-410B-93B7-5AE76D3359DB}"/>
    <cellStyle name="Millares 13 4 3 2" xfId="17700" xr:uid="{852A4F39-CB1E-4805-B08B-EC084DE5304F}"/>
    <cellStyle name="Millares 13 4 3 3" xfId="20550" xr:uid="{FE38CD99-C70A-444B-BB39-60C947BF566F}"/>
    <cellStyle name="Millares 13 5" xfId="9583" xr:uid="{C6DD4C2E-EC97-44C7-BAF3-F6964941BAF5}"/>
    <cellStyle name="Millares 13 5 2" xfId="11100" xr:uid="{58EAF7D7-2A37-4540-BEC0-520C41F4952B}"/>
    <cellStyle name="Millares 13 5 2 2" xfId="19630" xr:uid="{86D70B92-B74B-4772-A215-3A95817FA095}"/>
    <cellStyle name="Millares 13 5 2 3" xfId="20513" xr:uid="{A85020EA-AC94-45D3-8AE7-06F49961FA49}"/>
    <cellStyle name="Millares 13 6" xfId="10410" xr:uid="{4D2B01DE-D77D-4F08-A045-E90C503D4AEB}"/>
    <cellStyle name="Millares 13 6 2" xfId="12734" xr:uid="{FD01CFBD-4FFA-4B2A-ADAA-4DAEB97B6C42}"/>
    <cellStyle name="Millares 13 7" xfId="10941" xr:uid="{508863E9-7B8D-4DBF-AE2C-B2052EF3B92F}"/>
    <cellStyle name="Millares 13 8" xfId="12601" xr:uid="{D1CE4B81-AFEC-46AD-9E6E-6FA02F38596F}"/>
    <cellStyle name="Millares 13 9" xfId="12530" xr:uid="{B68450FF-78CC-43E5-8425-A4385C6DE5FE}"/>
    <cellStyle name="Millares 130" xfId="6164" xr:uid="{E33A5E26-CCCA-429F-A726-07E95FD9D7F4}"/>
    <cellStyle name="Millares 130 2" xfId="18300" xr:uid="{363C2E0F-959A-41D0-A535-2677170FF827}"/>
    <cellStyle name="Millares 131" xfId="6165" xr:uid="{3D4E95FA-98B2-45E3-BEE1-6726E6F1FB15}"/>
    <cellStyle name="Millares 131 2" xfId="18285" xr:uid="{A70E45B0-430F-4C0B-9FE2-2305064BA6B7}"/>
    <cellStyle name="Millares 132" xfId="6166" xr:uid="{F26D99B2-4686-46E0-BDED-47C4D89B7946}"/>
    <cellStyle name="Millares 132 2" xfId="18299" xr:uid="{1E6E2FC8-B25E-4318-AA27-F6A97741001F}"/>
    <cellStyle name="Millares 133" xfId="6167" xr:uid="{FB2A66EA-822D-4A64-80B7-1B95D3A8CF5D}"/>
    <cellStyle name="Millares 133 2" xfId="18284" xr:uid="{33F1BB13-A4F7-4D5F-875C-A490EB512410}"/>
    <cellStyle name="Millares 134" xfId="6168" xr:uid="{3A3D0AD8-A22A-400F-9AE2-33E4E526824C}"/>
    <cellStyle name="Millares 134 2" xfId="18298" xr:uid="{6D46529D-0AE0-434D-B48C-A0F743BCB6A8}"/>
    <cellStyle name="Millares 135" xfId="6169" xr:uid="{36F4378E-E67F-4344-9BAF-3FA32927C25D}"/>
    <cellStyle name="Millares 135 2" xfId="18283" xr:uid="{4C0FD3D5-B853-403F-B451-D2F56ED66780}"/>
    <cellStyle name="Millares 136" xfId="6170" xr:uid="{5DAB3E6F-5F6D-4AEE-A0D5-A73451FBAEF7}"/>
    <cellStyle name="Millares 136 2" xfId="18297" xr:uid="{8C79ABD7-1459-4642-958F-1DF8044F1D96}"/>
    <cellStyle name="Millares 137" xfId="6171" xr:uid="{03A9D21C-C410-4EA2-8D83-97EEB2F56075}"/>
    <cellStyle name="Millares 137 2" xfId="17850" xr:uid="{57FDC41C-9917-480C-B186-408AA1E30ACC}"/>
    <cellStyle name="Millares 138" xfId="6172" xr:uid="{1F2C559E-1598-49CB-95BF-C8556444CF6E}"/>
    <cellStyle name="Millares 138 2" xfId="17694" xr:uid="{6FA77EB3-AF49-4D55-810C-DAA12E2D5E03}"/>
    <cellStyle name="Millares 139" xfId="6173" xr:uid="{BC1653F9-1070-4705-BF44-FE3403AB4DB8}"/>
    <cellStyle name="Millares 139 2" xfId="17691" xr:uid="{E9AC3DB5-674C-4676-BF19-17483F7352BE}"/>
    <cellStyle name="Millares 14" xfId="3530" xr:uid="{AB2B3FB0-B50F-42D3-8D6A-5909128A2455}"/>
    <cellStyle name="Millares 14 10" xfId="11760" xr:uid="{B2F0FBCF-A91D-4103-91B6-5192E133527E}"/>
    <cellStyle name="Millares 14 11" xfId="12984" xr:uid="{F667B68E-B675-4BB4-AC68-7A7D4667BA3C}"/>
    <cellStyle name="Millares 14 12" xfId="11991" xr:uid="{364DBF5B-BB4C-4705-A026-F86E9061464F}"/>
    <cellStyle name="Millares 14 13" xfId="12394" xr:uid="{C3ECBA8F-71A7-4FEF-9F6F-49EAF3E1CBC5}"/>
    <cellStyle name="Millares 14 14" xfId="10915" xr:uid="{D7C13A37-D1FC-46F0-A1FA-11040F0BF8AD}"/>
    <cellStyle name="Millares 14 15" xfId="11312" xr:uid="{A2A10F63-5452-42BD-9187-AD6932756F0B}"/>
    <cellStyle name="Millares 14 16" xfId="12477" xr:uid="{36EEEBEB-66E3-4F4A-9357-9A33161F8A08}"/>
    <cellStyle name="Millares 14 17" xfId="11761" xr:uid="{12C6F988-6A41-4B33-81DA-C1F35887DF5B}"/>
    <cellStyle name="Millares 14 18" xfId="11437" xr:uid="{C566773E-C801-4A2A-A16E-044E5C211DF9}"/>
    <cellStyle name="Millares 14 19" xfId="10914" xr:uid="{7715ED15-193B-4F11-A323-0C38977AEDE4}"/>
    <cellStyle name="Millares 14 2" xfId="4393" xr:uid="{B3D0A3C9-9FD6-4E6C-A0C2-E41731142DE9}"/>
    <cellStyle name="Millares 14 2 2" xfId="6174" xr:uid="{FA8EE59B-E7E9-4A9F-BB47-A9AE6F3344D2}"/>
    <cellStyle name="Millares 14 2 2 2" xfId="8839" xr:uid="{F197BEA1-470E-417E-BE33-88C0C0D1464D}"/>
    <cellStyle name="Millares 14 2 2 2 2" xfId="18891" xr:uid="{6D9DAEBA-853B-4A78-9CAA-D6BB3479DA21}"/>
    <cellStyle name="Millares 14 2 2 3" xfId="16347" xr:uid="{8C269B50-EE4F-4D07-8FEC-D80A31E53082}"/>
    <cellStyle name="Millares 14 2 2 4" xfId="15275" xr:uid="{B9D2C23D-5BD1-4940-8A67-0C3C7A28FBCC}"/>
    <cellStyle name="Millares 14 2 3" xfId="6175" xr:uid="{EB2FEA1D-D795-4DC4-88B2-3BB1A5F820AE}"/>
    <cellStyle name="Millares 14 2 3 2" xfId="9287" xr:uid="{65BE4812-7CEE-4C3C-86D2-86C239A30377}"/>
    <cellStyle name="Millares 14 2 3 2 2" xfId="19339" xr:uid="{FE6F5A21-2571-4B68-AB18-901C7FA8D1E4}"/>
    <cellStyle name="Millares 14 2 3 3" xfId="16790" xr:uid="{4AFB9412-068C-450B-9728-D8521EEBF857}"/>
    <cellStyle name="Millares 14 2 3 4" xfId="14880" xr:uid="{306ADFBA-3E52-45A9-8ECB-8FF15AFC4733}"/>
    <cellStyle name="Millares 14 2 4" xfId="6176" xr:uid="{87975CEE-8B6F-4F03-BD77-7AB44D98B57A}"/>
    <cellStyle name="Millares 14 2 4 2" xfId="17095" xr:uid="{44E35874-8C35-4080-A977-8100F6C29996}"/>
    <cellStyle name="Millares 14 2 4 3" xfId="15595" xr:uid="{9595C01D-BB80-49C6-BC52-6003673B1063}"/>
    <cellStyle name="Millares 14 2 5" xfId="6177" xr:uid="{0EE3A0CF-3304-4741-9666-826575D103C7}"/>
    <cellStyle name="Millares 14 2 5 2" xfId="17702" xr:uid="{B04425F0-5F15-4447-B3CC-888B41D10C6D}"/>
    <cellStyle name="Millares 14 2 5 3" xfId="14545" xr:uid="{D0701BA7-CDE4-4077-A780-351843F36508}"/>
    <cellStyle name="Millares 14 2 6" xfId="8411" xr:uid="{299873F3-5328-4BCA-BB53-0C214D0E09AD}"/>
    <cellStyle name="Millares 14 2 6 2" xfId="18463" xr:uid="{A1969568-8530-4C45-AD25-EA853D1EFDE9}"/>
    <cellStyle name="Millares 14 2 7" xfId="9585" xr:uid="{C3E0F57E-E035-4BCF-93C1-3E7D8481B596}"/>
    <cellStyle name="Millares 14 2 8" xfId="10413" xr:uid="{DE6FCF14-8544-42FA-B235-3C78EF44F262}"/>
    <cellStyle name="Millares 14 2 9" xfId="10989" xr:uid="{F0F5EAE3-83A0-4DE8-BA2E-F9DC16036269}"/>
    <cellStyle name="Millares 14 2 9 2" xfId="16055" xr:uid="{51661B55-14AA-4BA4-8FE3-70EAEFC35D50}"/>
    <cellStyle name="Millares 14 2 9 3" xfId="20494" xr:uid="{A46FB087-9326-430F-8C63-1C6725EFE262}"/>
    <cellStyle name="Millares 14 20" xfId="12206" xr:uid="{524C52BD-2679-48AA-B127-7A494F601020}"/>
    <cellStyle name="Millares 14 21" xfId="11005" xr:uid="{983714F0-0A80-4D2E-8A71-DC3E44856177}"/>
    <cellStyle name="Millares 14 22" xfId="12735" xr:uid="{E74C412F-972C-47A9-B78E-9995ACEF04A2}"/>
    <cellStyle name="Millares 14 23" xfId="12710" xr:uid="{621720B4-06BC-4102-85CC-9DE891FD60D6}"/>
    <cellStyle name="Millares 14 3" xfId="6178" xr:uid="{054E028E-C004-4704-9111-065D95D89180}"/>
    <cellStyle name="Millares 14 3 2" xfId="6179" xr:uid="{E29C52B3-619A-44B3-B047-AD46D42BC1F6}"/>
    <cellStyle name="Millares 14 3 2 2" xfId="17856" xr:uid="{A82F65AE-06C5-4937-9794-3E98F787FBEE}"/>
    <cellStyle name="Millares 14 3 3" xfId="9732" xr:uid="{B6D214F7-9238-4163-9F62-290324515499}"/>
    <cellStyle name="Millares 14 3 4" xfId="10414" xr:uid="{4EC97128-6DE8-406E-A704-5F92CCAFA61E}"/>
    <cellStyle name="Millares 14 3 5" xfId="11079" xr:uid="{4C026F9F-AA3F-41EB-AC7A-52B1B74E89B9}"/>
    <cellStyle name="Millares 14 4" xfId="6180" xr:uid="{6526264C-5C74-455B-8159-9E31512C3ED5}"/>
    <cellStyle name="Millares 14 4 2" xfId="10193" xr:uid="{B74B5E5E-5787-4104-8B2E-4E4A9AA64261}"/>
    <cellStyle name="Millares 14 4 2 2" xfId="19664" xr:uid="{99986911-4739-4706-AC53-77D9E20D24AA}"/>
    <cellStyle name="Millares 14 4 3" xfId="10887" xr:uid="{B644F6D1-8BF6-4E98-BA79-CCBFEEBF8D9D}"/>
    <cellStyle name="Millares 14 4 4" xfId="11440" xr:uid="{E567E8D0-808F-4215-B11A-913ACFD8E36E}"/>
    <cellStyle name="Millares 14 5" xfId="6181" xr:uid="{2BCF19F2-12F6-425A-942A-6DC82C16AC4D}"/>
    <cellStyle name="Millares 14 5 2" xfId="10181" xr:uid="{25ECDABF-274A-489E-AC1E-C686BB56AA6B}"/>
    <cellStyle name="Millares 14 5 3" xfId="11762" xr:uid="{2827326B-AFD9-45E4-A3BE-8F101097427A}"/>
    <cellStyle name="Millares 14 5 3 2" xfId="17701" xr:uid="{C5AFE42E-E902-4805-B223-19A02186C801}"/>
    <cellStyle name="Millares 14 5 3 3" xfId="20603" xr:uid="{19449AF7-E6AB-4AC9-87C9-F45DB3C34105}"/>
    <cellStyle name="Millares 14 6" xfId="9584" xr:uid="{E0A261D2-FCC3-4F42-918E-8159CB1F81B9}"/>
    <cellStyle name="Millares 14 6 2" xfId="11721" xr:uid="{04233ADC-527C-4A16-9C78-6C7358981B31}"/>
    <cellStyle name="Millares 14 6 2 2" xfId="19631" xr:uid="{BC0C034F-048F-4BC6-A1EA-B2E1A0E3737E}"/>
    <cellStyle name="Millares 14 6 2 3" xfId="20594" xr:uid="{2D2C5076-6903-4FEA-8420-9E176E97B108}"/>
    <cellStyle name="Millares 14 7" xfId="10412" xr:uid="{B2E42555-7004-4589-8CC3-F4BA944F92AB}"/>
    <cellStyle name="Millares 14 7 2" xfId="12704" xr:uid="{CF9B8532-D353-4AE0-8F36-31DE9C207950}"/>
    <cellStyle name="Millares 14 8" xfId="12560" xr:uid="{C48CE340-F976-4736-BC2A-5000091768E8}"/>
    <cellStyle name="Millares 14 9" xfId="11973" xr:uid="{5C07370E-D935-417A-8C67-61EFF1B5CCA1}"/>
    <cellStyle name="Millares 140" xfId="6182" xr:uid="{6684338C-61B1-4B8B-B703-7C946D8AD1DF}"/>
    <cellStyle name="Millares 140 2" xfId="18276" xr:uid="{359223E7-45B2-42FB-BFDB-3E9FD74FC5FF}"/>
    <cellStyle name="Millares 141" xfId="6183" xr:uid="{CA4F6E25-3AA7-4C50-ACC7-D89757746639}"/>
    <cellStyle name="Millares 141 2" xfId="18295" xr:uid="{8958BA06-9BCF-4E7C-967E-26CFAB1AAFB7}"/>
    <cellStyle name="Millares 142" xfId="6184" xr:uid="{3CB239F7-1F2C-4AFE-9403-36F1073C9F8E}"/>
    <cellStyle name="Millares 142 2" xfId="17847" xr:uid="{CEE732C1-69D4-407A-AFEE-0BD764B1978D}"/>
    <cellStyle name="Millares 143" xfId="6185" xr:uid="{2F020B13-5AE3-4E1B-B63C-F00C7133F1D8}"/>
    <cellStyle name="Millares 143 2" xfId="17695" xr:uid="{EE4BC096-4A48-49C9-A9BA-D14732F3E928}"/>
    <cellStyle name="Millares 144" xfId="6186" xr:uid="{957C4503-5E01-40F7-884D-E3A7DB05842C}"/>
    <cellStyle name="Millares 144 2" xfId="18278" xr:uid="{1C51B8E6-C1CA-424F-880D-34D4721499A5}"/>
    <cellStyle name="Millares 145" xfId="6187" xr:uid="{30977B1C-6F85-46D0-80A8-11D2C0D37B53}"/>
    <cellStyle name="Millares 145 2" xfId="18289" xr:uid="{E6990E77-D1D5-4FAA-9252-2D8F7DD78382}"/>
    <cellStyle name="Millares 146" xfId="6188" xr:uid="{D8C85336-07D6-4EF9-A98F-2C7986C60091}"/>
    <cellStyle name="Millares 146 2" xfId="18279" xr:uid="{CC7942E7-E7C3-4EF0-828E-E2EA3EDF961F}"/>
    <cellStyle name="Millares 147" xfId="6189" xr:uid="{5DEC34C1-1444-493B-BD5E-DBCA0F71B9EA}"/>
    <cellStyle name="Millares 147 2" xfId="18296" xr:uid="{5053BF5C-664C-465F-BFA7-F481C54492D7}"/>
    <cellStyle name="Millares 148" xfId="6190" xr:uid="{3095EF8D-B21B-4301-90EC-2C972B4CB692}"/>
    <cellStyle name="Millares 148 2" xfId="17690" xr:uid="{65F5FFA4-A82E-43BB-87A4-951EF6DEEEB9}"/>
    <cellStyle name="Millares 149" xfId="6191" xr:uid="{092BE20B-BD8A-468E-B021-7FEE488DA9F4}"/>
    <cellStyle name="Millares 149 2" xfId="17724" xr:uid="{9501D01B-C65B-431C-93D6-3EEF95BD7FA9}"/>
    <cellStyle name="Millares 15" xfId="60" xr:uid="{7895D344-7020-4C53-A937-10484075106D}"/>
    <cellStyle name="Millares 15 10" xfId="11310" xr:uid="{5D07829B-C59C-43D7-8D4E-A34EB0388261}"/>
    <cellStyle name="Millares 15 10 2" xfId="16194" xr:uid="{CE0F7AF8-3E9A-4C3A-B41D-263E5753BE47}"/>
    <cellStyle name="Millares 15 10 3" xfId="20540" xr:uid="{359E24C0-B489-4C53-897F-A46BBD22FFA2}"/>
    <cellStyle name="Millares 15 2" xfId="6062" xr:uid="{7CE2B84B-1C98-40F0-86A3-B32CA29BD444}"/>
    <cellStyle name="Millares 15 2 2" xfId="6192" xr:uid="{D17865C2-CCFE-44E1-98B8-6BC1543D320F}"/>
    <cellStyle name="Millares 15 2 2 2" xfId="19644" xr:uid="{2627E0C2-FD65-4C4B-A669-E21FFE59E0C6}"/>
    <cellStyle name="Millares 15 2 2 3" xfId="15606" xr:uid="{EE9D6BAE-C41D-40AE-A270-57E325570C76}"/>
    <cellStyle name="Millares 15 2 2 4" xfId="15461" xr:uid="{24FE9766-DAD4-4DA1-82B8-403589EA5870}"/>
    <cellStyle name="Millares 15 2 3" xfId="6193" xr:uid="{D762622D-CE06-42C6-ABAB-8FAA59555616}"/>
    <cellStyle name="Millares 15 2 3 2" xfId="17244" xr:uid="{A11051B7-6446-4658-A007-0EAE8E1CE12A}"/>
    <cellStyle name="Millares 15 2 4" xfId="6194" xr:uid="{083ADA36-1134-4E0E-A3E2-35B8C2012E11}"/>
    <cellStyle name="Millares 15 2 4 2" xfId="17857" xr:uid="{E00079E7-975D-4644-B895-51591ADFEC1D}"/>
    <cellStyle name="Millares 15 2 5" xfId="8690" xr:uid="{90CB3DDE-27D9-45B6-8948-4A52885FA1DC}"/>
    <cellStyle name="Millares 15 2 5 2" xfId="18742" xr:uid="{1355C2D0-C8F4-4CB5-909A-8EDA5391FD9A}"/>
    <cellStyle name="Millares 15 2 6" xfId="9733" xr:uid="{B52BDDB6-966B-49AE-9C66-1E40DDFF75E2}"/>
    <cellStyle name="Millares 15 2 7" xfId="10416" xr:uid="{5E47C5C0-FB30-4750-9D0E-937666036E8A}"/>
    <cellStyle name="Millares 15 2 8" xfId="15823" xr:uid="{466423E0-9962-45C8-A115-C9D1BE202297}"/>
    <cellStyle name="Millares 15 3" xfId="486" xr:uid="{AB1E62B9-BC83-4BCB-A354-B1B58557566A}"/>
    <cellStyle name="Millares 15 3 2" xfId="9138" xr:uid="{AD3735D9-5661-4576-9400-D7C873ABA67F}"/>
    <cellStyle name="Millares 15 3 2 2" xfId="19190" xr:uid="{33F438DA-7DED-423C-B71C-A1DB7170BD41}"/>
    <cellStyle name="Millares 15 3 2 3" xfId="16264" xr:uid="{3C30D0B7-3434-4307-83E6-49C4D3D7395D}"/>
    <cellStyle name="Millares 15 3 3" xfId="16220" xr:uid="{4862731A-1940-48EA-84DE-5EDBDB751DC0}"/>
    <cellStyle name="Millares 15 3 3 2" xfId="16640" xr:uid="{D31DB479-76F0-4442-A18C-382D1DA461E5}"/>
    <cellStyle name="Millares 15 3 4" xfId="15007" xr:uid="{F166B498-635E-49B2-95E6-CCA8BEDE5D36}"/>
    <cellStyle name="Millares 15 4" xfId="6195" xr:uid="{7FC2498A-142A-4D0C-8FA2-9377661CDA47}"/>
    <cellStyle name="Millares 15 5" xfId="6196" xr:uid="{DC272D2D-6941-4D4A-B3C2-6E17DD059F7D}"/>
    <cellStyle name="Millares 15 5 2" xfId="17096" xr:uid="{39F0C8DF-7F7D-41CB-AAB7-33573F7FEF61}"/>
    <cellStyle name="Millares 15 6" xfId="6197" xr:uid="{87778386-62E9-4769-9BEB-68880735E822}"/>
    <cellStyle name="Millares 15 6 2" xfId="17703" xr:uid="{8FAF69CD-CD11-4B13-9368-1EE1B0570646}"/>
    <cellStyle name="Millares 15 7" xfId="8262" xr:uid="{F288AFD7-0D9D-4E28-88A5-B373F5FE051B}"/>
    <cellStyle name="Millares 15 7 2" xfId="18314" xr:uid="{28A1E2D0-7160-4106-84B3-2D08229C451F}"/>
    <cellStyle name="Millares 15 8" xfId="9586" xr:uid="{7AEF8BAE-C162-4EEF-A4D7-53E7387A3327}"/>
    <cellStyle name="Millares 15 9" xfId="10415" xr:uid="{F495A066-1550-4106-8157-054DF8C80E9F}"/>
    <cellStyle name="Millares 150" xfId="6198" xr:uid="{BCC06FCB-D441-46F6-9C10-C26F2E2E97A1}"/>
    <cellStyle name="Millares 150 2" xfId="18305" xr:uid="{CF97A32C-E4C0-4D02-84D5-2086ED14ACE1}"/>
    <cellStyle name="Millares 151" xfId="6199" xr:uid="{3CF59EAC-AB41-454F-BB6B-01C121D1FEB3}"/>
    <cellStyle name="Millares 151 2" xfId="18302" xr:uid="{F0D144FC-57DA-442C-959D-F4199FF7F16D}"/>
    <cellStyle name="Millares 152" xfId="6200" xr:uid="{8DD66AB6-C688-4F9A-B5B4-3711691F1681}"/>
    <cellStyle name="Millares 152 2" xfId="17692" xr:uid="{0776E0FD-62C1-4021-BE7B-0DD09D08C7F6}"/>
    <cellStyle name="Millares 153" xfId="6201" xr:uid="{802F9A3E-E51E-4088-9543-9327DDCBED30}"/>
    <cellStyle name="Millares 153 2" xfId="18002" xr:uid="{3C886B29-F6A6-4A11-9A20-8B630B9B74ED}"/>
    <cellStyle name="Millares 154" xfId="6202" xr:uid="{F979D90F-0081-4FE4-A0DA-351A57006737}"/>
    <cellStyle name="Millares 154 2" xfId="18294" xr:uid="{5170FB41-7E18-4298-9CBF-27675B7D3DC7}"/>
    <cellStyle name="Millares 155" xfId="6203" xr:uid="{9CCDC333-C2F6-4784-864B-6AFCCFDA9D24}"/>
    <cellStyle name="Millares 155 2" xfId="18277" xr:uid="{6C8BDF6C-9685-4642-A3CE-7BDE7E98FE89}"/>
    <cellStyle name="Millares 156" xfId="6204" xr:uid="{A733302B-01E8-4B62-999F-D630E7022B3D}"/>
    <cellStyle name="Millares 156 2" xfId="17848" xr:uid="{85A813C7-7EC0-409D-8F07-FFC0C26F4CFA}"/>
    <cellStyle name="Millares 157" xfId="6205" xr:uid="{988E4728-6717-4ED2-B08B-C5A093A8E79B}"/>
    <cellStyle name="Millares 157 2" xfId="17718" xr:uid="{BEC29DE7-E104-491F-BF7E-3D0A3F9A13EA}"/>
    <cellStyle name="Millares 158" xfId="6206" xr:uid="{E6AA7666-BD12-4F11-8389-35BD07E7D172}"/>
    <cellStyle name="Millares 158 2" xfId="18280" xr:uid="{62607D6E-1782-4DBE-A24A-E7661D93DF30}"/>
    <cellStyle name="Millares 159" xfId="6207" xr:uid="{5C6C88F9-5000-426B-9056-5DD6614B896E}"/>
    <cellStyle name="Millares 159 2" xfId="18293" xr:uid="{455C380D-D6F5-4F2B-B2F3-B76192E785B4}"/>
    <cellStyle name="Millares 16" xfId="484" xr:uid="{F32ED9FC-A52C-43CA-A58E-C413ECB46ECF}"/>
    <cellStyle name="Millares 16 2" xfId="4394" xr:uid="{49C62384-36ED-4D9C-A0FA-CD64C6A1EDB1}"/>
    <cellStyle name="Millares 16 2 2" xfId="19954" xr:uid="{43ECEAD7-E917-4B07-969D-8E6901F5D0B2}"/>
    <cellStyle name="Millares 16 3" xfId="10166" xr:uid="{A8C1F0B4-5E63-4F8B-A624-1436EA334FA4}"/>
    <cellStyle name="Millares 16 4" xfId="12332" xr:uid="{4522B2EB-7FD9-476A-99E1-5E0946C045EA}"/>
    <cellStyle name="Millares 160" xfId="6208" xr:uid="{E1717622-5F37-4CC5-B7E4-E5286B4F92BF}"/>
    <cellStyle name="Millares 160 2" xfId="18281" xr:uid="{DD44D29E-A13F-42F7-96A2-10AF6DA5C55F}"/>
    <cellStyle name="Millares 161" xfId="6209" xr:uid="{C080FB9F-0014-4ECF-9262-3F6D3F6C5C52}"/>
    <cellStyle name="Millares 161 2" xfId="18269" xr:uid="{AEFE7481-C17E-4CB0-B2F2-FA591EC0171E}"/>
    <cellStyle name="Millares 162" xfId="6210" xr:uid="{DBED25E3-B7AD-4ADA-A0E5-80AD36178377}"/>
    <cellStyle name="Millares 162 2" xfId="17849" xr:uid="{53CC8DC5-31DF-4DE9-B16A-3F77AA507BC3}"/>
    <cellStyle name="Millares 163" xfId="6211" xr:uid="{9C0C37F3-F838-41AE-B186-5E90A26FDE43}"/>
    <cellStyle name="Millares 163 2" xfId="18274" xr:uid="{EB11675F-AB57-4311-91B1-040B005903DE}"/>
    <cellStyle name="Millares 164" xfId="6212" xr:uid="{042FA669-E35E-4C44-B6C6-E70A02477FF1}"/>
    <cellStyle name="Millares 164 2" xfId="17693" xr:uid="{45C8E531-9787-4E10-8B73-072CB6C85DEB}"/>
    <cellStyle name="Millares 165" xfId="6213" xr:uid="{8B1A0412-6EEA-4710-9CFB-480F973860F5}"/>
    <cellStyle name="Millares 165 2" xfId="17997" xr:uid="{62644D0F-CCE2-4416-BFF5-E69073301C01}"/>
    <cellStyle name="Millares 166" xfId="6214" xr:uid="{09E297D4-8E7E-46E3-9BA5-33A1645D5C66}"/>
    <cellStyle name="Millares 166 2" xfId="18271" xr:uid="{F7418D2D-8EA4-4326-8C85-AE26EF9FAAE5}"/>
    <cellStyle name="Millares 167" xfId="6215" xr:uid="{BE4DFBAC-F04F-4F0B-B9A4-C93B30175258}"/>
    <cellStyle name="Millares 167 2" xfId="18282" xr:uid="{F45059E7-F3A1-4882-A50B-05477E579E3B}"/>
    <cellStyle name="Millares 168" xfId="6216" xr:uid="{45D5415B-3AE6-42F0-9459-4A948434B015}"/>
    <cellStyle name="Millares 168 2" xfId="18275" xr:uid="{A0F87DF7-1E2E-41A6-87EC-F3825A6046F7}"/>
    <cellStyle name="Millares 169" xfId="6217" xr:uid="{DA2E99AD-2887-4B93-8C0A-EA16519C83F9}"/>
    <cellStyle name="Millares 169 2" xfId="18292" xr:uid="{6D0C6905-018C-405E-AE78-82FD99B05786}"/>
    <cellStyle name="Millares 17" xfId="482" xr:uid="{163B8D3C-C89E-4854-B9FA-95E2F2933BE5}"/>
    <cellStyle name="Millares 17 2" xfId="4395" xr:uid="{A4B59383-3AA8-40DC-8BCA-B0BE17961EB3}"/>
    <cellStyle name="Millares 17 2 2" xfId="19955" xr:uid="{64A0D3DE-93F3-4F57-B150-726B8D2F55FD}"/>
    <cellStyle name="Millares 17 3" xfId="6218" xr:uid="{5EDE08FA-9711-47CA-8219-37175BC1D718}"/>
    <cellStyle name="Millares 17 3 2" xfId="8687" xr:uid="{03FA8F67-EF39-4CF6-8B74-887EE1E03482}"/>
    <cellStyle name="Millares 17 3 2 2" xfId="18739" xr:uid="{C52ABEE4-E107-486B-B565-AB2C6B2186B6}"/>
    <cellStyle name="Millares 17 3 3" xfId="10163" xr:uid="{65110E6B-511C-41B7-8396-5447A547A906}"/>
    <cellStyle name="Millares 17 3 4" xfId="10870" xr:uid="{3C2D6CCF-340E-4023-B882-6CC83FCC5DF6}"/>
    <cellStyle name="Millares 17 3 5" xfId="15390" xr:uid="{6481FD45-572E-4AD0-AD2B-0217A0618390}"/>
    <cellStyle name="Millares 17 4" xfId="6219" xr:uid="{9D559EF3-3376-4BED-B181-7A4DA0EBE2C8}"/>
    <cellStyle name="Millares 17 4 2" xfId="9135" xr:uid="{EAF6974A-00E0-44ED-A062-5E316094E726}"/>
    <cellStyle name="Millares 17 4 2 2" xfId="19187" xr:uid="{051C8BF2-951C-4ACF-8594-BBD725E18D23}"/>
    <cellStyle name="Millares 17 4 3" xfId="16637" xr:uid="{FF3D8D70-9C7F-45CB-9900-D60BDA600E22}"/>
    <cellStyle name="Millares 17 4 4" xfId="15009" xr:uid="{A4D506B9-D979-4A14-9DCA-0F7044A937ED}"/>
    <cellStyle name="Millares 17 5" xfId="8259" xr:uid="{08D80E70-FAC5-485E-B344-F529CF9F2BF8}"/>
    <cellStyle name="Millares 17 5 2" xfId="18311" xr:uid="{69101D11-C2FA-4936-9859-5F2A911B7780}"/>
    <cellStyle name="Millares 17 5 3" xfId="14206" xr:uid="{E66C4318-F9E6-4EE2-915C-05D120B46CA9}"/>
    <cellStyle name="Millares 17 6" xfId="10986" xr:uid="{CAC7BA3A-D65B-4552-BC36-9D6AD841F7FA}"/>
    <cellStyle name="Millares 17 6 2" xfId="15449" xr:uid="{7CFDB505-947A-41B0-86E7-FC80ED4588B8}"/>
    <cellStyle name="Millares 17 6 3" xfId="20493" xr:uid="{1D5F00C8-9CE6-4AF8-B5E9-0EF4CCEE822A}"/>
    <cellStyle name="Millares 17 7" xfId="16196" xr:uid="{B798A85F-80E0-4935-9D9B-2C8B555E0F1D}"/>
    <cellStyle name="Millares 170" xfId="6220" xr:uid="{438B14B3-398F-4665-ACC6-6EBC4DB555D8}"/>
    <cellStyle name="Millares 170 2" xfId="18270" xr:uid="{63E2386B-77D1-42D1-987E-86CC8A18BEE8}"/>
    <cellStyle name="Millares 171" xfId="6221" xr:uid="{64A22B39-270F-418D-AD57-E1990F0A99E8}"/>
    <cellStyle name="Millares 171 2" xfId="17696" xr:uid="{83B474D9-6095-467D-B44B-74237B5A3A12}"/>
    <cellStyle name="Millares 172" xfId="6090" xr:uid="{DDE2E4A9-FA21-4306-A8C0-E0BC7751F0B2}"/>
    <cellStyle name="Millares 172 2" xfId="17846" xr:uid="{769100E9-A559-461D-9481-9F3F9CA00B55}"/>
    <cellStyle name="Millares 173" xfId="9575" xr:uid="{57FEEE5B-EC0D-4467-873F-C589027F8724}"/>
    <cellStyle name="Millares 174" xfId="10152" xr:uid="{A3DC7984-62A0-418D-A380-E4A2A001B65A}"/>
    <cellStyle name="Millares 175" xfId="10161" xr:uid="{453B1754-B1F9-4821-9BE7-BB67D266239B}"/>
    <cellStyle name="Millares 176" xfId="10151" xr:uid="{52566B08-7AA2-4CBE-A513-2C74FBF512A6}"/>
    <cellStyle name="Millares 177" xfId="10160" xr:uid="{A75178B5-F82C-4D55-A7F4-FE65A6E2AF08}"/>
    <cellStyle name="Millares 178" xfId="10150" xr:uid="{DE4719C7-6FC5-4977-86B3-FB5A5383422A}"/>
    <cellStyle name="Millares 179" xfId="10159" xr:uid="{0ADB7AE1-F828-43E5-A005-2DCA05C9BA15}"/>
    <cellStyle name="Millares 18" xfId="3139" xr:uid="{C04B0132-FABD-4D4D-85A9-ADD37DA76452}"/>
    <cellStyle name="Millares 18 2" xfId="4396" xr:uid="{C185761A-66FE-439F-87CD-5806F3E8A521}"/>
    <cellStyle name="Millares 18 2 2" xfId="19956" xr:uid="{F91338AC-5A50-455A-92C5-432A0439D8DC}"/>
    <cellStyle name="Millares 18 3" xfId="6222" xr:uid="{1C5AAB6F-4C37-4929-994E-C83839EFE2EE}"/>
    <cellStyle name="Millares 18 3 2" xfId="10180" xr:uid="{F259507C-9CA2-490F-8A4A-7E84D87E81E5}"/>
    <cellStyle name="Millares 18 3 3" xfId="10875" xr:uid="{F4DD5881-31C8-4A51-B71F-2316438CCB0C}"/>
    <cellStyle name="Millares 180" xfId="9577" xr:uid="{B0F78E5C-6766-48A7-B2F0-AE8ACDEB9B79}"/>
    <cellStyle name="Millares 181" xfId="10158" xr:uid="{5C26FCE7-00E4-4093-BD95-3A276F4418E0}"/>
    <cellStyle name="Millares 182" xfId="10148" xr:uid="{FE537844-E890-4DCC-BDDE-3B1820B8AB75}"/>
    <cellStyle name="Millares 183" xfId="10144" xr:uid="{9AE10060-92A8-4CA6-B3D5-72971975175D}"/>
    <cellStyle name="Millares 184" xfId="9579" xr:uid="{B4E38A64-8E24-468A-8681-F84FDD5481D7}"/>
    <cellStyle name="Millares 185" xfId="10157" xr:uid="{ED3B6270-4B73-4DF9-B3A2-80BC9581E45C}"/>
    <cellStyle name="Millares 186" xfId="10147" xr:uid="{929FD1A4-E3E9-4D4E-9497-DA3DA317824E}"/>
    <cellStyle name="Millares 187" xfId="9578" xr:uid="{6302DF35-E425-460E-BE93-25055EFA9EB7}"/>
    <cellStyle name="Millares 188" xfId="10849" xr:uid="{6D6696BC-39EA-4E99-A7F1-C7853B6AC6C2}"/>
    <cellStyle name="Millares 189" xfId="10865" xr:uid="{21D3A559-D744-40D8-84C3-BB8FBDAAD55A}"/>
    <cellStyle name="Millares 19" xfId="494" xr:uid="{9950B935-0C78-406C-881D-CCC18F65943A}"/>
    <cellStyle name="Millares 19 2" xfId="4397" xr:uid="{3EBCC1FB-9C7F-4CC6-899D-AA8E8730C3D7}"/>
    <cellStyle name="Millares 19 2 2" xfId="19957" xr:uid="{15E89D8C-5D73-4D2F-9809-462761944F9E}"/>
    <cellStyle name="Millares 19 3" xfId="6223" xr:uid="{7EEFB78E-210B-42D4-9A03-4806958F8DB6}"/>
    <cellStyle name="Millares 19 3 2" xfId="8692" xr:uid="{38E7074E-C409-4AF6-A206-C7DF7A4991AD}"/>
    <cellStyle name="Millares 19 3 2 2" xfId="18744" xr:uid="{1D4987A7-7876-4088-902D-110FE6F3F773}"/>
    <cellStyle name="Millares 19 3 3" xfId="10191" xr:uid="{7AEFBAE2-2BE2-457C-A0BF-F9ECD183E067}"/>
    <cellStyle name="Millares 19 3 4" xfId="10885" xr:uid="{100505C8-C5D8-4D7E-B9AE-5BA81DA82027}"/>
    <cellStyle name="Millares 19 3 5" xfId="15821" xr:uid="{F3CF45DE-4D10-4B3E-9CAD-02EA3FC3ACFD}"/>
    <cellStyle name="Millares 19 4" xfId="6224" xr:uid="{21BFE8D2-F32F-4CA0-8DB7-8699D86942BC}"/>
    <cellStyle name="Millares 19 4 2" xfId="9140" xr:uid="{A3E2090E-8498-4856-AC4D-08D700BBE24C}"/>
    <cellStyle name="Millares 19 4 2 2" xfId="19192" xr:uid="{6B3FAE21-76C9-45B8-8ADC-EF11213FEC46}"/>
    <cellStyle name="Millares 19 4 3" xfId="16642" xr:uid="{F42F0A43-FAE9-45F9-8930-C928BD04FCBF}"/>
    <cellStyle name="Millares 19 4 4" xfId="15005" xr:uid="{BB6C970C-C33B-4D36-8396-925EC37E8088}"/>
    <cellStyle name="Millares 19 5" xfId="8264" xr:uid="{946CF438-7BA9-46FE-811B-9F79E2348C4C}"/>
    <cellStyle name="Millares 19 5 2" xfId="18316" xr:uid="{C06A53F3-4358-494B-856E-AA3B349BD17A}"/>
    <cellStyle name="Millares 19 5 3" xfId="14205" xr:uid="{24590D50-CCC9-42AF-BC21-2253D5364C23}"/>
    <cellStyle name="Millares 19 6" xfId="12405" xr:uid="{C39909F6-3F3D-44BC-8638-4B64DE350B4F}"/>
    <cellStyle name="Millares 19 6 2" xfId="15448" xr:uid="{08AE94B5-DD08-480D-9846-130BC7617C1B}"/>
    <cellStyle name="Millares 19 6 3" xfId="20682" xr:uid="{57D93581-55DC-442D-8386-72FFF9E21824}"/>
    <cellStyle name="Millares 19 7" xfId="16192" xr:uid="{5EE1DAD4-CACC-4E77-9177-042851D91446}"/>
    <cellStyle name="Millares 190" xfId="10867" xr:uid="{B7D3ACB5-FDAF-4C7C-83DA-10398FEE0827}"/>
    <cellStyle name="Millares 191" xfId="10864" xr:uid="{6499796A-BD9B-4E2A-B082-511A7F3DE3F6}"/>
    <cellStyle name="Millares 192" xfId="10869" xr:uid="{884DD2B1-3BB2-4DCB-AB5C-1D6BF62AAF0A}"/>
    <cellStyle name="Millares 193" xfId="10868" xr:uid="{C893F780-67AA-4E7C-8F6B-869E567139EB}"/>
    <cellStyle name="Millares 194" xfId="10862" xr:uid="{92918393-226E-42F2-8465-1313969C994D}"/>
    <cellStyle name="Millares 195" xfId="10393" xr:uid="{92C14F18-AB2E-4CD4-A660-10B08FA61A82}"/>
    <cellStyle name="Millares 196" xfId="10380" xr:uid="{4F25BDDF-ED69-493B-BF8B-F36332CD1380}"/>
    <cellStyle name="Millares 197" xfId="10389" xr:uid="{84CD95CA-B013-47DC-9582-1C4D019FF4DD}"/>
    <cellStyle name="Millares 198" xfId="10860" xr:uid="{034E1736-7842-482E-BB01-9A0208B4FB72}"/>
    <cellStyle name="Millares 199" xfId="10853" xr:uid="{47CC714F-39C7-49DA-91EC-7815D8BA9689}"/>
    <cellStyle name="Millares 2" xfId="6" xr:uid="{AFAE8A9A-8793-41C3-A450-991888AD7337}"/>
    <cellStyle name="Millares 2 10" xfId="2525" xr:uid="{02BB8F6C-E4C2-46A8-B406-E603F7E47A91}"/>
    <cellStyle name="Millares 2 10 2" xfId="12420" xr:uid="{410F8932-E063-4BB5-9197-243755DC7FBE}"/>
    <cellStyle name="Millares 2 10 2 2" xfId="19687" xr:uid="{D0CB14EA-A59A-48A8-A3C0-0923766FA19F}"/>
    <cellStyle name="Millares 2 10 2 3" xfId="20684" xr:uid="{1C98399A-5030-4697-A133-B7C76499CF95}"/>
    <cellStyle name="Millares 2 11" xfId="2526" xr:uid="{8346EFBA-AA57-41D0-8577-58186950AA67}"/>
    <cellStyle name="Millares 2 11 2" xfId="13480" xr:uid="{0F5C7E74-BECC-4EFE-8BC8-81D61FF07F93}"/>
    <cellStyle name="Millares 2 11 2 2" xfId="19688" xr:uid="{03C89E05-652B-422F-AC25-A403631460AA}"/>
    <cellStyle name="Millares 2 11 2 3" xfId="20793" xr:uid="{5D23E48F-0684-442E-8CA0-0CEFC2C69229}"/>
    <cellStyle name="Millares 2 12" xfId="2527" xr:uid="{5EB7B8F2-FB22-4B8C-806A-9C653C2FC8F9}"/>
    <cellStyle name="Millares 2 12 2" xfId="12207" xr:uid="{79267E59-4237-4218-B9BE-20011953D378}"/>
    <cellStyle name="Millares 2 12 2 2" xfId="19689" xr:uid="{7101C8CF-EF99-414C-8C92-0F18BAF39B56}"/>
    <cellStyle name="Millares 2 12 2 3" xfId="20651" xr:uid="{69C5F0CE-9715-4946-B267-6FA20FF21244}"/>
    <cellStyle name="Millares 2 13" xfId="2528" xr:uid="{661FBB60-74CA-4C2D-AC4C-19E6192DB879}"/>
    <cellStyle name="Millares 2 13 2" xfId="12208" xr:uid="{A94C9C4A-2231-4BB5-9ED6-01DD1EBF4497}"/>
    <cellStyle name="Millares 2 13 2 2" xfId="19690" xr:uid="{106046B2-F2A0-462D-8B74-47624ED6119D}"/>
    <cellStyle name="Millares 2 13 2 3" xfId="20652" xr:uid="{7E9402DA-70B3-491C-88CA-82E4E9976234}"/>
    <cellStyle name="Millares 2 14" xfId="2529" xr:uid="{D2BE336E-9762-4C5F-A0EA-74B22EEF6950}"/>
    <cellStyle name="Millares 2 14 2" xfId="13136" xr:uid="{ADCD259D-3A92-4079-B9BE-0BEE8F1B8715}"/>
    <cellStyle name="Millares 2 14 2 2" xfId="19691" xr:uid="{EC68C66F-F0E5-4FBB-B2BB-9F8B25A43D13}"/>
    <cellStyle name="Millares 2 14 2 3" xfId="20775" xr:uid="{636EAA50-E39E-4DA8-91AC-72AD203CC9D0}"/>
    <cellStyle name="Millares 2 15" xfId="2530" xr:uid="{18ADF4F7-941E-4BB3-BB19-7C4AC364FA7C}"/>
    <cellStyle name="Millares 2 15 2" xfId="11284" xr:uid="{EA9A9BFC-A561-42F4-9A5E-F5961715DFC2}"/>
    <cellStyle name="Millares 2 15 2 2" xfId="19692" xr:uid="{EF9F92FA-508B-4820-9CB6-73E39F73CF40}"/>
    <cellStyle name="Millares 2 15 2 3" xfId="20529" xr:uid="{07FF958A-938D-40E1-8EB7-EC16619C5377}"/>
    <cellStyle name="Millares 2 16" xfId="2531" xr:uid="{0EC79692-CC3D-4F5C-A5BC-0A9EDDC32198}"/>
    <cellStyle name="Millares 2 16 2" xfId="11763" xr:uid="{36CC66CA-05B7-4E23-973E-F01F57ECCA32}"/>
    <cellStyle name="Millares 2 16 2 2" xfId="19693" xr:uid="{C46BCBAA-E875-475A-ADE7-2D100F8EACC9}"/>
    <cellStyle name="Millares 2 16 2 3" xfId="20604" xr:uid="{7357470D-6026-4A9F-B5A0-BEB809634D32}"/>
    <cellStyle name="Millares 2 17" xfId="2532" xr:uid="{B27B5E4A-DAC4-4BA3-832F-E466FC1278FF}"/>
    <cellStyle name="Millares 2 17 2" xfId="13713" xr:uid="{C1C08919-31A5-4DE5-BC80-B956D9176446}"/>
    <cellStyle name="Millares 2 17 2 2" xfId="19694" xr:uid="{7B7D54E3-8ADC-4B38-A1AB-AB365F05AA09}"/>
    <cellStyle name="Millares 2 17 2 3" xfId="20810" xr:uid="{D4644BE8-09FF-477C-9754-1AF96E0F876C}"/>
    <cellStyle name="Millares 2 18" xfId="2533" xr:uid="{012261E3-1106-41AB-855E-41F036B211A7}"/>
    <cellStyle name="Millares 2 18 2" xfId="13913" xr:uid="{E77650B6-8439-4EC3-B2D7-7D44CD23365F}"/>
    <cellStyle name="Millares 2 18 2 2" xfId="19695" xr:uid="{89014781-140D-496D-84CD-27E05763BC80}"/>
    <cellStyle name="Millares 2 18 2 3" xfId="20824" xr:uid="{B7390958-66BB-4041-A43B-C6224C662F89}"/>
    <cellStyle name="Millares 2 19" xfId="2534" xr:uid="{A801AD2D-CB9C-43B9-B43F-2CD7D2AF277D}"/>
    <cellStyle name="Millares 2 19 2" xfId="11859" xr:uid="{8117C06C-3A2D-44EB-9D0A-2EA330B3430A}"/>
    <cellStyle name="Millares 2 19 2 2" xfId="19696" xr:uid="{84D3B2FE-8BCC-4CAF-9E5C-6066F8FF2617}"/>
    <cellStyle name="Millares 2 19 2 3" xfId="20630" xr:uid="{0876784D-E099-4AB7-B040-96113E26019E}"/>
    <cellStyle name="Millares 2 2" xfId="7" xr:uid="{E9FCCC96-6F52-4320-8CE1-583F6912520B}"/>
    <cellStyle name="Millares 2 2 10" xfId="2535" xr:uid="{FE4ACFC1-225B-4727-A6A5-DC3E647EF674}"/>
    <cellStyle name="Millares 2 2 11" xfId="159" xr:uid="{A98951CF-1B3D-4789-B118-B796F633D101}"/>
    <cellStyle name="Millares 2 2 11 2" xfId="12209" xr:uid="{1C6F29F2-D996-4A29-8173-C9E709A9C06E}"/>
    <cellStyle name="Millares 2 2 12" xfId="13481" xr:uid="{98FF53F7-AD4A-4642-AD8F-73DAC3F3BF71}"/>
    <cellStyle name="Millares 2 2 13" xfId="12210" xr:uid="{3294187F-4B2F-4F43-929E-BBF93738EA7F}"/>
    <cellStyle name="Millares 2 2 14" xfId="12211" xr:uid="{6A4580A1-1042-4B08-9A20-0C92A9AE6B74}"/>
    <cellStyle name="Millares 2 2 15" xfId="13137" xr:uid="{A76E7D23-4B34-4121-A8EE-DC6B1B2F45EB}"/>
    <cellStyle name="Millares 2 2 16" xfId="13714" xr:uid="{C6934DE0-7C6F-465A-86B0-FD82B9B7F2EE}"/>
    <cellStyle name="Millares 2 2 17" xfId="11023" xr:uid="{07151661-5D2D-4567-AFF0-6E4BB68B59FD}"/>
    <cellStyle name="Millares 2 2 18" xfId="11671" xr:uid="{451EB1E2-5FC8-41A2-8BC7-E12E607FE125}"/>
    <cellStyle name="Millares 2 2 19" xfId="13914" xr:uid="{A6F4E508-72A8-4D41-91E8-D40F9FFB7187}"/>
    <cellStyle name="Millares 2 2 2" xfId="403" xr:uid="{95E0961D-B907-46DF-9B76-E9E060FCD780}"/>
    <cellStyle name="Millares 2 2 2 10" xfId="12213" xr:uid="{1FB4DD6F-995D-409A-BDB1-F7CC566DE1AB}"/>
    <cellStyle name="Millares 2 2 2 11" xfId="12214" xr:uid="{FA52E3AA-380D-4445-BFDF-8C756565E40D}"/>
    <cellStyle name="Millares 2 2 2 12" xfId="13232" xr:uid="{401039EA-7D64-4CF9-8C1A-6BC395F29FFA}"/>
    <cellStyle name="Millares 2 2 2 13" xfId="13629" xr:uid="{C6D7BCEC-56BB-4869-9E81-47C5D424EB8B}"/>
    <cellStyle name="Millares 2 2 2 14" xfId="13197" xr:uid="{04F06135-3C46-4496-AEB8-55357E51225F}"/>
    <cellStyle name="Millares 2 2 2 15" xfId="13915" xr:uid="{E91A6920-A47E-481C-8EF7-2140B604F254}"/>
    <cellStyle name="Millares 2 2 2 16" xfId="11501" xr:uid="{DE57D50D-C709-4C86-A08C-B46F238E54BF}"/>
    <cellStyle name="Millares 2 2 2 17" xfId="13404" xr:uid="{B93F2F5E-8697-415D-AB0B-9A6F2D53430A}"/>
    <cellStyle name="Millares 2 2 2 18" xfId="11024" xr:uid="{4A080548-3933-444F-9B2B-D675498DB165}"/>
    <cellStyle name="Millares 2 2 2 19" xfId="12215" xr:uid="{C83ACD6D-9263-46CB-9723-E7C7CFA5ED07}"/>
    <cellStyle name="Millares 2 2 2 2" xfId="2536" xr:uid="{29658CE9-185B-4513-A1BD-CCE9BEC57857}"/>
    <cellStyle name="Millares 2 2 2 2 2" xfId="13056" xr:uid="{183416DB-5A55-44BF-9B5B-FFCF8B5A3131}"/>
    <cellStyle name="Millares 2 2 2 20" xfId="13770" xr:uid="{A6A56E4A-9B8E-4ED9-A4C7-15B47BD7351F}"/>
    <cellStyle name="Millares 2 2 2 21" xfId="13571" xr:uid="{B79DC902-9B94-4376-8E11-2D4403C34C02}"/>
    <cellStyle name="Millares 2 2 2 22" xfId="10948" xr:uid="{1A590E69-51E0-413C-B31E-14BF1CCE6296}"/>
    <cellStyle name="Millares 2 2 2 23" xfId="12216" xr:uid="{0A7D42DC-2703-4530-B80E-88B9FB5E65CF}"/>
    <cellStyle name="Millares 2 2 2 24" xfId="13311" xr:uid="{FCA3796E-952C-4012-B873-44EFFDCD5BC3}"/>
    <cellStyle name="Millares 2 2 2 25" xfId="12212" xr:uid="{22749FB5-B8CD-4CB7-89FA-5654DBC77F88}"/>
    <cellStyle name="Millares 2 2 2 3" xfId="6225" xr:uid="{C4BE055E-EE24-4A3B-9C8E-7D797459F8FE}"/>
    <cellStyle name="Millares 2 2 2 3 2" xfId="8683" xr:uid="{9E5E219E-45D8-4EB9-934F-087A724A057A}"/>
    <cellStyle name="Millares 2 2 2 3 2 2" xfId="18735" xr:uid="{6E2891B5-2B70-4026-9D40-F95AEB3509CB}"/>
    <cellStyle name="Millares 2 2 2 3 3" xfId="12217" xr:uid="{A764FADC-C5D2-4F50-B159-45FAB928E92D}"/>
    <cellStyle name="Millares 2 2 2 3 3 2" xfId="16327" xr:uid="{6B42BAD8-3A0A-4200-935C-9E66F421BE87}"/>
    <cellStyle name="Millares 2 2 2 3 3 3" xfId="20653" xr:uid="{743E1340-04C9-4BC4-8A4D-48828503E835}"/>
    <cellStyle name="Millares 2 2 2 3 4" xfId="15829" xr:uid="{ACD36BA9-6636-486C-B75C-67DF16935F96}"/>
    <cellStyle name="Millares 2 2 2 4" xfId="6226" xr:uid="{E41C6A60-2DF4-4AFC-B4D1-71CE409D5CF4}"/>
    <cellStyle name="Millares 2 2 2 4 2" xfId="9130" xr:uid="{D336124B-E983-42C9-B2B2-693D35DCDC7A}"/>
    <cellStyle name="Millares 2 2 2 4 2 2" xfId="19182" xr:uid="{3F4CC696-9990-4DE2-BE58-6A0C0DF753A2}"/>
    <cellStyle name="Millares 2 2 2 4 3" xfId="13482" xr:uid="{E35A72D6-26E1-4C3C-BDBE-2C45D1175F86}"/>
    <cellStyle name="Millares 2 2 2 4 3 2" xfId="16633" xr:uid="{1E5E69CB-A3EF-4433-BC34-7213B52448C5}"/>
    <cellStyle name="Millares 2 2 2 4 3 3" xfId="20794" xr:uid="{9248379B-B75A-422A-8655-9010C99ED2DB}"/>
    <cellStyle name="Millares 2 2 2 4 4" xfId="15013" xr:uid="{57438F12-AB7E-4C66-A8C7-F5C7DD80A6E1}"/>
    <cellStyle name="Millares 2 2 2 5" xfId="8255" xr:uid="{4956E0EC-9273-4EF1-B87D-7FA8B2486A9C}"/>
    <cellStyle name="Millares 2 2 2 5 2" xfId="12218" xr:uid="{E3411222-7372-4E21-BE17-956A1A5AB098}"/>
    <cellStyle name="Millares 2 2 2 5 2 2" xfId="18307" xr:uid="{790D068C-20E3-4E42-A4B6-9814998D474F}"/>
    <cellStyle name="Millares 2 2 2 5 2 3" xfId="20654" xr:uid="{C191A08F-C425-4577-B7E1-A293DF5CB5E9}"/>
    <cellStyle name="Millares 2 2 2 5 3" xfId="14209" xr:uid="{11C9883E-CE09-43E6-9437-5BA2FF5194B5}"/>
    <cellStyle name="Millares 2 2 2 6" xfId="12219" xr:uid="{4C6BB3CD-FF40-4C8B-9A3A-8FC578AAE061}"/>
    <cellStyle name="Millares 2 2 2 6 2" xfId="16311" xr:uid="{4D99CE74-9517-4882-968C-1E25CC47ECD4}"/>
    <cellStyle name="Millares 2 2 2 6 3" xfId="15450" xr:uid="{98536D6C-FAB4-4D93-BED3-7572452C4F46}"/>
    <cellStyle name="Millares 2 2 2 6 4" xfId="20655" xr:uid="{0C1E1904-F7B9-4AE7-9401-87F3F0D37B17}"/>
    <cellStyle name="Millares 2 2 2 7" xfId="13138" xr:uid="{814CFF22-FC7F-47BA-A4DE-328C7C317D5A}"/>
    <cellStyle name="Millares 2 2 2 7 2" xfId="16200" xr:uid="{7B85D74D-B070-411C-B7DB-486DDAC9D1C0}"/>
    <cellStyle name="Millares 2 2 2 7 3" xfId="20776" xr:uid="{2ABDFDFB-3164-4240-82CE-C60BA3B75EA0}"/>
    <cellStyle name="Millares 2 2 2 8" xfId="13715" xr:uid="{71EBC74B-418A-4AA7-88BD-3B91359A4CD6}"/>
    <cellStyle name="Millares 2 2 2 9" xfId="13916" xr:uid="{1D0FDF6B-2535-4227-B80E-9AFC29D276BF}"/>
    <cellStyle name="Millares 2 2 20" xfId="11860" xr:uid="{52A126D4-FA06-4C62-A280-C1946A4F7AC2}"/>
    <cellStyle name="Millares 2 2 21" xfId="14003" xr:uid="{64DBEFF2-5465-4661-A814-3E7CCA485129}"/>
    <cellStyle name="Millares 2 2 22" xfId="11279" xr:uid="{817D7B89-F2BE-4EAA-8E3F-6A3B9DE6E253}"/>
    <cellStyle name="Millares 2 2 23" xfId="12220" xr:uid="{7E154CB6-6C6F-4C44-95D8-73B7B77849A8}"/>
    <cellStyle name="Millares 2 2 24" xfId="13312" xr:uid="{E19F23D2-A52A-468B-B8DF-98200DC5876F}"/>
    <cellStyle name="Millares 2 2 25" xfId="11502" xr:uid="{87691C34-7A4B-4BDC-B6D6-6AD28D77F094}"/>
    <cellStyle name="Millares 2 2 26" xfId="13483" xr:uid="{A7B2E640-05D2-429F-9ECA-51E19F59D025}"/>
    <cellStyle name="Millares 2 2 27" xfId="12221" xr:uid="{F8B2E66D-EA95-4528-8437-01732DA65A2A}"/>
    <cellStyle name="Millares 2 2 28" xfId="12222" xr:uid="{69F03206-1FA4-4D22-B5C2-7EEFAE514E62}"/>
    <cellStyle name="Millares 2 2 29" xfId="11500" xr:uid="{71937D11-4D76-4C98-AC30-816F24EC0506}"/>
    <cellStyle name="Millares 2 2 3" xfId="477" xr:uid="{65B914E8-C179-4447-9248-1D44AFF79AAC}"/>
    <cellStyle name="Millares 2 2 3 10" xfId="13139" xr:uid="{AC3F01F7-A8F5-4145-8536-C3F203601E76}"/>
    <cellStyle name="Millares 2 2 3 11" xfId="13716" xr:uid="{6220315A-020D-4328-927B-59574A709F74}"/>
    <cellStyle name="Millares 2 2 3 12" xfId="13917" xr:uid="{854FAE6C-8144-4703-8FBB-25E9FE57FDC1}"/>
    <cellStyle name="Millares 2 2 3 13" xfId="12223" xr:uid="{B0354F0E-30B5-4C7B-A405-A4FBAC75FAA0}"/>
    <cellStyle name="Millares 2 2 3 14" xfId="12421" xr:uid="{BF4DD6E2-4B86-4775-AEB1-8796BCBE77C6}"/>
    <cellStyle name="Millares 2 2 3 15" xfId="12224" xr:uid="{8B3229EE-D491-4C27-AD59-3DB2C070D72C}"/>
    <cellStyle name="Millares 2 2 3 16" xfId="13366" xr:uid="{27EAC7EB-CC05-4764-8DCF-B9C548280EF4}"/>
    <cellStyle name="Millares 2 2 3 17" xfId="13231" xr:uid="{602170C8-3DE1-42B7-A3F2-B8A937ECE40F}"/>
    <cellStyle name="Millares 2 2 3 18" xfId="13628" xr:uid="{41FE7C82-7911-4894-B033-21136F5F565B}"/>
    <cellStyle name="Millares 2 2 3 19" xfId="13918" xr:uid="{7DFE9760-6E3D-4885-BF1A-504187FE2BCC}"/>
    <cellStyle name="Millares 2 2 3 2" xfId="12225" xr:uid="{2E371007-6EE9-4E1B-B74C-03887CA3290B}"/>
    <cellStyle name="Millares 2 2 3 20" xfId="13403" xr:uid="{C7772F2D-7856-4278-8CEF-B7887424F7B3}"/>
    <cellStyle name="Millares 2 2 3 21" xfId="12226" xr:uid="{A8183CA3-2F6D-41F7-B3B7-828710EC1217}"/>
    <cellStyle name="Millares 2 2 3 22" xfId="11625" xr:uid="{733490F9-2036-4C6C-BFE1-5A73CE5CFDF5}"/>
    <cellStyle name="Millares 2 2 3 23" xfId="11503" xr:uid="{756AC65A-E3EE-441E-B6F4-5237844C6131}"/>
    <cellStyle name="Millares 2 2 3 24" xfId="11624" xr:uid="{D2AAD239-8F46-446D-A9D4-AD5C4FA08C80}"/>
    <cellStyle name="Millares 2 2 3 3" xfId="13055" xr:uid="{71D38116-E639-4770-BAB9-9AB0CC2EF22D}"/>
    <cellStyle name="Millares 2 2 3 4" xfId="11188" xr:uid="{82E7A299-43C3-482C-8EDA-9743EE34C021}"/>
    <cellStyle name="Millares 2 2 3 5" xfId="13572" xr:uid="{32D9EF2D-B4D6-45C8-B3E5-F3966D51F607}"/>
    <cellStyle name="Millares 2 2 3 6" xfId="13806" xr:uid="{D85720BD-8814-4C80-AA92-17E6B82AB09C}"/>
    <cellStyle name="Millares 2 2 3 7" xfId="11189" xr:uid="{856E020E-F7E6-43FB-811A-870C0FFFA9EA}"/>
    <cellStyle name="Millares 2 2 3 8" xfId="13540" xr:uid="{0C792258-194B-468E-BDC5-3C7A0099E86D}"/>
    <cellStyle name="Millares 2 2 3 9" xfId="13807" xr:uid="{4D4FCF3A-EB2F-4976-AF01-AD4158D8191B}"/>
    <cellStyle name="Millares 2 2 4" xfId="2537" xr:uid="{20666C14-F4A8-4488-88B3-7EF6E3535648}"/>
    <cellStyle name="Millares 2 2 4 2" xfId="11861" xr:uid="{D1181760-279F-4287-8616-5227308BEA1C}"/>
    <cellStyle name="Millares 2 2 4 2 2" xfId="19697" xr:uid="{248F967F-892B-4247-A689-79D4F94CEEF6}"/>
    <cellStyle name="Millares 2 2 4 2 3" xfId="20631" xr:uid="{5C9B27FC-9A09-4FEF-A86E-71BF03A49F08}"/>
    <cellStyle name="Millares 2 2 5" xfId="2538" xr:uid="{81C98E0B-0C0B-4837-812F-36C222001601}"/>
    <cellStyle name="Millares 2 2 5 2" xfId="19698" xr:uid="{26D3BEEF-0EE0-411E-BDE3-A73444E3C536}"/>
    <cellStyle name="Millares 2 2 6" xfId="2539" xr:uid="{A304BF54-FB56-4F57-A713-5E07F8DC79B6}"/>
    <cellStyle name="Millares 2 2 6 2" xfId="13313" xr:uid="{570D3630-1112-44E5-A293-4A9A13D80A85}"/>
    <cellStyle name="Millares 2 2 6 2 2" xfId="19699" xr:uid="{52DE6CE9-AD07-4DDA-99B1-B2914810A4CB}"/>
    <cellStyle name="Millares 2 2 6 2 3" xfId="20788" xr:uid="{AC19DB13-B469-4CF7-A189-262FDE92E8FB}"/>
    <cellStyle name="Millares 2 2 7" xfId="2540" xr:uid="{40ADF829-A381-471A-8B0A-D034F92CF2D2}"/>
    <cellStyle name="Millares 2 2 7 2" xfId="12227" xr:uid="{237D0288-A020-4644-A5CD-75A034964389}"/>
    <cellStyle name="Millares 2 2 7 2 2" xfId="19700" xr:uid="{4CD8B9F3-29BB-4B8C-9405-B8F76D87C9CB}"/>
    <cellStyle name="Millares 2 2 7 2 3" xfId="20656" xr:uid="{2E5CC676-D540-4580-9F7E-137A1C4933A2}"/>
    <cellStyle name="Millares 2 2 8" xfId="2541" xr:uid="{699EA919-D959-4566-9D1A-A9919EBF91D7}"/>
    <cellStyle name="Millares 2 2 8 2" xfId="13484" xr:uid="{9CB2A6C8-00B9-4CDB-B972-F2174B658F99}"/>
    <cellStyle name="Millares 2 2 8 2 2" xfId="19701" xr:uid="{134CB447-5501-432D-B7FF-DF32F8AA5190}"/>
    <cellStyle name="Millares 2 2 8 2 3" xfId="20795" xr:uid="{489A873E-5D2A-427D-833D-AA917BF84E13}"/>
    <cellStyle name="Millares 2 2 9" xfId="2542" xr:uid="{35877E06-7F3D-42CB-9130-27A8D3A81144}"/>
    <cellStyle name="Millares 2 2 9 2" xfId="11626" xr:uid="{5FA8F50E-29CA-4557-972F-033C3D3FA41A}"/>
    <cellStyle name="Millares 2 2 9 2 2" xfId="19702" xr:uid="{D6275719-D98D-4166-89A4-9F6D0857A210}"/>
    <cellStyle name="Millares 2 2 9 2 3" xfId="20579" xr:uid="{FDA8BFAC-B7A6-4A00-B5F4-CB6BCD7839D1}"/>
    <cellStyle name="Millares 2 20" xfId="2543" xr:uid="{8FEFD3E1-2DF4-4D40-A7CC-F821D6F4B3AA}"/>
    <cellStyle name="Millares 2 20 2" xfId="12228" xr:uid="{35FA214C-C201-44B2-BBEC-0D1B8814CB6E}"/>
    <cellStyle name="Millares 2 20 2 2" xfId="19703" xr:uid="{8A18D874-03A5-4F6C-8D9C-37B3DC610459}"/>
    <cellStyle name="Millares 2 20 2 3" xfId="20657" xr:uid="{9EE44998-A0D7-42D7-8A32-56AA5AFFDC38}"/>
    <cellStyle name="Millares 2 21" xfId="2544" xr:uid="{F1B5CA35-C737-482D-A6B2-900ECA43B545}"/>
    <cellStyle name="Millares 2 21 2" xfId="12229" xr:uid="{761BABBF-F93E-437D-A025-6B66545F0EAC}"/>
    <cellStyle name="Millares 2 21 2 2" xfId="19704" xr:uid="{E96A2F0C-440B-4FC9-873F-95096819EF6D}"/>
    <cellStyle name="Millares 2 21 2 3" xfId="20658" xr:uid="{85876BEA-B258-46F9-95CD-307404F9CDB7}"/>
    <cellStyle name="Millares 2 22" xfId="2545" xr:uid="{325B4F71-876F-44C9-BCE2-E46519024639}"/>
    <cellStyle name="Millares 2 22 2" xfId="13140" xr:uid="{2011358A-8B0E-4EAF-8AA0-ABFC11A00CE4}"/>
    <cellStyle name="Millares 2 22 2 2" xfId="19705" xr:uid="{AAB3736E-63AE-47A2-A1C7-4ED46CC2A2B8}"/>
    <cellStyle name="Millares 2 22 2 3" xfId="20777" xr:uid="{8E349A6B-FC31-4FC6-92BD-FDCE27818486}"/>
    <cellStyle name="Millares 2 23" xfId="2546" xr:uid="{7BB41E07-4C25-4587-A1D4-151F91324F54}"/>
    <cellStyle name="Millares 2 23 2" xfId="13717" xr:uid="{BA0259BC-6BE5-42FA-B1D6-AD1EE9BE25B9}"/>
    <cellStyle name="Millares 2 23 2 2" xfId="19706" xr:uid="{128FE45E-3765-4F8F-AAFF-3F6486C9AF89}"/>
    <cellStyle name="Millares 2 23 2 3" xfId="20811" xr:uid="{5D5FEC2D-5DF5-400B-B90C-9374BC2684E8}"/>
    <cellStyle name="Millares 2 24" xfId="2547" xr:uid="{526D349E-7AD1-4B14-A685-5B9567537C93}"/>
    <cellStyle name="Millares 2 24 2" xfId="13919" xr:uid="{CB613D61-53D5-4EB7-92B2-99D05D981255}"/>
    <cellStyle name="Millares 2 24 2 2" xfId="19707" xr:uid="{5232C891-0312-414B-9F11-FF9813CBE5CD}"/>
    <cellStyle name="Millares 2 24 2 3" xfId="20825" xr:uid="{3F0C6F0D-48D0-4252-9B4B-546D9C95E7C5}"/>
    <cellStyle name="Millares 2 25" xfId="2548" xr:uid="{87F5B653-666F-4A7F-B5B3-F1210688AF97}"/>
    <cellStyle name="Millares 2 25 2" xfId="11256" xr:uid="{C139D527-349B-4D64-8F4E-64670496CC13}"/>
    <cellStyle name="Millares 2 25 2 2" xfId="19708" xr:uid="{D9914F1F-0FE0-434D-BD4A-63235340A8AC}"/>
    <cellStyle name="Millares 2 25 2 3" xfId="20528" xr:uid="{7B6C3C08-5A14-4723-AB9E-89751FB79EA7}"/>
    <cellStyle name="Millares 2 26" xfId="2549" xr:uid="{FC50A6FD-CAC7-4C87-B458-336F55A4AC5A}"/>
    <cellStyle name="Millares 2 26 2" xfId="11627" xr:uid="{7C9BC1C6-5BFB-4F52-9E52-31E2E3CAF889}"/>
    <cellStyle name="Millares 2 26 2 2" xfId="19709" xr:uid="{5785429A-C1DD-48B7-A764-4064939714C7}"/>
    <cellStyle name="Millares 2 26 2 3" xfId="20580" xr:uid="{5A69F9A8-84E3-4E1D-BBA6-B626C2E57067}"/>
    <cellStyle name="Millares 2 27" xfId="2550" xr:uid="{08D50E37-EE88-46C8-93D3-E74A0B9071ED}"/>
    <cellStyle name="Millares 2 27 2" xfId="12230" xr:uid="{3E5D5ADF-F026-46CD-A3FD-15A7A7296434}"/>
    <cellStyle name="Millares 2 27 2 2" xfId="19710" xr:uid="{95FC6DD6-8FBE-49DC-979B-384B30D02E3E}"/>
    <cellStyle name="Millares 2 27 2 3" xfId="20659" xr:uid="{3F3B8BF5-6C8E-41D3-980C-4BA53FBF764C}"/>
    <cellStyle name="Millares 2 28" xfId="2551" xr:uid="{AFFAFEFE-1555-4EDF-9629-9562CE6E3B0D}"/>
    <cellStyle name="Millares 2 28 2" xfId="13314" xr:uid="{FD03BBEA-965E-4D34-A816-969CD4354AE9}"/>
    <cellStyle name="Millares 2 28 2 2" xfId="19711" xr:uid="{3584830D-FCFA-4CDE-855E-B19570DE1FB6}"/>
    <cellStyle name="Millares 2 28 2 3" xfId="20789" xr:uid="{E0F01E0C-EB83-4138-B40D-CD302DFEAA36}"/>
    <cellStyle name="Millares 2 29" xfId="2552" xr:uid="{EDD1E82A-0A93-483C-9AD4-9BD53AC0EA4C}"/>
    <cellStyle name="Millares 2 29 2" xfId="12231" xr:uid="{720509F9-2126-439D-9E8C-974BD2BABBBF}"/>
    <cellStyle name="Millares 2 29 2 2" xfId="19712" xr:uid="{4AA0F5CC-3D9A-4EC9-9269-06CDD47B411D}"/>
    <cellStyle name="Millares 2 29 2 3" xfId="20660" xr:uid="{3F8FC54C-B618-4E12-A837-F9E757FB1927}"/>
    <cellStyle name="Millares 2 3" xfId="71" xr:uid="{5E24ED5D-9BC0-483A-9750-0EB28AC22210}"/>
    <cellStyle name="Millares 2 3 10" xfId="13198" xr:uid="{AE1B9060-CFCD-47D4-BEAB-4ECC2D76D87A}"/>
    <cellStyle name="Millares 2 3 11" xfId="12422" xr:uid="{23F1EA89-7AA7-41E9-BEF2-8C869212B802}"/>
    <cellStyle name="Millares 2 3 12" xfId="12975" xr:uid="{CAB3DAB1-A4F8-44FD-B6DD-81D0DCBA1E2B}"/>
    <cellStyle name="Millares 2 3 13" xfId="12976" xr:uid="{C5FE941B-56D1-4EB6-874C-492EC897E80B}"/>
    <cellStyle name="Millares 2 3 14" xfId="11504" xr:uid="{105456EC-B93F-42AB-978F-EC3E382B7397}"/>
    <cellStyle name="Millares 2 3 15" xfId="13141" xr:uid="{1F0B4F95-32F2-4E40-8D1B-2DCD6A1193BF}"/>
    <cellStyle name="Millares 2 3 16" xfId="13718" xr:uid="{06F111EC-A702-4478-89DC-BB5B96E76DFB}"/>
    <cellStyle name="Millares 2 3 17" xfId="13920" xr:uid="{5C016494-2DB9-4F1B-A4E8-F796D68C8E71}"/>
    <cellStyle name="Millares 2 3 18" xfId="12232" xr:uid="{752D2180-2A96-4E43-9E49-F993FC555A44}"/>
    <cellStyle name="Millares 2 3 19" xfId="12233" xr:uid="{C926969E-D9CB-4DE7-89D7-89517D22378C}"/>
    <cellStyle name="Millares 2 3 2" xfId="6048" xr:uid="{3F31AF1F-E043-436E-AE2E-6EB819842979}"/>
    <cellStyle name="Millares 2 3 2 10" xfId="12234" xr:uid="{6CE05C44-B3AA-45F8-BD79-A2AD5EE011E3}"/>
    <cellStyle name="Millares 2 3 2 11" xfId="13234" xr:uid="{7C4A2846-F907-4F29-BE9A-67F3E18EAADD}"/>
    <cellStyle name="Millares 2 3 2 12" xfId="13631" xr:uid="{8A527788-D57D-450C-BFB0-6EE4AC840BBD}"/>
    <cellStyle name="Millares 2 3 2 13" xfId="13921" xr:uid="{3A60F69F-15A1-4604-AE7B-AE4C29D9B758}"/>
    <cellStyle name="Millares 2 3 2 14" xfId="12235" xr:uid="{88D66534-ED64-47BB-8B17-AD69B8F14D39}"/>
    <cellStyle name="Millares 2 3 2 15" xfId="13406" xr:uid="{6F491BC3-8F03-4923-916B-E4DD3E3FF94A}"/>
    <cellStyle name="Millares 2 3 2 16" xfId="14004" xr:uid="{3077537D-C350-4E64-A00E-9F055991B0EF}"/>
    <cellStyle name="Millares 2 3 2 17" xfId="12236" xr:uid="{722367FD-8BB9-43BE-8C5C-A5CC70C41F88}"/>
    <cellStyle name="Millares 2 3 2 18" xfId="12237" xr:uid="{C56D23F7-FAE1-4539-BAA5-F3644AEE37F3}"/>
    <cellStyle name="Millares 2 3 2 19" xfId="13058" xr:uid="{65A2CAC5-FFBF-40DE-955F-8FF76DB0F171}"/>
    <cellStyle name="Millares 2 3 2 2" xfId="13573" xr:uid="{D9F12EF9-1C51-4C9A-897A-C68202015CC6}"/>
    <cellStyle name="Millares 2 3 2 2 2" xfId="19713" xr:uid="{6F60A62A-2972-4450-913B-24BD2FE1E12A}"/>
    <cellStyle name="Millares 2 3 2 2 3" xfId="20801" xr:uid="{A8579812-B25B-44A9-A4D2-449330C4D074}"/>
    <cellStyle name="Millares 2 3 2 20" xfId="11862" xr:uid="{34B396A2-01DC-4420-A1F5-78518E2D69F6}"/>
    <cellStyle name="Millares 2 3 2 21" xfId="11505" xr:uid="{108D804A-4D27-4FAE-AE8F-578F8A49FB37}"/>
    <cellStyle name="Millares 2 3 2 22" xfId="11628" xr:uid="{B032ED33-808B-4449-A381-98B6C6C74CAA}"/>
    <cellStyle name="Millares 2 3 2 23" xfId="13315" xr:uid="{4EBF9216-B486-4FDC-BDF1-30140206E3EE}"/>
    <cellStyle name="Millares 2 3 2 24" xfId="13771" xr:uid="{CEF0EF98-8A1A-436E-8E00-68856339D40A}"/>
    <cellStyle name="Millares 2 3 2 3" xfId="11506" xr:uid="{87F6E142-5065-4730-8A72-F6B5B6C3EE79}"/>
    <cellStyle name="Millares 2 3 2 4" xfId="13486" xr:uid="{B816A841-FE08-43B4-AA35-5EFEF81E45F3}"/>
    <cellStyle name="Millares 2 3 2 5" xfId="12238" xr:uid="{E9DFB6C3-4F97-4D3F-B069-B7F343641198}"/>
    <cellStyle name="Millares 2 3 2 6" xfId="12239" xr:uid="{04D5784F-BC96-4DB8-BCB6-8AEC94BC2D5E}"/>
    <cellStyle name="Millares 2 3 2 7" xfId="13142" xr:uid="{A7BB539E-4965-41F7-817A-3F296DD2F532}"/>
    <cellStyle name="Millares 2 3 2 8" xfId="11629" xr:uid="{4BA1AF7F-FDA2-4B25-9E5D-55380411E48E}"/>
    <cellStyle name="Millares 2 3 2 9" xfId="13719" xr:uid="{4EAF8345-D3AB-467C-9502-485E2ED7CC2A}"/>
    <cellStyle name="Millares 2 3 20" xfId="13922" xr:uid="{20C78E22-9814-421E-88B5-266C3317A4EA}"/>
    <cellStyle name="Millares 2 3 21" xfId="12609" xr:uid="{B852B8ED-5BD3-44BF-A1ED-15529ECAB263}"/>
    <cellStyle name="Millares 2 3 22" xfId="12240" xr:uid="{27DF3B2B-4B84-45F2-AA86-599728AAA107}"/>
    <cellStyle name="Millares 2 3 23" xfId="13316" xr:uid="{DDAC8DF6-E22E-4AA8-B884-BB071311B06F}"/>
    <cellStyle name="Millares 2 3 24" xfId="12241" xr:uid="{479C0945-22DF-4D8F-8280-D0E78375BC58}"/>
    <cellStyle name="Millares 2 3 25" xfId="13485" xr:uid="{61B591CD-08E7-44D8-A322-62829640C142}"/>
    <cellStyle name="Millares 2 3 3" xfId="402" xr:uid="{24BB30CC-4F6B-4D36-AF8B-7B4C2AC2FA9C}"/>
    <cellStyle name="Millares 2 3 3 10" xfId="13487" xr:uid="{8189FBD6-4706-4069-8755-6E78B153529D}"/>
    <cellStyle name="Millares 2 3 3 11" xfId="12242" xr:uid="{E22DDA45-7B6B-4A77-8722-B251A1D808FF}"/>
    <cellStyle name="Millares 2 3 3 12" xfId="12512" xr:uid="{87D76D4B-4EAB-43C3-9F1D-FD15164BCA74}"/>
    <cellStyle name="Millares 2 3 3 13" xfId="13143" xr:uid="{3B4CD7A8-4E9A-4B1C-95D5-7B97DB8ACCD4}"/>
    <cellStyle name="Millares 2 3 3 14" xfId="13720" xr:uid="{0DEA21F8-D6E9-45F9-876E-19FF85BF0BEE}"/>
    <cellStyle name="Millares 2 3 3 15" xfId="13923" xr:uid="{531DA5BF-283E-4BD6-B4ED-A1C77909A0E8}"/>
    <cellStyle name="Millares 2 3 3 16" xfId="13260" xr:uid="{4B156809-2CDB-4EF8-A304-9E0EF8A50E64}"/>
    <cellStyle name="Millares 2 3 3 17" xfId="12243" xr:uid="{0D8E6164-0113-4A4D-BAF3-50E27EB206AF}"/>
    <cellStyle name="Millares 2 3 3 18" xfId="12244" xr:uid="{39B0C2B1-0B83-4250-9345-74E8D270846E}"/>
    <cellStyle name="Millares 2 3 3 19" xfId="12245" xr:uid="{CCD47A1B-A3CD-4255-B473-2F3A69554A05}"/>
    <cellStyle name="Millares 2 3 3 2" xfId="13233" xr:uid="{7D6B5552-A1D9-4799-B869-D232A1A840A0}"/>
    <cellStyle name="Millares 2 3 3 20" xfId="13630" xr:uid="{BB07BD7B-7D60-41CB-85E8-0908BC959125}"/>
    <cellStyle name="Millares 2 3 3 21" xfId="13924" xr:uid="{18B1C6AE-B3CA-4135-8236-2995CD99D6A8}"/>
    <cellStyle name="Millares 2 3 3 22" xfId="13659" xr:uid="{0D5499A6-B73D-4E50-ABC9-6932DC9F02E7}"/>
    <cellStyle name="Millares 2 3 3 23" xfId="12246" xr:uid="{D7287D10-6FE1-498F-B8D2-2A8D43980B6E}"/>
    <cellStyle name="Millares 2 3 3 24" xfId="11630" xr:uid="{72C3407E-E3A6-44EF-9E9F-20068087BE25}"/>
    <cellStyle name="Millares 2 3 3 3" xfId="13405" xr:uid="{BD961BD4-9B89-4493-A969-5E25065750AB}"/>
    <cellStyle name="Millares 2 3 3 4" xfId="12247" xr:uid="{881664C5-5613-4B68-A8E3-EBB8C45C9D40}"/>
    <cellStyle name="Millares 2 3 3 5" xfId="12248" xr:uid="{DE81D2D6-6C05-4893-9AED-5BA887B2FC50}"/>
    <cellStyle name="Millares 2 3 3 6" xfId="13057" xr:uid="{5EAF94D1-5461-4842-BA28-C661C1986735}"/>
    <cellStyle name="Millares 2 3 3 7" xfId="11190" xr:uid="{86AD3446-838A-4D24-8053-0418E3A80198}"/>
    <cellStyle name="Millares 2 3 3 8" xfId="14005" xr:uid="{2809D1F5-ECB1-4C9F-BE6A-0C91D5A38A3A}"/>
    <cellStyle name="Millares 2 3 3 9" xfId="13808" xr:uid="{BE68A1B0-8B4E-41D1-8A9A-F74208BE2EF6}"/>
    <cellStyle name="Millares 2 3 4" xfId="6227" xr:uid="{149C2101-463B-437A-B635-E926FD90DC51}"/>
    <cellStyle name="Millares 2 3 4 2" xfId="11863" xr:uid="{2BAF2482-4E69-45DA-BC89-FC90A26E8959}"/>
    <cellStyle name="Millares 2 3 5" xfId="12249" xr:uid="{267B1D5C-2C86-478E-80F3-DC297DF57297}"/>
    <cellStyle name="Millares 2 3 6" xfId="13317" xr:uid="{CB1D7B5A-84DB-4BD4-A40A-C1246C7BE4CD}"/>
    <cellStyle name="Millares 2 3 7" xfId="11507" xr:uid="{6EF7B9A9-B649-4051-98D7-DDCEB2766E4C}"/>
    <cellStyle name="Millares 2 3 8" xfId="13488" xr:uid="{3CBD3D84-C6A5-4E18-B677-F77418D04725}"/>
    <cellStyle name="Millares 2 3 9" xfId="11631" xr:uid="{5D420F4A-218A-4089-8AF6-96EF9DB69C78}"/>
    <cellStyle name="Millares 2 30" xfId="2553" xr:uid="{2ACDAE7A-DA8A-49EF-B467-6C0CA9C7A46C}"/>
    <cellStyle name="Millares 2 30 2" xfId="12250" xr:uid="{F0504FBD-8052-442A-9FB6-20004685A0B2}"/>
    <cellStyle name="Millares 2 30 2 2" xfId="19714" xr:uid="{CFD57AED-361F-4281-AE29-AF45BBBC8C5E}"/>
    <cellStyle name="Millares 2 30 2 3" xfId="20661" xr:uid="{EF167852-5F4A-40EC-BE8D-7A25637FB172}"/>
    <cellStyle name="Millares 2 31" xfId="2554" xr:uid="{7B1E287E-639E-40ED-BE64-33855B534F40}"/>
    <cellStyle name="Millares 2 31 2" xfId="12251" xr:uid="{2758385B-ACB5-4C3E-8C5C-C55D0EF0E39D}"/>
    <cellStyle name="Millares 2 31 2 2" xfId="19715" xr:uid="{BF195521-3010-43D1-AABD-2D9474F8516A}"/>
    <cellStyle name="Millares 2 31 2 3" xfId="20662" xr:uid="{8501280F-8FD1-49E6-AB11-30735347727E}"/>
    <cellStyle name="Millares 2 32" xfId="2555" xr:uid="{26270FDB-76CA-4141-A63A-6522A421B50B}"/>
    <cellStyle name="Millares 2 32 2" xfId="13144" xr:uid="{502AF221-C0AB-492A-9876-97F7A1D80DE0}"/>
    <cellStyle name="Millares 2 32 2 2" xfId="19716" xr:uid="{9481F350-21CC-4A8E-9926-88CDDBE86545}"/>
    <cellStyle name="Millares 2 32 2 3" xfId="20778" xr:uid="{EEA37316-EDF4-468E-8D19-F8A05F20973B}"/>
    <cellStyle name="Millares 2 33" xfId="2556" xr:uid="{1493F89E-1245-43E2-861A-5CA84046028D}"/>
    <cellStyle name="Millares 2 33 2" xfId="13721" xr:uid="{9DC124FD-C3F3-4E70-BFFB-94B094B22FC3}"/>
    <cellStyle name="Millares 2 33 2 2" xfId="19717" xr:uid="{87C9F232-2B2E-4B81-9F52-7C3085A0CF9B}"/>
    <cellStyle name="Millares 2 33 2 3" xfId="20812" xr:uid="{A421AE81-4330-43FC-88FC-27A5A81186EA}"/>
    <cellStyle name="Millares 2 34" xfId="2557" xr:uid="{100EFF8A-CA8B-467F-B536-E2CA59887648}"/>
    <cellStyle name="Millares 2 34 2" xfId="19718" xr:uid="{07D52324-9061-4AB9-A569-0DF911FE8640}"/>
    <cellStyle name="Millares 2 35" xfId="2558" xr:uid="{7D7BFDBB-075B-43D4-B6FE-009D6BDE78CA}"/>
    <cellStyle name="Millares 2 35 2" xfId="19719" xr:uid="{D9170703-A3E8-4A03-A7F5-964C8278BBAF}"/>
    <cellStyle name="Millares 2 36" xfId="2559" xr:uid="{B7912FD7-4001-46AB-8CC2-855ED9190AB8}"/>
    <cellStyle name="Millares 2 36 2" xfId="19720" xr:uid="{96F444C2-4635-4A75-B2B1-11F711C00B8B}"/>
    <cellStyle name="Millares 2 37" xfId="2560" xr:uid="{A64977CB-5775-44EC-B939-51A28680D133}"/>
    <cellStyle name="Millares 2 37 2" xfId="19721" xr:uid="{01F8EBA1-9F57-477C-AC16-3E0A73790C8E}"/>
    <cellStyle name="Millares 2 38" xfId="2561" xr:uid="{73955DCC-080F-4EB5-AD2A-40E9B4AE46C1}"/>
    <cellStyle name="Millares 2 38 2" xfId="19722" xr:uid="{E4A78357-E58B-48CA-BAA0-9CE9BE77C0FA}"/>
    <cellStyle name="Millares 2 39" xfId="2562" xr:uid="{A8DC562E-DD79-4316-94DA-8DA885EC58EB}"/>
    <cellStyle name="Millares 2 39 2" xfId="19723" xr:uid="{CAF91837-7C54-4291-9DD8-36B16B62CAC9}"/>
    <cellStyle name="Millares 2 4" xfId="61" xr:uid="{41C6CF23-8255-4199-B875-440FD7956FA1}"/>
    <cellStyle name="Millares 2 4 10" xfId="11864" xr:uid="{F6FDE2A8-042E-46F4-BDE0-983396B371CB}"/>
    <cellStyle name="Millares 2 4 11" xfId="13430" xr:uid="{F62303EB-98BD-4655-9342-4E87EF9B1BD3}"/>
    <cellStyle name="Millares 2 4 12" xfId="12252" xr:uid="{663DCC45-ABB7-4F92-9EEF-84B6170CFA6C}"/>
    <cellStyle name="Millares 2 4 13" xfId="13318" xr:uid="{02A2DA0E-C791-4381-8833-005860999F18}"/>
    <cellStyle name="Millares 2 4 14" xfId="12253" xr:uid="{AEF83519-24B4-409B-80DB-682C8D0235E0}"/>
    <cellStyle name="Millares 2 4 15" xfId="13489" xr:uid="{D887ECD8-379E-4BD9-BB96-83CF5965910F}"/>
    <cellStyle name="Millares 2 4 16" xfId="11632" xr:uid="{DBECD3D5-97D4-4DEC-81CE-AF493855E68F}"/>
    <cellStyle name="Millares 2 4 17" xfId="12423" xr:uid="{E602234A-3134-406B-8462-10185FAA1957}"/>
    <cellStyle name="Millares 2 4 18" xfId="11221" xr:uid="{581B1BA2-848D-4620-B022-E9D5A46A78E2}"/>
    <cellStyle name="Millares 2 4 19" xfId="12023" xr:uid="{94B077F5-0032-402A-B63E-AAAED4D65DEC}"/>
    <cellStyle name="Millares 2 4 2" xfId="2563" xr:uid="{B6C2A04B-47FC-4B59-BEA0-C2496C07A284}"/>
    <cellStyle name="Millares 2 4 2 2" xfId="11665" xr:uid="{DA4AC9FD-0851-4080-8F5E-9DE1AE9D83C6}"/>
    <cellStyle name="Millares 2 4 20" xfId="13145" xr:uid="{A0BAB0DF-1AEE-4B9B-AB8A-C7F523633F12}"/>
    <cellStyle name="Millares 2 4 21" xfId="13722" xr:uid="{C67076D6-A841-41FD-8026-536B187A0438}"/>
    <cellStyle name="Millares 2 4 22" xfId="13925" xr:uid="{224F465E-00DB-4FEC-A171-64D5CE012085}"/>
    <cellStyle name="Millares 2 4 23" xfId="12254" xr:uid="{CA11799E-2B5C-4D12-9264-57451394C137}"/>
    <cellStyle name="Millares 2 4 3" xfId="6073" xr:uid="{BDF907C3-3600-4D1B-AFCA-597C4170A8DF}"/>
    <cellStyle name="Millares 2 4 3 2" xfId="9569" xr:uid="{AF96494A-E824-4F3B-9533-F1B05AEC9F75}"/>
    <cellStyle name="Millares 2 4 3 2 2" xfId="19621" xr:uid="{A83EA4F6-6DB6-4F62-8D4C-41A57B70EF41}"/>
    <cellStyle name="Millares 2 4 3 2 3" xfId="16281" xr:uid="{D0FE7D48-3DAB-4985-B4D0-C0C47939B7F0}"/>
    <cellStyle name="Millares 2 4 3 3" xfId="12255" xr:uid="{EF2B189C-E038-447C-A875-1AFD31E6C99C}"/>
    <cellStyle name="Millares 2 4 3 3 2" xfId="17070" xr:uid="{8918DAD5-6757-46B2-BDF6-156EF53964C9}"/>
    <cellStyle name="Millares 2 4 3 3 3" xfId="14175" xr:uid="{BE948A86-7859-4373-A42F-F2280FE3012D}"/>
    <cellStyle name="Millares 2 4 3 3 4" xfId="20663" xr:uid="{B2A008C2-0C0D-4F4E-B230-0CFA67CE77B7}"/>
    <cellStyle name="Millares 2 4 3 4" xfId="14815" xr:uid="{68DE130A-A324-4526-B16F-A8A5FD2C6733}"/>
    <cellStyle name="Millares 2 4 4" xfId="474" xr:uid="{3FD9B620-934C-4BC8-B254-DC72235D7B60}"/>
    <cellStyle name="Millares 2 4 4 2" xfId="12462" xr:uid="{286C5CAF-0130-4EA3-9A76-708B6B9C47F5}"/>
    <cellStyle name="Millares 2 4 5" xfId="6228" xr:uid="{F052CFCD-F8B0-486A-88FB-DD2B60BD901B}"/>
    <cellStyle name="Millares 2 4 5 2" xfId="9115" xr:uid="{C012488A-3726-4BE0-9D52-5CE363CF6DB1}"/>
    <cellStyle name="Millares 2 4 5 2 2" xfId="19167" xr:uid="{046A8518-15CF-4912-AF46-26FA6BD82774}"/>
    <cellStyle name="Millares 2 4 5 3" xfId="11508" xr:uid="{20C6921E-E94D-4B4D-BD2D-E7151C3D4321}"/>
    <cellStyle name="Millares 2 4 5 3 2" xfId="16619" xr:uid="{4A01C30C-1E36-498E-BFC8-01A5384C6F21}"/>
    <cellStyle name="Millares 2 4 5 3 3" xfId="20578" xr:uid="{D0E67B42-A57D-41E3-9975-7EC39C94F4B3}"/>
    <cellStyle name="Millares 2 4 5 4" xfId="14141" xr:uid="{9AB730EB-FB2E-4105-832D-B8348499462A}"/>
    <cellStyle name="Millares 2 4 6" xfId="13235" xr:uid="{90D1FA72-B0D2-4CDC-913B-C40B407FEF61}"/>
    <cellStyle name="Millares 2 4 6 2" xfId="15455" xr:uid="{05E3D633-971D-411E-94DE-D1FD70027719}"/>
    <cellStyle name="Millares 2 4 6 3" xfId="20785" xr:uid="{1730762A-E796-40EE-8B6C-8BB59B5E74EE}"/>
    <cellStyle name="Millares 2 4 7" xfId="13632" xr:uid="{B1D1DE01-4DE0-4A8D-832C-78E37066035D}"/>
    <cellStyle name="Millares 2 4 8" xfId="13926" xr:uid="{0A256111-8F53-4663-AA2A-3D11255D0C5A}"/>
    <cellStyle name="Millares 2 4 9" xfId="12256" xr:uid="{66D1395A-B9CF-46D3-9F36-6806D203A706}"/>
    <cellStyle name="Millares 2 40" xfId="2564" xr:uid="{30EA76DA-198C-4410-B3DB-42CB66B24C3C}"/>
    <cellStyle name="Millares 2 40 2" xfId="19724" xr:uid="{1A53DDB1-DD45-417A-BC02-DFEF1110964A}"/>
    <cellStyle name="Millares 2 41" xfId="2565" xr:uid="{11F3DFE1-C1F7-42FB-88AE-739A9C10AF7D}"/>
    <cellStyle name="Millares 2 41 2" xfId="19725" xr:uid="{8EB6179E-8C50-4B21-B233-8EC6717710BC}"/>
    <cellStyle name="Millares 2 42" xfId="2566" xr:uid="{03D9F217-DDB0-4AB6-B63B-851C4F224DFC}"/>
    <cellStyle name="Millares 2 42 2" xfId="19726" xr:uid="{71F307A9-0CE9-4BF6-A796-5A2A62D3E128}"/>
    <cellStyle name="Millares 2 43" xfId="2567" xr:uid="{0A46696E-90BB-43AF-8FAE-3CC58E1A9DA5}"/>
    <cellStyle name="Millares 2 43 2" xfId="19727" xr:uid="{DB207CEE-D03D-4F1A-A17D-B053ECB6C18A}"/>
    <cellStyle name="Millares 2 44" xfId="2568" xr:uid="{E42DD4B0-1607-4779-88AB-D619D49A16F7}"/>
    <cellStyle name="Millares 2 44 2" xfId="19728" xr:uid="{DB9B9CE6-745B-4F00-9640-AFB966E9F182}"/>
    <cellStyle name="Millares 2 45" xfId="2569" xr:uid="{68EE4272-DDA8-4D0B-8BEE-C09FE7D49ACC}"/>
    <cellStyle name="Millares 2 45 2" xfId="19729" xr:uid="{13DEC642-9E69-42D6-9C57-47510D046DFE}"/>
    <cellStyle name="Millares 2 46" xfId="2570" xr:uid="{EE80F6B6-12C1-4BB7-A134-59019DCB9E55}"/>
    <cellStyle name="Millares 2 46 2" xfId="19730" xr:uid="{EB548D74-4FAE-4356-8544-7EF3D99F206F}"/>
    <cellStyle name="Millares 2 47" xfId="2571" xr:uid="{CBA9E2AC-A5CE-497D-A76B-C6764375066D}"/>
    <cellStyle name="Millares 2 47 2" xfId="19731" xr:uid="{DD1D2E65-6EC3-4FD3-82C5-AD27F7F2DF0A}"/>
    <cellStyle name="Millares 2 48" xfId="2572" xr:uid="{6DA55E00-B7EC-48A3-AF9C-A9536B9BD2BB}"/>
    <cellStyle name="Millares 2 48 2" xfId="19732" xr:uid="{48AB7763-0963-427A-B0D4-5DB5A7800774}"/>
    <cellStyle name="Millares 2 49" xfId="2573" xr:uid="{54AE2D56-C7D9-4055-B765-E478AEB47739}"/>
    <cellStyle name="Millares 2 49 2" xfId="19733" xr:uid="{9FA70BBB-A848-4E1D-B4B3-43EE17AB1390}"/>
    <cellStyle name="Millares 2 5" xfId="80" xr:uid="{C76B7746-D2CD-43F5-A2C5-2E401EDFE261}"/>
    <cellStyle name="Millares 2 5 10" xfId="13084" xr:uid="{0524A606-CD00-47E4-983D-C1DD50183367}"/>
    <cellStyle name="Millares 2 5 11" xfId="12257" xr:uid="{EAFB9559-F01B-4B24-85BB-763E9F8137DB}"/>
    <cellStyle name="Millares 2 5 12" xfId="12258" xr:uid="{82346DD4-EA53-4C16-B6E9-4CCA01E51E48}"/>
    <cellStyle name="Millares 2 5 13" xfId="13059" xr:uid="{D674F603-AFBC-4E9B-8F1D-564B0A962FCD}"/>
    <cellStyle name="Millares 2 5 14" xfId="13574" xr:uid="{5D3D41D2-DF4B-4FCE-AC71-ACEFB1286C3E}"/>
    <cellStyle name="Millares 2 5 15" xfId="12259" xr:uid="{C8E09B24-2A03-425E-917E-BA1EE318BA84}"/>
    <cellStyle name="Millares 2 5 16" xfId="13372" xr:uid="{2ECCA7FC-CC8B-4EA3-8EEE-A6DB358B85FC}"/>
    <cellStyle name="Millares 2 5 17" xfId="12830" xr:uid="{79603701-D629-4864-BFA8-DC1C33B31761}"/>
    <cellStyle name="Millares 2 5 18" xfId="11038" xr:uid="{09746AB0-FCBA-4C2D-BFB2-3BB7BE760F5C}"/>
    <cellStyle name="Millares 2 5 19" xfId="11191" xr:uid="{E3BA8FE4-EAE0-43D6-BAA0-121E2DEF0193}"/>
    <cellStyle name="Millares 2 5 2" xfId="6024" xr:uid="{1BD491E8-5716-4D45-849A-D620B7EB7A49}"/>
    <cellStyle name="Millares 2 5 2 2" xfId="12260" xr:uid="{A8141802-CCF5-4F71-B2B1-B14D3E7C084E}"/>
    <cellStyle name="Millares 2 5 2 2 2" xfId="19734" xr:uid="{0D0ABF4E-FA89-4FE2-8307-15A4D834CB08}"/>
    <cellStyle name="Millares 2 5 2 2 3" xfId="20664" xr:uid="{D8D02744-C7D7-4414-ADDF-1747D19D9F40}"/>
    <cellStyle name="Millares 2 5 2 3" xfId="11865" xr:uid="{A3897408-1AEC-4588-8497-27629395FC93}"/>
    <cellStyle name="Millares 2 5 20" xfId="13236" xr:uid="{B16B6D67-07F7-447F-8FE0-29E5DE4E065A}"/>
    <cellStyle name="Millares 2 5 21" xfId="13778" xr:uid="{F7BF00B6-D772-4EAF-BC08-53A0FBE05A34}"/>
    <cellStyle name="Millares 2 5 22" xfId="13601" xr:uid="{8361B568-A06C-40AE-855C-4A8ED0FFD454}"/>
    <cellStyle name="Millares 2 5 23" xfId="14014" xr:uid="{21854C7E-E6D6-4BC4-A6A6-49B6F7AF48A0}"/>
    <cellStyle name="Millares 2 5 24" xfId="12424" xr:uid="{BE440E20-E727-489E-93B4-9158146054AE}"/>
    <cellStyle name="Millares 2 5 25" xfId="13408" xr:uid="{31DE28DF-9184-483B-8FC2-223EF26C6E5A}"/>
    <cellStyle name="Millares 2 5 26" xfId="13407" xr:uid="{AA54D269-7A55-4EE0-9C07-FF1ADEF2919C}"/>
    <cellStyle name="Millares 2 5 3" xfId="2574" xr:uid="{A58924D7-9DEB-4695-83D3-8FA8B68D6501}"/>
    <cellStyle name="Millares 2 5 3 2" xfId="13060" xr:uid="{73CA7C53-EBB3-4524-BCB6-7E206730AE9F}"/>
    <cellStyle name="Millares 2 5 4" xfId="6229" xr:uid="{05D14117-41A5-4CD6-AF96-29B6855BAA29}"/>
    <cellStyle name="Millares 2 5 4 2" xfId="11866" xr:uid="{35604EE5-2D34-4C01-9EF5-A7148F132ED6}"/>
    <cellStyle name="Millares 2 5 5" xfId="12261" xr:uid="{BB8F29CE-5164-41FC-9835-421E7A04E01D}"/>
    <cellStyle name="Millares 2 5 6" xfId="13834" xr:uid="{63771C41-D00E-468A-9F20-06B3CDF27C2C}"/>
    <cellStyle name="Millares 2 5 7" xfId="13319" xr:uid="{60880327-3B62-4CC3-978E-530F62A20B9C}"/>
    <cellStyle name="Millares 2 5 8" xfId="11039" xr:uid="{BB84A197-8475-4820-84BE-A4F9B56B6DCE}"/>
    <cellStyle name="Millares 2 5 9" xfId="13490" xr:uid="{B838A819-36C9-4439-A77E-4EDB74992294}"/>
    <cellStyle name="Millares 2 50" xfId="2575" xr:uid="{FA2CBE0B-0EBA-4CDD-AB36-3605BB7F4B71}"/>
    <cellStyle name="Millares 2 50 2" xfId="19735" xr:uid="{BC8E7E10-19CB-42FC-959E-A21A4D90B329}"/>
    <cellStyle name="Millares 2 51" xfId="2576" xr:uid="{325A8663-EDBA-4F0E-9D73-4F8BF14984AF}"/>
    <cellStyle name="Millares 2 51 2" xfId="19736" xr:uid="{C8CD8157-FAA2-45E6-AF52-0EA9A71F1573}"/>
    <cellStyle name="Millares 2 52" xfId="2577" xr:uid="{08A2E0C6-5550-4F59-BC1B-2668387C5A0E}"/>
    <cellStyle name="Millares 2 52 2" xfId="19737" xr:uid="{54C94410-CE82-418B-8AB6-B73680C184BE}"/>
    <cellStyle name="Millares 2 53" xfId="2578" xr:uid="{900B3EE9-273B-4E78-9C3C-8806DF690F6A}"/>
    <cellStyle name="Millares 2 53 2" xfId="19738" xr:uid="{13603FA2-8B6D-4A24-BF3B-8955FE217C58}"/>
    <cellStyle name="Millares 2 54" xfId="2579" xr:uid="{CB765EAB-8E32-44C3-9FC8-DFA47A087323}"/>
    <cellStyle name="Millares 2 54 2" xfId="19739" xr:uid="{D3A8C3C1-D6F0-48CB-B003-6A21EEF0FFAA}"/>
    <cellStyle name="Millares 2 55" xfId="2580" xr:uid="{A0D455D6-E235-4923-BCD4-4B7F6344CF48}"/>
    <cellStyle name="Millares 2 55 2" xfId="19740" xr:uid="{C6B27873-EAA1-40E3-9BB0-CEE5A38841F5}"/>
    <cellStyle name="Millares 2 56" xfId="2581" xr:uid="{65C17B0A-8011-4FB1-8200-E16B898C8825}"/>
    <cellStyle name="Millares 2 56 2" xfId="19741" xr:uid="{5321C2E2-1C88-4286-99ED-4F4F195C692D}"/>
    <cellStyle name="Millares 2 57" xfId="2582" xr:uid="{B1A56FE9-E4CA-4E0D-A507-EBBA131E2DD4}"/>
    <cellStyle name="Millares 2 57 2" xfId="19742" xr:uid="{BC6BB7A2-48E5-45EF-A30C-9E0A2F47C488}"/>
    <cellStyle name="Millares 2 58" xfId="2583" xr:uid="{5312B047-458A-4F04-A974-74284DD9BC90}"/>
    <cellStyle name="Millares 2 58 2" xfId="19743" xr:uid="{01318AEE-6E42-4325-AE5B-7B3A59AD3A13}"/>
    <cellStyle name="Millares 2 59" xfId="2584" xr:uid="{49DD3096-271C-41DC-AFC6-1B5BF0B2F592}"/>
    <cellStyle name="Millares 2 59 2" xfId="19744" xr:uid="{70BE2276-2A68-4395-AD1B-4357A403DDDD}"/>
    <cellStyle name="Millares 2 6" xfId="78" xr:uid="{739DB317-AF96-425A-87FE-69320CD94180}"/>
    <cellStyle name="Millares 2 6 2" xfId="6047" xr:uid="{4FD2EACB-25A7-40CD-AE60-891039275DF5}"/>
    <cellStyle name="Millares 2 6 2 2" xfId="12262" xr:uid="{4937ED9C-B8D0-4D20-BB5A-8A4384C5D39F}"/>
    <cellStyle name="Millares 2 6 2 2 2" xfId="19745" xr:uid="{3EDF7C8C-BB74-403D-AE6E-5E25D9BC0504}"/>
    <cellStyle name="Millares 2 6 2 2 3" xfId="20665" xr:uid="{CE7F1915-93D9-443E-90CA-56C6A5FAEB0B}"/>
    <cellStyle name="Millares 2 6 3" xfId="2585" xr:uid="{91AE1A05-E379-4D52-A841-FA5F1F50D0C1}"/>
    <cellStyle name="Millares 2 6 4" xfId="6230" xr:uid="{BA182E54-3529-4E0C-A639-943C2C260069}"/>
    <cellStyle name="Millares 2 6 5" xfId="11509" xr:uid="{FE47CCBB-2DCF-4725-B4BC-A836F9C7D5D6}"/>
    <cellStyle name="Millares 2 60" xfId="2586" xr:uid="{A7DE30C5-61B5-4A73-ABFB-27C35FA070C6}"/>
    <cellStyle name="Millares 2 60 2" xfId="19746" xr:uid="{F4FE501F-853C-4E35-B154-C4462815E54A}"/>
    <cellStyle name="Millares 2 61" xfId="2587" xr:uid="{9DCA0D09-AC1C-405D-9C12-5BC6E7014745}"/>
    <cellStyle name="Millares 2 61 2" xfId="19747" xr:uid="{83988504-19AA-44DF-B9CB-FA004C6763FE}"/>
    <cellStyle name="Millares 2 62" xfId="2588" xr:uid="{041B9DED-B8E3-4AF5-9EA8-0A74FEF4B028}"/>
    <cellStyle name="Millares 2 62 2" xfId="19748" xr:uid="{558F3564-D762-4AAF-B465-F87BAB0793FB}"/>
    <cellStyle name="Millares 2 63" xfId="2589" xr:uid="{D92BD139-E410-4535-8AFC-FC37ED3B63D3}"/>
    <cellStyle name="Millares 2 63 2" xfId="19749" xr:uid="{39620BA9-4022-4540-97F6-EF28A4CC5A52}"/>
    <cellStyle name="Millares 2 64" xfId="2590" xr:uid="{52FBFB8D-1EE5-4447-BBA0-AAAFB68499A3}"/>
    <cellStyle name="Millares 2 64 2" xfId="19750" xr:uid="{C8E12DCE-F91E-4539-8AEE-40F06D4DC655}"/>
    <cellStyle name="Millares 2 65" xfId="2591" xr:uid="{1E997426-8FB1-482A-9A0C-61A38EC10572}"/>
    <cellStyle name="Millares 2 65 2" xfId="19751" xr:uid="{0007C372-BBA5-46C7-80B9-B6A3A9447B19}"/>
    <cellStyle name="Millares 2 66" xfId="2592" xr:uid="{011A152C-2928-43E2-AF97-901696AE1646}"/>
    <cellStyle name="Millares 2 66 2" xfId="19752" xr:uid="{ABBBFAB2-4E40-4647-BF83-6D28AF2DB31C}"/>
    <cellStyle name="Millares 2 67" xfId="2593" xr:uid="{790D88BE-09A3-4F89-A02C-39D6DFBF6623}"/>
    <cellStyle name="Millares 2 67 2" xfId="19753" xr:uid="{93B79656-61C0-4BEB-A1D4-F8FB3D150514}"/>
    <cellStyle name="Millares 2 68" xfId="2594" xr:uid="{670DE841-872B-4AB2-AA4E-F32070FE4906}"/>
    <cellStyle name="Millares 2 68 2" xfId="19754" xr:uid="{18A812DF-9262-4031-8D9F-0E55463670E5}"/>
    <cellStyle name="Millares 2 69" xfId="2595" xr:uid="{C7CF2BD0-8242-4058-B51F-0B316A67AA5D}"/>
    <cellStyle name="Millares 2 69 2" xfId="19755" xr:uid="{D3B34F5B-37A1-40BE-9E36-13BBC3214566}"/>
    <cellStyle name="Millares 2 7" xfId="2596" xr:uid="{AA00AD5A-8F66-4503-AE8B-FC3207322E14}"/>
    <cellStyle name="Millares 2 7 2" xfId="13146" xr:uid="{48389CA9-D184-4642-AF74-25C628AC6DF3}"/>
    <cellStyle name="Millares 2 7 2 2" xfId="19756" xr:uid="{BB29B570-D95F-43A0-B063-0D98D57DE4E0}"/>
    <cellStyle name="Millares 2 7 2 3" xfId="20779" xr:uid="{F69AAD1B-9873-4AA3-BCA3-A8EFDDCDBBC9}"/>
    <cellStyle name="Millares 2 70" xfId="2597" xr:uid="{C81036EE-354A-4807-A8E0-1918FC87D02D}"/>
    <cellStyle name="Millares 2 70 2" xfId="19757" xr:uid="{AF34557B-2D73-4167-853A-C645C6346232}"/>
    <cellStyle name="Millares 2 71" xfId="2598" xr:uid="{8A2F67AC-1041-4D3F-A4D5-A1FF35B8B11C}"/>
    <cellStyle name="Millares 2 71 2" xfId="19758" xr:uid="{EC9C7CB6-17C4-4323-9860-B04188F5F905}"/>
    <cellStyle name="Millares 2 72" xfId="2599" xr:uid="{05F0EDB3-3C59-4A7E-9617-43CCF7C31DEC}"/>
    <cellStyle name="Millares 2 72 2" xfId="19759" xr:uid="{2D026E80-A439-4D2A-BF2E-C547F39D83B6}"/>
    <cellStyle name="Millares 2 73" xfId="2600" xr:uid="{89762413-6F8C-483B-86C4-4A62D444287A}"/>
    <cellStyle name="Millares 2 73 2" xfId="19760" xr:uid="{A76E1188-61D6-4614-A116-A690EA371A77}"/>
    <cellStyle name="Millares 2 74" xfId="2601" xr:uid="{C56706C2-4C94-4295-84FA-DFAF68A0D0CC}"/>
    <cellStyle name="Millares 2 74 2" xfId="19761" xr:uid="{5A528D9F-08EB-4BE6-B02D-C124E2D3263F}"/>
    <cellStyle name="Millares 2 75" xfId="2602" xr:uid="{04B291F0-7A0E-403F-90F0-DD9D37AD5071}"/>
    <cellStyle name="Millares 2 75 2" xfId="19762" xr:uid="{EF4A0B69-B86C-4AD5-911B-41ABFDDC34C6}"/>
    <cellStyle name="Millares 2 76" xfId="2603" xr:uid="{B51FBE38-85DA-4400-855B-5DB3215F3226}"/>
    <cellStyle name="Millares 2 76 2" xfId="19763" xr:uid="{A94FBCDA-CB0F-4C39-8ECE-A932A3FD2953}"/>
    <cellStyle name="Millares 2 77" xfId="2604" xr:uid="{164741A3-3E86-4663-88CE-238C40431EC4}"/>
    <cellStyle name="Millares 2 77 2" xfId="19764" xr:uid="{5AFC1FAF-2060-4BAF-8340-660E36F9DD00}"/>
    <cellStyle name="Millares 2 78" xfId="2605" xr:uid="{7EA6A2F3-016C-46D4-8BEE-6AC461729E66}"/>
    <cellStyle name="Millares 2 78 2" xfId="19765" xr:uid="{3BCACEF1-FA77-4FAA-9844-08A1AEB70545}"/>
    <cellStyle name="Millares 2 79" xfId="547" xr:uid="{26EB2E66-CB6D-4192-8F79-86E16B37A327}"/>
    <cellStyle name="Millares 2 79 2" xfId="6231" xr:uid="{F4CCEDA1-C66C-4FEB-B832-E285D2AD27DB}"/>
    <cellStyle name="Millares 2 79 2 2" xfId="10173" xr:uid="{991A7265-491F-42CA-9DD0-1C8903D5CC8F}"/>
    <cellStyle name="Millares 2 79 3" xfId="19652" xr:uid="{EA197295-655F-4EED-B4A9-22DA8EFC3E41}"/>
    <cellStyle name="Millares 2 79 4" xfId="19682" xr:uid="{9C2D750D-9B45-4F7D-9620-DC511E459166}"/>
    <cellStyle name="Millares 2 8" xfId="2606" xr:uid="{F75E0444-8A26-44DB-83E2-A6BEC7590B6D}"/>
    <cellStyle name="Millares 2 8 2" xfId="12831" xr:uid="{C3822CA7-2592-4A80-81E9-AE289D2B629E}"/>
    <cellStyle name="Millares 2 8 2 2" xfId="19766" xr:uid="{4408AFF8-B62A-4813-AE4E-11EB42E2422B}"/>
    <cellStyle name="Millares 2 8 2 3" xfId="20731" xr:uid="{114FFD7A-B2C7-4670-82B4-038D77A1ABC0}"/>
    <cellStyle name="Millares 2 80" xfId="489" xr:uid="{BCB1E4A7-FF2C-43A5-8141-E310F5B8A9DE}"/>
    <cellStyle name="Millares 2 81" xfId="10208" xr:uid="{02BB0AD1-5A07-49BB-86CF-9770A5376158}"/>
    <cellStyle name="Millares 2 82" xfId="10905" xr:uid="{755B88DB-38AA-4B8D-8585-20A680888E7A}"/>
    <cellStyle name="Millares 2 83" xfId="13310" xr:uid="{F7AC6857-4D9C-4818-9657-EDE1C887D09E}"/>
    <cellStyle name="Millares 2 9" xfId="2607" xr:uid="{9C411594-9407-4FCD-9DD4-7785472A6F11}"/>
    <cellStyle name="Millares 2 9 2" xfId="13723" xr:uid="{402A2843-6FD2-4EAF-B6DE-9BB35A26196E}"/>
    <cellStyle name="Millares 2 9 2 2" xfId="19767" xr:uid="{43B7D05F-274A-47F7-B697-63C2542440BD}"/>
    <cellStyle name="Millares 2 9 2 3" xfId="20813" xr:uid="{11DAE1E2-BEB3-46D0-8483-FEF2F039CC53}"/>
    <cellStyle name="Millares 20" xfId="4314" xr:uid="{B3DE6B5E-9D52-4FE9-9D2D-706A84E1B330}"/>
    <cellStyle name="Millares 20 2" xfId="4398" xr:uid="{D00AAC54-74D0-4A6D-A1A7-1F83AF27877E}"/>
    <cellStyle name="Millares 20 2 2" xfId="19958" xr:uid="{2EBA20DD-6042-4EBF-9EA4-1E6E1FE9347B}"/>
    <cellStyle name="Millares 20 3" xfId="6232" xr:uid="{1604222B-F66D-4773-A55D-F6EF5A8D6E66}"/>
    <cellStyle name="Millares 20 3 2" xfId="8832" xr:uid="{3EE3ACF9-8458-4C1A-A259-63D40EBC97AE}"/>
    <cellStyle name="Millares 20 3 2 2" xfId="18884" xr:uid="{06E3DB6B-851B-4593-9BE3-67A1A848672F}"/>
    <cellStyle name="Millares 20 3 3" xfId="10182" xr:uid="{0F60B549-E4B8-4814-BE3A-1D8F2398DED9}"/>
    <cellStyle name="Millares 20 3 4" xfId="10876" xr:uid="{03A0FAE7-998F-4071-A460-0A703DD68660}"/>
    <cellStyle name="Millares 20 3 5" xfId="14161" xr:uid="{20582882-332B-4434-9B87-4381F8D9CA0C}"/>
    <cellStyle name="Millares 20 4" xfId="6233" xr:uid="{6DCC2DFB-8AB2-4FE0-8C8C-9FB85899094A}"/>
    <cellStyle name="Millares 20 4 2" xfId="9280" xr:uid="{C341E998-4079-41A3-AE9E-2540129DAC41}"/>
    <cellStyle name="Millares 20 4 2 2" xfId="19332" xr:uid="{F1622CCC-E0D1-48E7-8DB6-4D535C445944}"/>
    <cellStyle name="Millares 20 4 3" xfId="16783" xr:uid="{1EFB8DF1-3F18-454C-9EB3-2A99E692005B}"/>
    <cellStyle name="Millares 20 4 4" xfId="14887" xr:uid="{B551F941-BC84-4C82-B886-7046945402D9}"/>
    <cellStyle name="Millares 20 5" xfId="8404" xr:uid="{870499C5-2750-4122-B8CD-425E51D314CC}"/>
    <cellStyle name="Millares 20 5 2" xfId="18456" xr:uid="{05499025-8475-48FC-B805-9FD2A7961316}"/>
    <cellStyle name="Millares 20 5 3" xfId="16246" xr:uid="{7E65A691-19D5-4B23-B276-2987DEB51DAF}"/>
    <cellStyle name="Millares 20 6" xfId="13927" xr:uid="{8D056C8E-62C8-4295-9D1B-AF7143D4FE7B}"/>
    <cellStyle name="Millares 20 6 2" xfId="16248" xr:uid="{35361D57-C8BB-4AC6-A9C8-E5A01246410E}"/>
    <cellStyle name="Millares 20 6 3" xfId="20826" xr:uid="{80211C35-697D-4D9D-8213-0151733F8E1F}"/>
    <cellStyle name="Millares 20 7" xfId="16061" xr:uid="{5AA24930-0783-4620-AF90-31024AD9319A}"/>
    <cellStyle name="Millares 200" xfId="10858" xr:uid="{DE02BD32-09CD-45DD-B9EB-3F1E86ABA91C}"/>
    <cellStyle name="Millares 201" xfId="10397" xr:uid="{45E3559E-B2FD-411D-88FB-D23B89270CE1}"/>
    <cellStyle name="Millares 202" xfId="10833" xr:uid="{FC4497F7-CBA9-499D-80D8-04C2AF0B9B0F}"/>
    <cellStyle name="Millares 203" xfId="10845" xr:uid="{8BD35CE4-7194-4EC5-8D67-DB70AC280ED7}"/>
    <cellStyle name="Millares 204" xfId="10388" xr:uid="{12174F5D-B781-4530-A5A8-9C1C637A2FFF}"/>
    <cellStyle name="Millares 205" xfId="10847" xr:uid="{0841656D-9C2B-49AB-9B62-32BC5DF13021}"/>
    <cellStyle name="Millares 206" xfId="10842" xr:uid="{7E35B63F-3A6F-44E3-8F39-75124BC13775}"/>
    <cellStyle name="Millares 207" xfId="10381" xr:uid="{4CCE3F55-5412-41D4-B3F5-6343C9E6D20C}"/>
    <cellStyle name="Millares 208" xfId="10236" xr:uid="{8AD3AE60-2740-4B60-B613-6DF58DCE6D6B}"/>
    <cellStyle name="Millares 209" xfId="10854" xr:uid="{3D00AC63-68B0-4AA6-885D-705E2A5EAD7F}"/>
    <cellStyle name="Millares 21" xfId="3523" xr:uid="{919F8B9C-D137-4A3E-9D13-06FAE9F14D90}"/>
    <cellStyle name="Millares 21 2" xfId="11867" xr:uid="{633BB690-07DA-4EA0-892D-F6F5125DC2A2}"/>
    <cellStyle name="Millares 21 2 2" xfId="19952" xr:uid="{BE919F0E-02D2-4F90-9152-E88AE91728CF}"/>
    <cellStyle name="Millares 21 2 3" xfId="20632" xr:uid="{EDE02A0B-79C7-4673-96E4-9E0D7678D3AA}"/>
    <cellStyle name="Millares 210" xfId="10233" xr:uid="{CF42511A-96EE-46BC-8FEE-AE879463993B}"/>
    <cellStyle name="Millares 211" xfId="10398" xr:uid="{10A43D02-36AC-4A4C-8FD5-02199379C210}"/>
    <cellStyle name="Millares 212" xfId="10855" xr:uid="{CAD571BC-D7D0-41DE-8568-1A0F7B0482C2}"/>
    <cellStyle name="Millares 213" xfId="10839" xr:uid="{BE2005DE-A400-4A74-AA81-727300CC534C}"/>
    <cellStyle name="Millares 214" xfId="10402" xr:uid="{86040DA5-4EC3-4BFE-B073-6E8BB162EB4C}"/>
    <cellStyle name="Millares 215" xfId="10861" xr:uid="{6615B562-C9E1-4CB0-BE40-DC987D72372A}"/>
    <cellStyle name="Millares 216" xfId="10835" xr:uid="{164AC2C0-8BCF-43E8-ABF3-80AC42B76A8F}"/>
    <cellStyle name="Millares 217" xfId="10226" xr:uid="{11FBB028-8589-4F09-9481-A93D35CE8F5A}"/>
    <cellStyle name="Millares 218" xfId="10366" xr:uid="{B8C65A51-574B-44E9-9062-3A5491DD2E58}"/>
    <cellStyle name="Millares 219" xfId="10832" xr:uid="{941C92A5-CE84-4158-84BE-AFD46A7A474A}"/>
    <cellStyle name="Millares 22" xfId="3551" xr:uid="{612E6734-95EF-4953-ACF1-9355B7E6606F}"/>
    <cellStyle name="Millares 22 2" xfId="4399" xr:uid="{FA574A25-4D16-45F4-A8FF-E68FB7270684}"/>
    <cellStyle name="Millares 22 2 2" xfId="19959" xr:uid="{E2D56CDC-721F-4BD1-A433-740771DE4F5D}"/>
    <cellStyle name="Millares 22 3" xfId="10190" xr:uid="{633A6162-B798-4F5A-A431-1EBE10398833}"/>
    <cellStyle name="Millares 22 3 2" xfId="10884" xr:uid="{9A77B727-43D8-4139-BA1B-120A45D9ECB3}"/>
    <cellStyle name="Millares 220" xfId="10223" xr:uid="{FF6ED50D-2016-47D3-969A-5687B79EC0D1}"/>
    <cellStyle name="Millares 221" xfId="10852" xr:uid="{1D3CCF1A-38F0-4D47-8473-5088B8BE7494}"/>
    <cellStyle name="Millares 222" xfId="10228" xr:uid="{BBD1C7E4-B38A-4698-82E5-6397503D72FE}"/>
    <cellStyle name="Millares 223" xfId="10385" xr:uid="{90CCBCEB-6FDC-4DC7-943B-84A6FAE9FC87}"/>
    <cellStyle name="Millares 224" xfId="10857" xr:uid="{C4D6CDAE-F171-4477-8D9E-5854EF986301}"/>
    <cellStyle name="Millares 225" xfId="10898" xr:uid="{E3237F37-60BE-4EB5-80F4-0083022902E6}"/>
    <cellStyle name="Millares 226" xfId="10396" xr:uid="{A21C37F9-A365-4C13-ADD3-F45DFF27B816}"/>
    <cellStyle name="Millares 227" xfId="10237" xr:uid="{3ADBFF30-847E-4B1B-BCD2-FF1126E47AE7}"/>
    <cellStyle name="Millares 228" xfId="10215" xr:uid="{B5A73B73-CD0F-44BD-9180-2EE49FCF2A13}"/>
    <cellStyle name="Millares 229" xfId="10238" xr:uid="{B7045083-20F3-47F8-A98F-403E623A044F}"/>
    <cellStyle name="Millares 23" xfId="2608" xr:uid="{C3EF6BC1-7395-4D50-A8BA-9C6CE242FD28}"/>
    <cellStyle name="Millares 23 2" xfId="19768" xr:uid="{9AC3058F-A0EB-4EE2-B35B-7E1F81F06454}"/>
    <cellStyle name="Millares 230" xfId="10262" xr:uid="{F3A78BFD-C899-4DD5-85C6-EE95DD19EF76}"/>
    <cellStyle name="Millares 231" xfId="10850" xr:uid="{E4EE64B2-4E10-4105-9E5E-680A735C4FA0}"/>
    <cellStyle name="Millares 232" xfId="10382" xr:uid="{6AA73EA0-3545-473B-89D2-D8EE61BB4AEE}"/>
    <cellStyle name="Millares 233" xfId="10217" xr:uid="{FF5D0107-10AF-4685-8EA3-911AF24A4125}"/>
    <cellStyle name="Millares 234" xfId="10392" xr:uid="{D1BB9415-79E1-48A6-8251-C1D719368AA7}"/>
    <cellStyle name="Millares 235" xfId="10395" xr:uid="{0FFE2D13-AD85-4B51-88AF-3812E4FFF69A}"/>
    <cellStyle name="Millares 236" xfId="10848" xr:uid="{1B4BB034-E185-4D5D-AFD8-3D4994410641}"/>
    <cellStyle name="Millares 237" xfId="10216" xr:uid="{BE6E7355-9311-43B6-AA7E-F13A59F5259B}"/>
    <cellStyle name="Millares 238" xfId="10399" xr:uid="{1566B810-1352-44C1-B501-04DB77A322CD}"/>
    <cellStyle name="Millares 239" xfId="10224" xr:uid="{FED160F9-5547-47B5-B535-54AD7D5D0B0B}"/>
    <cellStyle name="Millares 24" xfId="2609" xr:uid="{5262F498-140B-4105-8F78-B4F49E6D32F2}"/>
    <cellStyle name="Millares 24 2" xfId="12263" xr:uid="{1B3DA82C-7F07-4881-B730-C6553434BC37}"/>
    <cellStyle name="Millares 24 2 2" xfId="19769" xr:uid="{3C52B646-EFC7-48AF-AA57-A8EC9C08E3C7}"/>
    <cellStyle name="Millares 24 2 3" xfId="20666" xr:uid="{020ADB6E-1AB4-4891-A344-945C39FD2181}"/>
    <cellStyle name="Millares 240" xfId="10846" xr:uid="{FEE88D0D-B4FE-4E58-BC7D-6BC38B18CFED}"/>
    <cellStyle name="Millares 241" xfId="10401" xr:uid="{6D0570D1-6108-4DAB-991B-BCECA9E171F8}"/>
    <cellStyle name="Millares 242" xfId="10220" xr:uid="{FA9A1F27-2773-4790-9068-1CEE53CD21C5}"/>
    <cellStyle name="Millares 243" xfId="10394" xr:uid="{4CEC32E7-9239-4102-8D31-23C69A211787}"/>
    <cellStyle name="Millares 244" xfId="10234" xr:uid="{C12E8FCE-53BC-4977-A5B9-AE04028CE08F}"/>
    <cellStyle name="Millares 245" xfId="10856" xr:uid="{D2B661F6-591E-45B2-ADFB-AABF0EEEB53E}"/>
    <cellStyle name="Millares 246" xfId="10214" xr:uid="{8EA8286A-381F-4BC6-BE36-BBCB71CF904C}"/>
    <cellStyle name="Millares 247" xfId="10841" xr:uid="{8217761E-C211-4299-A270-1C8E0FC86E48}"/>
    <cellStyle name="Millares 248" xfId="10844" xr:uid="{0D059D19-0060-48CB-889E-DEE602C29D47}"/>
    <cellStyle name="Millares 249" xfId="10227" xr:uid="{F323460E-2489-4914-A8AD-D42D4854DB2D}"/>
    <cellStyle name="Millares 25" xfId="2610" xr:uid="{EA19D362-53A7-4675-BE62-ADDCAA1431CB}"/>
    <cellStyle name="Millares 25 2" xfId="13835" xr:uid="{B6BEBD8E-27BB-4D83-9DB4-58DA33AED6A2}"/>
    <cellStyle name="Millares 25 2 2" xfId="19770" xr:uid="{996BB2F4-06AB-49C0-AF32-E4EE023247E7}"/>
    <cellStyle name="Millares 25 2 3" xfId="20819" xr:uid="{28092D56-14AC-40D3-A0D1-DB9778D4BB51}"/>
    <cellStyle name="Millares 250" xfId="10229" xr:uid="{C3B17882-0B91-4921-A5BD-406D21FB7A09}"/>
    <cellStyle name="Millares 251" xfId="10230" xr:uid="{8C43FEAA-4B83-4A10-A51E-93C99E6C2401}"/>
    <cellStyle name="Millares 252" xfId="10239" xr:uid="{FD0A0AFD-B781-438C-BA7C-2E0D9B373BB0}"/>
    <cellStyle name="Millares 253" xfId="10859" xr:uid="{65FEA68F-C08A-4D18-B032-E18A7A5540B1}"/>
    <cellStyle name="Millares 254" xfId="10386" xr:uid="{6E429388-1275-4751-97CC-DCB460A04A78}"/>
    <cellStyle name="Millares 255" xfId="10843" xr:uid="{1004B534-0C2D-42EB-BDAB-75CA2E54202B}"/>
    <cellStyle name="Millares 256" xfId="10225" xr:uid="{C2109CFD-7359-4DAD-99D6-C413ECA6CE69}"/>
    <cellStyle name="Millares 257" xfId="10241" xr:uid="{8C6BD81A-3FD1-4D6D-A4DA-CF08DBDADE31}"/>
    <cellStyle name="Millares 258" xfId="8244" xr:uid="{E939E765-2F02-459E-98AA-D4BB5342BF4F}"/>
    <cellStyle name="Millares 258 2" xfId="16323" xr:uid="{3A839F30-054D-4EB0-9CF2-72C78397EF4B}"/>
    <cellStyle name="Millares 258 3" xfId="20482" xr:uid="{B615A817-646A-497D-8ECA-07E4021AE0F8}"/>
    <cellStyle name="Millares 259" xfId="13509" xr:uid="{4F5CB471-D616-4376-9BC9-543F0A9CBDDB}"/>
    <cellStyle name="Millares 259 2" xfId="16310" xr:uid="{80548297-7D7C-406A-B849-3707880D92C8}"/>
    <cellStyle name="Millares 259 3" xfId="20799" xr:uid="{35D008F3-A91B-4D1C-B1D9-8F7837AEC5DE}"/>
    <cellStyle name="Millares 26" xfId="2611" xr:uid="{4DD730A5-5B77-42CD-9B4D-77C14F8D7978}"/>
    <cellStyle name="Millares 26 2" xfId="13491" xr:uid="{8C277D20-7A1A-4E10-BC73-9D4AAEEF37EC}"/>
    <cellStyle name="Millares 26 2 2" xfId="19771" xr:uid="{DDAEBECB-11D4-455D-B9D7-5C3905DA59BA}"/>
    <cellStyle name="Millares 26 2 3" xfId="20796" xr:uid="{E5D32C1D-F533-42EA-BE4B-E2098D39697A}"/>
    <cellStyle name="Millares 260" xfId="16316" xr:uid="{4B5F5158-84DB-4EB1-B77E-79A7E41A2E0E}"/>
    <cellStyle name="Millares 261" xfId="16294" xr:uid="{2A2F119C-7B8A-411F-B2C2-438BCFF99612}"/>
    <cellStyle name="Millares 262" xfId="16300" xr:uid="{0A5E7E9D-8425-473B-8794-6298441CB951}"/>
    <cellStyle name="Millares 263" xfId="16313" xr:uid="{B826CE87-C565-4231-BDBE-FED5B3AD4BA5}"/>
    <cellStyle name="Millares 264" xfId="16309" xr:uid="{1C14212E-505A-4ACD-BE09-A5EA1F1CE30B}"/>
    <cellStyle name="Millares 265" xfId="16305" xr:uid="{EE6B2758-0C80-45E8-B62C-09385F73FDA6}"/>
    <cellStyle name="Millares 266" xfId="16304" xr:uid="{210C1977-36B1-4D1A-A920-598B3875F944}"/>
    <cellStyle name="Millares 267" xfId="16302" xr:uid="{D042E55F-EBE4-42C7-AB30-585135DE0180}"/>
    <cellStyle name="Millares 268" xfId="16299" xr:uid="{AC3C2B01-7129-4B00-8B9F-3237186A918A}"/>
    <cellStyle name="Millares 269" xfId="16315" xr:uid="{68441C07-F842-475B-BDB5-74E3D442D3E0}"/>
    <cellStyle name="Millares 27" xfId="4400" xr:uid="{C1D1F634-BC2D-48FD-A932-B4221B0CEF29}"/>
    <cellStyle name="Millares 27 2" xfId="10194" xr:uid="{5092937E-37AA-48FE-A4CF-A3CDAC8864EA}"/>
    <cellStyle name="Millares 27 2 2" xfId="19960" xr:uid="{24DFA483-59B4-43EF-B10C-EE8BC5B25C0E}"/>
    <cellStyle name="Millares 27 3" xfId="10189" xr:uid="{1FE447BE-5E3B-4ECE-813C-29B3C9D81052}"/>
    <cellStyle name="Millares 27 3 2" xfId="10883" xr:uid="{241FFC98-D93C-4521-AAE4-C41A605A7AD9}"/>
    <cellStyle name="Millares 27 4" xfId="12264" xr:uid="{7F0D764D-5182-4208-AF7A-C11F276B705F}"/>
    <cellStyle name="Millares 270" xfId="16658" xr:uid="{BC2BD3FD-1997-4782-88C1-9E6D9508A708}"/>
    <cellStyle name="Millares 271" xfId="16301" xr:uid="{9A66FC24-E6CE-4508-8D0C-9CC0912F55F8}"/>
    <cellStyle name="Millares 272" xfId="16298" xr:uid="{6C20292E-204E-4C00-BA7D-0BA9C7A5249E}"/>
    <cellStyle name="Millares 273" xfId="16296" xr:uid="{2677BF16-C74E-417D-A50A-2C84C9642D82}"/>
    <cellStyle name="Millares 274" xfId="16312" xr:uid="{3958FAB9-D66A-4434-AF0C-8DE27B1E757C}"/>
    <cellStyle name="Millares 275" xfId="16297" xr:uid="{A6827AA4-53E2-4EA7-BE58-F8847D0C3BA7}"/>
    <cellStyle name="Millares 276" xfId="15447" xr:uid="{CE1F2CE2-020E-419C-9164-83C5575B7003}"/>
    <cellStyle name="Millares 277" xfId="16217" xr:uid="{624B9ADB-CB56-4DED-95A6-26D80FD3C6BE}"/>
    <cellStyle name="Millares 278" xfId="16238" xr:uid="{BFA222EE-ABC4-4262-8876-8A6D552689A9}"/>
    <cellStyle name="Millares 279" xfId="20479" xr:uid="{D335849F-56C2-4B91-ABE6-72CD865E0615}"/>
    <cellStyle name="Millares 28" xfId="4401" xr:uid="{D1864D8E-3FD8-4402-9CB4-9E502FAF6E62}"/>
    <cellStyle name="Millares 28 2" xfId="10195" xr:uid="{1C11865C-F741-43D2-BCD7-7B45A8B5127E}"/>
    <cellStyle name="Millares 28 2 2" xfId="19961" xr:uid="{4920C3ED-856A-4E3A-BD31-FFDB61679087}"/>
    <cellStyle name="Millares 28 3" xfId="10188" xr:uid="{D75535A0-6694-4D5B-9237-6259BF859F1E}"/>
    <cellStyle name="Millares 28 3 2" xfId="10882" xr:uid="{EAD81E8C-9DF3-4747-9FD7-80E091C6463C}"/>
    <cellStyle name="Millares 28 4" xfId="12265" xr:uid="{AFD435AF-7767-4172-A0AD-F1507B409737}"/>
    <cellStyle name="Millares 280" xfId="16237" xr:uid="{23DF5689-4E2C-4560-9217-DDB95543392B}"/>
    <cellStyle name="Millares 281" xfId="20484" xr:uid="{D798D8C8-3C92-48FF-90F0-00B227D0E0F7}"/>
    <cellStyle name="Millares 282" xfId="20481" xr:uid="{B962452D-7C97-4F6E-972E-E6343BBDD700}"/>
    <cellStyle name="Millares 283" xfId="16244" xr:uid="{68397FDA-3293-413E-9EB3-40D6FE4F148A}"/>
    <cellStyle name="Millares 284" xfId="20836" xr:uid="{67D08777-F370-499F-BA0C-664B362A478A}"/>
    <cellStyle name="Millares 285" xfId="20837" xr:uid="{BCE7F354-13B6-4E57-A4DF-26CADE99832E}"/>
    <cellStyle name="Millares 286" xfId="20838" xr:uid="{B2DE1BA8-9BED-4E1A-891D-F9A2BBF9AE5D}"/>
    <cellStyle name="Millares 287" xfId="4" xr:uid="{D47785CA-7B2E-4DFB-9EE2-EA28E1AC413B}"/>
    <cellStyle name="Millares 29" xfId="4402" xr:uid="{EB9DD610-07AA-4BCC-9DE2-7D483E2F1900}"/>
    <cellStyle name="Millares 29 2" xfId="10196" xr:uid="{EE7AFBEE-E701-4179-8633-2CFEA7F370D8}"/>
    <cellStyle name="Millares 29 2 2" xfId="19962" xr:uid="{8F4D2A08-F702-4498-9910-92CDEB19F8D4}"/>
    <cellStyle name="Millares 29 3" xfId="10183" xr:uid="{ECC2D2FA-89D4-482A-AA23-2609EDB24B9A}"/>
    <cellStyle name="Millares 29 3 2" xfId="10877" xr:uid="{49EE02B1-C97E-414D-9329-10B3933914AB}"/>
    <cellStyle name="Millares 29 4" xfId="13147" xr:uid="{4395EA63-512B-4228-96C4-89FF5BCE4CD9}"/>
    <cellStyle name="Millares 3" xfId="69" xr:uid="{21D1F133-22B5-443A-8BDC-49445AE3C30C}"/>
    <cellStyle name="Millares 3 10" xfId="145" xr:uid="{D569B51F-B1FB-4BA3-B95E-376F3DCECA4C}"/>
    <cellStyle name="Millares 3 10 2" xfId="13928" xr:uid="{34426647-3573-4251-8479-3CAC96135DE5}"/>
    <cellStyle name="Millares 3 11" xfId="6234" xr:uid="{20963312-89D8-48D5-9F90-BEC6FFA9295B}"/>
    <cellStyle name="Millares 3 11 2" xfId="9117" xr:uid="{7D375358-9581-43DD-B6F4-0CC0E03DDCFB}"/>
    <cellStyle name="Millares 3 11 2 2" xfId="19169" xr:uid="{6EE2CD12-9C32-4C32-8628-D3CF6F6C3BB9}"/>
    <cellStyle name="Millares 3 11 3" xfId="12472" xr:uid="{D6CE1406-4056-4FD2-BD19-345DB80E245E}"/>
    <cellStyle name="Millares 3 11 3 2" xfId="16621" xr:uid="{D102B286-E89A-4FC1-9C4C-AE023B9CDB29}"/>
    <cellStyle name="Millares 3 11 3 3" xfId="20689" xr:uid="{B3D3B9F1-4079-411B-9BA8-C22988CD2599}"/>
    <cellStyle name="Millares 3 11 4" xfId="15025" xr:uid="{A835F324-A3DB-491B-8944-D63003296183}"/>
    <cellStyle name="Millares 3 12" xfId="11893" xr:uid="{B20B3F3C-9B29-461F-8A49-0CE08EF87CF5}"/>
    <cellStyle name="Millares 3 12 2" xfId="15453" xr:uid="{3AAF7E99-CEB3-44EE-9E91-4142A3E4BAE8}"/>
    <cellStyle name="Millares 3 12 3" xfId="20634" xr:uid="{D6A66DC0-224B-4065-81AD-7DD77F0B33E8}"/>
    <cellStyle name="Millares 3 13" xfId="12266" xr:uid="{BA17C4E9-0126-4666-BF67-B1266E149743}"/>
    <cellStyle name="Millares 3 14" xfId="13377" xr:uid="{FAC36638-4A48-48EF-BFA2-75CC30EA7419}"/>
    <cellStyle name="Millares 3 15" xfId="12267" xr:uid="{C077A714-2C24-43C4-BEA7-93DE473B926F}"/>
    <cellStyle name="Millares 3 16" xfId="12425" xr:uid="{52B49915-9B88-4A0F-8A90-EC862E1985EB}"/>
    <cellStyle name="Millares 3 17" xfId="13205" xr:uid="{F8D3622A-9FCF-497C-8681-F635227ADB23}"/>
    <cellStyle name="Millares 3 18" xfId="12463" xr:uid="{FF06849D-A642-42C8-B41D-1C1A4DB96584}"/>
    <cellStyle name="Millares 3 19" xfId="13633" xr:uid="{9020460F-56A1-497E-8B14-CA2CDA41E5C1}"/>
    <cellStyle name="Millares 3 2" xfId="150" xr:uid="{0091464F-14CE-4BEC-A1E0-2FCECBF8BD6D}"/>
    <cellStyle name="Millares 3 2 10" xfId="12268" xr:uid="{35DF5E3C-7284-465E-984F-F7A83A66B6A2}"/>
    <cellStyle name="Millares 3 2 11" xfId="13373" xr:uid="{63CEAF32-A6CB-4EF1-9D96-35068A1385B6}"/>
    <cellStyle name="Millares 3 2 12" xfId="12269" xr:uid="{9EBD8BAD-420B-4175-9B77-167365732BF7}"/>
    <cellStyle name="Millares 3 2 13" xfId="12270" xr:uid="{11AB28FC-F6CE-4E6D-B7AB-954EBDA12EA7}"/>
    <cellStyle name="Millares 3 2 14" xfId="13367" xr:uid="{1BD40B5A-9B65-4294-A039-1BF6A94430D1}"/>
    <cellStyle name="Millares 3 2 15" xfId="13030" xr:uid="{0BBE8088-88B2-4A67-A7DE-C7C4D3723979}"/>
    <cellStyle name="Millares 3 2 16" xfId="13575" xr:uid="{EE52B41F-F302-443E-A2D4-6B601DC633E6}"/>
    <cellStyle name="Millares 3 2 17" xfId="13809" xr:uid="{DA37D805-B922-4C22-A1BB-6E263FA56383}"/>
    <cellStyle name="Millares 3 2 18" xfId="11000" xr:uid="{0CC74742-2ACE-4D85-8294-1F5F7AE46187}"/>
    <cellStyle name="Millares 3 2 19" xfId="11633" xr:uid="{50A17981-36F3-4EC0-87C2-2FDD9D3F8762}"/>
    <cellStyle name="Millares 3 2 2" xfId="2612" xr:uid="{A38225A9-9031-4D0C-B64F-190E7466D1D2}"/>
    <cellStyle name="Millares 3 2 2 10" xfId="12977" xr:uid="{E674CA22-68EE-4EAB-89EE-0F9BC7B9268B}"/>
    <cellStyle name="Millares 3 2 2 11" xfId="12978" xr:uid="{4EC414CD-A53C-4183-86A3-CCB07E83C6F3}"/>
    <cellStyle name="Millares 3 2 2 12" xfId="13810" xr:uid="{ECE09A23-8B13-45C6-9707-BD48B505CBED}"/>
    <cellStyle name="Millares 3 2 2 13" xfId="11193" xr:uid="{68354B0D-7D51-4311-B1A0-F4C65D1418A9}"/>
    <cellStyle name="Millares 3 2 2 14" xfId="13811" xr:uid="{5D9D0F51-DD27-40E0-A89F-C4BDB360B61B}"/>
    <cellStyle name="Millares 3 2 2 15" xfId="11257" xr:uid="{BD3A3682-B3D4-4109-B76C-F38E5A20F00A}"/>
    <cellStyle name="Millares 3 2 2 16" xfId="12271" xr:uid="{F145A6DC-6083-4F78-A723-93EF937F350E}"/>
    <cellStyle name="Millares 3 2 2 17" xfId="13320" xr:uid="{5674452A-8BBF-469F-953D-618859999766}"/>
    <cellStyle name="Millares 3 2 2 18" xfId="13541" xr:uid="{091C21CB-6E82-45CC-955C-F9ACED9CB68B}"/>
    <cellStyle name="Millares 3 2 2 19" xfId="13002" xr:uid="{C3012B36-6590-4D02-B94B-408E6273740D}"/>
    <cellStyle name="Millares 3 2 2 2" xfId="13492" xr:uid="{CF04F861-A512-418D-BCA7-70464AD44530}"/>
    <cellStyle name="Millares 3 2 2 20" xfId="11510" xr:uid="{BADA38B6-8B9E-47CB-B0B1-80E3CEABD4E8}"/>
    <cellStyle name="Millares 3 2 2 21" xfId="12272" xr:uid="{91CC708B-2D9F-439C-B0DC-96769A185DF1}"/>
    <cellStyle name="Millares 3 2 2 22" xfId="13148" xr:uid="{3469D1A9-B7B5-4B85-BF3F-8508CA3F5237}"/>
    <cellStyle name="Millares 3 2 2 23" xfId="13724" xr:uid="{BF2000F1-EFFC-44A1-94A2-DE77E7850E4B}"/>
    <cellStyle name="Millares 3 2 2 24" xfId="13576" xr:uid="{FE461F83-9F4D-4579-81B3-E743C2C90694}"/>
    <cellStyle name="Millares 3 2 2 3" xfId="11022" xr:uid="{1E6906A2-E5AD-43A1-86BF-0BDAE6903322}"/>
    <cellStyle name="Millares 3 2 2 4" xfId="13930" xr:uid="{B15281DC-2100-4025-B7B1-40345E624EAF}"/>
    <cellStyle name="Millares 3 2 2 5" xfId="11697" xr:uid="{3832E11C-99E3-48F3-B356-AD5F6266D9FA}"/>
    <cellStyle name="Millares 3 2 2 6" xfId="12273" xr:uid="{29A61F8D-B2AF-4604-9B3E-3CAA45821836}"/>
    <cellStyle name="Millares 3 2 2 7" xfId="13321" xr:uid="{93B23949-9241-44D1-A00B-9AAA13B99943}"/>
    <cellStyle name="Millares 3 2 2 8" xfId="12274" xr:uid="{81D06CDF-12E3-4C18-B252-8B47C44715FC}"/>
    <cellStyle name="Millares 3 2 2 9" xfId="13493" xr:uid="{D9C4CFCF-A0D4-4BCA-8B21-3807CDF54951}"/>
    <cellStyle name="Millares 3 2 20" xfId="11634" xr:uid="{34E2819D-290E-46CB-8343-2E6C99EF8901}"/>
    <cellStyle name="Millares 3 2 21" xfId="12275" xr:uid="{7DD486E5-F697-459E-8B06-B35C3F01AC3F}"/>
    <cellStyle name="Millares 3 2 22" xfId="12426" xr:uid="{9FEBBB91-9100-4A59-B500-D963786A1103}"/>
    <cellStyle name="Millares 3 2 23" xfId="13149" xr:uid="{D1D59CD1-A300-4335-A3A9-169CBF8CFFD7}"/>
    <cellStyle name="Millares 3 2 24" xfId="13725" xr:uid="{9C1D4B9E-305C-44AF-A0D4-EAE9500ED661}"/>
    <cellStyle name="Millares 3 2 25" xfId="13931" xr:uid="{5B5CC801-F0BA-4DBD-967F-62D28E26636B}"/>
    <cellStyle name="Millares 3 2 26" xfId="13929" xr:uid="{CC6518F7-32A2-48B4-B77B-105931937C84}"/>
    <cellStyle name="Millares 3 2 3" xfId="475" xr:uid="{C3E19F62-B5AC-4BB9-94F2-5EFE8F2F1CE9}"/>
    <cellStyle name="Millares 3 2 3 2" xfId="12276" xr:uid="{60949857-0EA6-4BCB-B509-21EDCC1DC603}"/>
    <cellStyle name="Millares 3 2 4" xfId="13199" xr:uid="{B5FE06FE-527A-4A10-BB10-4537F3B9511B}"/>
    <cellStyle name="Millares 3 2 5" xfId="12277" xr:uid="{2B579F67-B1BC-4DC1-9DA5-AF0A4A350C18}"/>
    <cellStyle name="Millares 3 2 6" xfId="10943" xr:uid="{F2331624-5D74-47DE-9140-2583F54C501B}"/>
    <cellStyle name="Millares 3 2 7" xfId="13238" xr:uid="{82B7B20A-FE03-49C9-A3F5-8A7DBFA155D4}"/>
    <cellStyle name="Millares 3 2 8" xfId="13635" xr:uid="{883F0A3C-E74C-40AF-9A3A-1164422B8439}"/>
    <cellStyle name="Millares 3 2 9" xfId="13932" xr:uid="{FD87FB46-3F2E-4767-8EEE-029F24625BBC}"/>
    <cellStyle name="Millares 3 20" xfId="10921" xr:uid="{4F5B39F7-7ABC-4DC1-97F2-EFC714FDDF61}"/>
    <cellStyle name="Millares 3 21" xfId="13772" xr:uid="{A92F745A-A39B-43A7-A3BC-97D15352E2F3}"/>
    <cellStyle name="Millares 3 22" xfId="13410" xr:uid="{D6E90831-94C2-4233-8B74-EC33518FFB9E}"/>
    <cellStyle name="Millares 3 23" xfId="10951" xr:uid="{F999D66E-CD17-4E97-AAFC-7077F19A8081}"/>
    <cellStyle name="Millares 3 24" xfId="11693" xr:uid="{A938F152-DBFF-405D-9191-836EAC19CFEC}"/>
    <cellStyle name="Millares 3 25" xfId="13062" xr:uid="{AF93374D-D22A-4AF8-867F-6A641EA3B44A}"/>
    <cellStyle name="Millares 3 26" xfId="13577" xr:uid="{32A70BD5-FF17-4C53-9F7D-B92AA07B950F}"/>
    <cellStyle name="Millares 3 27" xfId="11868" xr:uid="{7C5F0C85-9FC0-4830-A4BB-081141BA3C65}"/>
    <cellStyle name="Millares 3 28" xfId="13644" xr:uid="{62AF7EB4-EEEE-4343-9407-405DBB2E51D3}"/>
    <cellStyle name="Millares 3 3" xfId="2613" xr:uid="{A1BFED01-133B-45EE-959E-B7484AA7656A}"/>
    <cellStyle name="Millares 3 3 10" xfId="13003" xr:uid="{5C4B58CC-30BC-4475-991D-10CB98271890}"/>
    <cellStyle name="Millares 3 3 11" xfId="13322" xr:uid="{DA559D35-B271-45CA-B4CA-88C1115DFF9A}"/>
    <cellStyle name="Millares 3 3 12" xfId="13004" xr:uid="{76430DAC-9D30-4E61-A4FA-82CB57F32772}"/>
    <cellStyle name="Millares 3 3 13" xfId="13494" xr:uid="{B76D3203-793E-4BBD-9CC4-AB276D0B475D}"/>
    <cellStyle name="Millares 3 3 14" xfId="13005" xr:uid="{7E0BCF4B-41A2-4997-B991-5E077DF7B8B4}"/>
    <cellStyle name="Millares 3 3 15" xfId="13006" xr:uid="{B00BC2CF-7384-4261-A740-99C26F0E7FC7}"/>
    <cellStyle name="Millares 3 3 16" xfId="11280" xr:uid="{31F8EB50-E7A7-4E86-9681-7F9C55DC92F2}"/>
    <cellStyle name="Millares 3 3 17" xfId="13150" xr:uid="{3BF08810-BDA1-4591-9226-A1CC1594AC55}"/>
    <cellStyle name="Millares 3 3 18" xfId="13726" xr:uid="{34FB13C8-C79A-4D47-A0F8-026C32E52FB4}"/>
    <cellStyle name="Millares 3 3 19" xfId="13933" xr:uid="{4075BFBC-A745-4416-A6CC-00E94ADF1784}"/>
    <cellStyle name="Millares 3 3 2" xfId="11869" xr:uid="{6FE9732A-FEB5-4733-B1E7-7C7ACEA849EC}"/>
    <cellStyle name="Millares 3 3 2 2" xfId="19773" xr:uid="{76CB2E07-46F7-4256-80EA-DF431594626A}"/>
    <cellStyle name="Millares 3 3 2 3" xfId="20633" xr:uid="{43FECB27-56E8-48E5-AE40-84E83AF641DC}"/>
    <cellStyle name="Millares 3 3 20" xfId="11678" xr:uid="{24CB7C03-581B-4DD0-8DC5-031B109C009A}"/>
    <cellStyle name="Millares 3 3 21" xfId="13323" xr:uid="{487C0901-439A-4C62-B63A-14A4BE43533E}"/>
    <cellStyle name="Millares 3 3 22" xfId="11635" xr:uid="{C6B578A2-515C-481C-8EDC-5D0259F88D27}"/>
    <cellStyle name="Millares 3 3 23" xfId="10952" xr:uid="{76714CA8-5084-46D6-B460-F7C4AF490487}"/>
    <cellStyle name="Millares 3 3 3" xfId="13495" xr:uid="{3F30D2E8-5779-4D95-B40E-0FA272DA9207}"/>
    <cellStyle name="Millares 3 3 4" xfId="12278" xr:uid="{02DA345B-5D15-4CB7-8610-586C3A29EC83}"/>
    <cellStyle name="Millares 3 3 5" xfId="13007" xr:uid="{F5DD8BF0-F9DC-4147-A3DA-46ACD8E35952}"/>
    <cellStyle name="Millares 3 3 6" xfId="13151" xr:uid="{FE223133-512A-4211-A211-2F6602AA2CF0}"/>
    <cellStyle name="Millares 3 3 7" xfId="13727" xr:uid="{6506D171-3B8F-4950-BF7A-56A7A05EC326}"/>
    <cellStyle name="Millares 3 3 8" xfId="13368" xr:uid="{6F538806-2F93-4862-BE9B-3A396174A454}"/>
    <cellStyle name="Millares 3 3 9" xfId="13934" xr:uid="{FB6E3C19-49CE-429E-BEBA-96B986ADEBD4}"/>
    <cellStyle name="Millares 3 4" xfId="2614" xr:uid="{9CC22E34-B2E6-493C-A1A0-72A8138BE4D3}"/>
    <cellStyle name="Millares 3 4 10" xfId="13008" xr:uid="{99F1DAE7-CECB-4349-81CA-FA8E1AEB4650}"/>
    <cellStyle name="Millares 3 4 11" xfId="13409" xr:uid="{514C85D6-030E-4A45-8ADA-FE1BBB1B96EC}"/>
    <cellStyle name="Millares 3 4 12" xfId="13009" xr:uid="{5445516C-0441-439B-9B37-B8AED3E48977}"/>
    <cellStyle name="Millares 3 4 13" xfId="13010" xr:uid="{4EA2F80D-8908-45D1-934A-C98A6834773A}"/>
    <cellStyle name="Millares 3 4 14" xfId="11636" xr:uid="{3F3725F2-5812-4239-9C25-776C1D7458A7}"/>
    <cellStyle name="Millares 3 4 15" xfId="13237" xr:uid="{9A6A9074-0E9E-4ABD-8CCA-69FAD24F5721}"/>
    <cellStyle name="Millares 3 4 16" xfId="13634" xr:uid="{013C51E4-B0B7-4800-879C-0F78FFC8C3E8}"/>
    <cellStyle name="Millares 3 4 17" xfId="13935" xr:uid="{8EA81E65-E27D-4776-BA5D-1C1BC28CB370}"/>
    <cellStyle name="Millares 3 4 18" xfId="10945" xr:uid="{DE240B2A-1054-4581-A3F4-BBFC98C3C2E4}"/>
    <cellStyle name="Millares 3 4 19" xfId="13374" xr:uid="{D7BA577B-3E98-43AA-AE63-A421B763F5C7}"/>
    <cellStyle name="Millares 3 4 2" xfId="13542" xr:uid="{4CDDE58E-3573-4308-8990-93CCD46B2786}"/>
    <cellStyle name="Millares 3 4 2 2" xfId="19774" xr:uid="{2C5D3186-A09F-492F-99B1-7B4DF58EC3CD}"/>
    <cellStyle name="Millares 3 4 2 3" xfId="20800" xr:uid="{ED30D557-033F-4751-8C1E-9C123E986EA4}"/>
    <cellStyle name="Millares 3 4 20" xfId="12979" xr:uid="{A00EE45F-42B6-412E-90C8-1C9F9A1EC13A}"/>
    <cellStyle name="Millares 3 4 21" xfId="13011" xr:uid="{4FB72D9C-0BE4-40F1-9A50-1F888EE121C7}"/>
    <cellStyle name="Millares 3 4 22" xfId="13012" xr:uid="{C9F82355-208C-42B9-8BE8-251E226783A3}"/>
    <cellStyle name="Millares 3 4 23" xfId="13061" xr:uid="{499B1991-B7F4-4878-A55A-C2D7E11F134D}"/>
    <cellStyle name="Millares 3 4 24" xfId="11192" xr:uid="{3CFFCB11-5DDF-4821-8399-A6232B6F81CB}"/>
    <cellStyle name="Millares 3 4 3" xfId="12596" xr:uid="{D321CA5F-0A48-4EC9-B7E5-8BC108210B08}"/>
    <cellStyle name="Millares 3 4 4" xfId="13578" xr:uid="{990A9B61-CBDC-49A5-B6DD-2CA5901E3B7B}"/>
    <cellStyle name="Millares 3 4 5" xfId="13812" xr:uid="{721E8E56-591F-4086-80B2-0C3CF513D3F3}"/>
    <cellStyle name="Millares 3 4 6" xfId="11637" xr:uid="{AA1B6D14-8AED-4F92-8ADF-450273AB000F}"/>
    <cellStyle name="Millares 3 4 7" xfId="11194" xr:uid="{383F5053-7CB2-45DF-895F-3C35CD4B6F43}"/>
    <cellStyle name="Millares 3 4 8" xfId="13813" xr:uid="{8BDD9001-5C7C-4E25-BEF4-6EDF970957E1}"/>
    <cellStyle name="Millares 3 4 9" xfId="11870" xr:uid="{5708DD91-0005-4E36-B8CA-98ED0A943521}"/>
    <cellStyle name="Millares 3 5" xfId="2615" xr:uid="{EB98B4FA-A3EE-4EB3-8703-9995E0EAFC74}"/>
    <cellStyle name="Millares 3 5 2" xfId="13013" xr:uid="{99C89187-726E-4CBB-8132-5AD82A2F96C5}"/>
    <cellStyle name="Millares 3 5 2 2" xfId="19775" xr:uid="{5E0EB9FD-FFAF-4F53-9AA5-0F5E60D22013}"/>
    <cellStyle name="Millares 3 5 2 3" xfId="20762" xr:uid="{5C67CBCC-78E3-480B-A91D-173D6BB9FF20}"/>
    <cellStyle name="Millares 3 6" xfId="2616" xr:uid="{E74EF27B-30FD-4634-AC73-00C889A3A534}"/>
    <cellStyle name="Millares 3 6 2" xfId="13324" xr:uid="{D23DEF40-419E-42EC-AFE6-0CB82F4EA4AD}"/>
    <cellStyle name="Millares 3 6 2 2" xfId="19776" xr:uid="{591FCEFA-5D0F-4882-867E-541290D3E284}"/>
    <cellStyle name="Millares 3 6 2 3" xfId="20790" xr:uid="{7A255B8A-EC2F-42D7-B611-A691CBFECD2C}"/>
    <cellStyle name="Millares 3 7" xfId="2617" xr:uid="{F923E72E-D62C-4F96-9A28-B1830975B07D}"/>
    <cellStyle name="Millares 3 7 2" xfId="13014" xr:uid="{56D2338D-7F60-42AF-B753-313BF071E4BB}"/>
    <cellStyle name="Millares 3 7 2 2" xfId="19777" xr:uid="{A081FCEE-2B39-4AED-8300-C40C6EEA61D5}"/>
    <cellStyle name="Millares 3 7 2 3" xfId="20763" xr:uid="{CF5270DC-0697-4DD4-A8C7-15AF85CB6B51}"/>
    <cellStyle name="Millares 3 8" xfId="4403" xr:uid="{988E1E62-1B25-4839-B0EF-66BE9A36ACBC}"/>
    <cellStyle name="Millares 3 8 2" xfId="10197" xr:uid="{B8D63941-73E9-4D69-8EE1-5B8D9D780559}"/>
    <cellStyle name="Millares 3 8 3" xfId="10176" xr:uid="{FDEEFC08-C686-40C8-B008-2C0ED83C9E2D}"/>
    <cellStyle name="Millares 3 8 3 2" xfId="20474" xr:uid="{D97F3EC4-E424-4ABB-B880-5E393086323B}"/>
    <cellStyle name="Millares 3 8 4" xfId="11638" xr:uid="{527E7550-9E3D-4416-90FD-1837179F452A}"/>
    <cellStyle name="Millares 3 8 4 2" xfId="19772" xr:uid="{091D9D92-F383-46AF-8F0E-2CFA6CFDFF09}"/>
    <cellStyle name="Millares 3 8 4 3" xfId="20581" xr:uid="{79F9A65E-90C9-4EF8-A418-E182A8C7A24E}"/>
    <cellStyle name="Millares 3 9" xfId="6061" xr:uid="{82768443-2C98-484E-A7F0-266A6943F0CB}"/>
    <cellStyle name="Millares 3 9 2" xfId="9566" xr:uid="{F6C7A631-DCA8-4DF3-A1A4-1B81B194ECAA}"/>
    <cellStyle name="Millares 3 9 2 2" xfId="19618" xr:uid="{E5168640-B877-455B-991F-3914B9DCE710}"/>
    <cellStyle name="Millares 3 9 2 3" xfId="19657" xr:uid="{22DA57C7-32DD-48AA-974E-A675243F7DE2}"/>
    <cellStyle name="Millares 3 9 2 4" xfId="16278" xr:uid="{C44566D2-3116-4089-805A-A205A70FDAA3}"/>
    <cellStyle name="Millares 3 9 3" xfId="10155" xr:uid="{C10A929C-AFF0-424B-AE86-05ED5A7C414B}"/>
    <cellStyle name="Millares 3 9 3 2" xfId="16285" xr:uid="{59F91D07-9EC2-4E17-9292-3FE7F6D1489F}"/>
    <cellStyle name="Millares 3 9 3 2 2" xfId="20834" xr:uid="{6D886CB3-7EC4-4771-8E2D-008396F87273}"/>
    <cellStyle name="Millares 3 9 3 3" xfId="16207" xr:uid="{5C0EB429-62E6-4F7D-B14E-6BF9FE58B7C2}"/>
    <cellStyle name="Millares 3 9 3 4" xfId="20485" xr:uid="{01CFF8E1-C0C4-47C3-B482-0C0DE70ACAA2}"/>
    <cellStyle name="Millares 3 9 4" xfId="10219" xr:uid="{2EB4ED81-403D-46BC-9D11-7824E3304257}"/>
    <cellStyle name="Millares 3 9 5" xfId="13496" xr:uid="{C47CF06C-6B5B-4EA6-B103-FA2A271001D3}"/>
    <cellStyle name="Millares 3 9 5 2" xfId="17067" xr:uid="{430A5A4E-8F02-44E6-930D-07417B008291}"/>
    <cellStyle name="Millares 3 9 5 3" xfId="20797" xr:uid="{78943E8A-0142-4D9F-B376-C468C0C326B2}"/>
    <cellStyle name="Millares 3 9 6" xfId="15607" xr:uid="{5A7A9191-658E-4CB6-8422-DC73E77DBF35}"/>
    <cellStyle name="Millares 30" xfId="4404" xr:uid="{A6A23E67-4129-49AF-B827-681A8672DD5A}"/>
    <cellStyle name="Millares 30 2" xfId="10198" xr:uid="{DA682E50-7AE7-4C0C-BDFB-30FD9B3D4A73}"/>
    <cellStyle name="Millares 30 2 2" xfId="19963" xr:uid="{1E193A36-D330-4A0F-ACD7-FBA8E60FAD1F}"/>
    <cellStyle name="Millares 30 3" xfId="10187" xr:uid="{51A5E7C4-EA5B-485E-9DDB-97094FA0CE3D}"/>
    <cellStyle name="Millares 30 3 2" xfId="10881" xr:uid="{74AC2474-B2ED-4FA5-90C5-2E71DEC0424F}"/>
    <cellStyle name="Millares 30 4" xfId="10947" xr:uid="{7EE4A657-5D02-4944-8094-3ADCB31354AA}"/>
    <cellStyle name="Millares 31" xfId="2618" xr:uid="{4696B88D-3BC6-487C-9D0A-BD81A295297C}"/>
    <cellStyle name="Millares 31 2" xfId="10949" xr:uid="{147DAA82-CD0E-48ED-9B18-B20FE02A2DA2}"/>
    <cellStyle name="Millares 31 2 2" xfId="19778" xr:uid="{AE3235D0-CDF0-4421-A9E5-641179E3C0BE}"/>
    <cellStyle name="Millares 31 2 3" xfId="20490" xr:uid="{A3C61BA4-1FAE-4D02-9069-AE7B21B51687}"/>
    <cellStyle name="Millares 32" xfId="2619" xr:uid="{821C6EF6-5CAC-4BF3-B76F-325916B44D62}"/>
    <cellStyle name="Millares 32 2" xfId="13152" xr:uid="{68EE59E9-BC35-431F-B559-093EC944E95D}"/>
    <cellStyle name="Millares 32 2 2" xfId="19779" xr:uid="{8CE4A0C1-CF75-423B-8007-EF6051A08FD1}"/>
    <cellStyle name="Millares 32 2 3" xfId="20780" xr:uid="{07D9E905-C37D-45F6-9709-F19861661DB0}"/>
    <cellStyle name="Millares 33" xfId="2620" xr:uid="{3C396ACE-13E2-4ED0-9547-FDCB2894808D}"/>
    <cellStyle name="Millares 33 2" xfId="13728" xr:uid="{49ADCF3B-AF31-47BD-968C-6037CB1C4F71}"/>
    <cellStyle name="Millares 33 2 2" xfId="19780" xr:uid="{3E9EAEEA-E7C2-45F3-A32F-FC153EE581C7}"/>
    <cellStyle name="Millares 33 2 3" xfId="20814" xr:uid="{7B903BA6-0C2D-46A6-8C42-0F6A184642B7}"/>
    <cellStyle name="Millares 34" xfId="2621" xr:uid="{E1F81B67-7591-40A3-A6FC-42FBA847D33B}"/>
    <cellStyle name="Millares 34 2" xfId="13936" xr:uid="{CA3353E0-8FA7-4730-B78B-16E56F8F6C6F}"/>
    <cellStyle name="Millares 34 2 2" xfId="19781" xr:uid="{7F70529D-7A11-4661-B559-B2D044CC8C77}"/>
    <cellStyle name="Millares 34 2 3" xfId="20827" xr:uid="{6328BEFC-3174-4C00-A593-31A0E09EA0B6}"/>
    <cellStyle name="Millares 35" xfId="2622" xr:uid="{59EF780D-A45B-4FBD-9E00-F642FD85BA8C}"/>
    <cellStyle name="Millares 35 2" xfId="19782" xr:uid="{F0FD11F4-902F-4135-8CFF-2AA96C5187D5}"/>
    <cellStyle name="Millares 36" xfId="2623" xr:uid="{6497CA1B-4A6C-449E-A0EB-87295AB6EAD0}"/>
    <cellStyle name="Millares 36 2" xfId="19783" xr:uid="{5BEEC308-554D-4A09-B258-6FCDB608C8E7}"/>
    <cellStyle name="Millares 37" xfId="6017" xr:uid="{538DAEE0-B802-4CF3-92E6-D1B523998BF1}"/>
    <cellStyle name="Millares 37 2" xfId="6235" xr:uid="{3C1A14A9-1461-45A2-AE21-5A74A22F8794}"/>
    <cellStyle name="Millares 37 2 2" xfId="6236" xr:uid="{365C53DC-BE23-45DA-AF71-82BE2139D71E}"/>
    <cellStyle name="Millares 37 2 3" xfId="9105" xr:uid="{7FA71893-15BC-48AB-B172-7188CCF8C6D0}"/>
    <cellStyle name="Millares 37 2 3 2" xfId="19157" xr:uid="{0413552F-BC5C-4E6B-97F4-D9EA7636BD4B}"/>
    <cellStyle name="Millares 37 2 4" xfId="16610" xr:uid="{97865E94-794F-4B1C-9F30-97FC096A5DEE}"/>
    <cellStyle name="Millares 37 2 5" xfId="14142" xr:uid="{F73784F5-E356-4238-9D57-D490EF95DBC4}"/>
    <cellStyle name="Millares 37 3" xfId="6237" xr:uid="{D1BE526E-DBD0-4859-A14F-8AF70913E3F6}"/>
    <cellStyle name="Millares 37 3 2" xfId="9554" xr:uid="{D1A310F7-52E3-4FD7-BC00-6798CA7BC858}"/>
    <cellStyle name="Millares 37 3 2 2" xfId="19606" xr:uid="{16AD1E35-89F3-4607-B860-0B1514991841}"/>
    <cellStyle name="Millares 37 3 3" xfId="10186" xr:uid="{5BF47567-5FBC-4514-A6B9-21D6D4CE0FFE}"/>
    <cellStyle name="Millares 37 3 4" xfId="10880" xr:uid="{66BE8464-EEE4-46EC-9126-10B3C844DB38}"/>
    <cellStyle name="Millares 37 3 5" xfId="15624" xr:uid="{92ED5C10-A798-4D0E-B22D-813958570FB6}"/>
    <cellStyle name="Millares 37 4" xfId="6238" xr:uid="{C9E27EB9-5C08-403D-B152-71BF59BDE5FE}"/>
    <cellStyle name="Millares 37 4 2" xfId="8251" xr:uid="{4090DE69-6D12-4D0E-95FE-E86B0DA3513C}"/>
    <cellStyle name="Millares 37 4 3" xfId="13025" xr:uid="{06A9E98A-44F8-487F-A267-938CF003250C}"/>
    <cellStyle name="Millares 37 4 3 2" xfId="20770" xr:uid="{6DF11845-D571-41CF-A18D-CD9D7FB81815}"/>
    <cellStyle name="Millares 37 4 4" xfId="15460" xr:uid="{181EC775-6D78-4073-BA6F-8913738360B7}"/>
    <cellStyle name="Millares 37 5" xfId="8677" xr:uid="{360969EA-5BAB-4FD9-A61A-D018D5C0CF2F}"/>
    <cellStyle name="Millares 37 5 2" xfId="18729" xr:uid="{73BC01C5-E709-4B72-91FD-0BE8DBA2D01B}"/>
    <cellStyle name="Millares 37 5 3" xfId="16252" xr:uid="{DFBA40F8-9314-49E9-90EB-D318D542911A}"/>
    <cellStyle name="Millares 37 6" xfId="11028" xr:uid="{32F07893-3434-4875-A3EF-99815D7F3BA9}"/>
    <cellStyle name="Millares 37 6 2" xfId="15834" xr:uid="{DAE00529-5FA7-45DE-B910-AD8DD29A4B57}"/>
    <cellStyle name="Millares 37 6 3" xfId="20499" xr:uid="{39E0E68B-F8EB-4FB4-BCC0-700285B5EFA5}"/>
    <cellStyle name="Millares 38" xfId="6019" xr:uid="{44A052AF-482D-40CC-83EB-55FC5B8BBDCB}"/>
    <cellStyle name="Millares 38 2" xfId="6239" xr:uid="{3A107409-88BF-484D-BD12-F9CDCE84C9CE}"/>
    <cellStyle name="Millares 38 2 2" xfId="6240" xr:uid="{C79CD95F-E310-4605-8263-D33F52ADEB7F}"/>
    <cellStyle name="Millares 38 2 3" xfId="9107" xr:uid="{BFFEE7ED-8301-42A9-9139-AB6CDACD483F}"/>
    <cellStyle name="Millares 38 2 3 2" xfId="19159" xr:uid="{C7F53DF6-2D5B-4103-9EC1-E0BB37DA8A34}"/>
    <cellStyle name="Millares 38 2 4" xfId="16612" xr:uid="{4EB5303D-AE3C-4990-920A-D3B529314EAF}"/>
    <cellStyle name="Millares 38 2 5" xfId="15034" xr:uid="{C3B4359E-80AD-4A80-A1DC-7AC0A1DA53D1}"/>
    <cellStyle name="Millares 38 3" xfId="6241" xr:uid="{76617A81-D8BB-40A8-BED9-E2B30CE45045}"/>
    <cellStyle name="Millares 38 3 2" xfId="9556" xr:uid="{B6520EB3-15A9-47BE-8046-A23C923729C9}"/>
    <cellStyle name="Millares 38 3 2 2" xfId="19608" xr:uid="{12B206A1-B74B-4A96-995B-5C72618E6A5F}"/>
    <cellStyle name="Millares 38 3 3" xfId="10185" xr:uid="{575CD05C-E1B5-49EB-ADB6-E263BC0074CF}"/>
    <cellStyle name="Millares 38 3 4" xfId="10879" xr:uid="{2BDB393D-C472-457B-A8AB-91FCB376D729}"/>
    <cellStyle name="Millares 38 3 5" xfId="15622" xr:uid="{9A834922-86E1-49AA-B7A6-678569050634}"/>
    <cellStyle name="Millares 38 4" xfId="6242" xr:uid="{082FCAC5-D997-45CA-BF24-EE7E971738FC}"/>
    <cellStyle name="Millares 38 4 2" xfId="20466" xr:uid="{DED248D2-368B-4FB2-BF05-043436D3F150}"/>
    <cellStyle name="Millares 38 4 3" xfId="15598" xr:uid="{35357E80-3BAE-4897-A816-8A19F991441A}"/>
    <cellStyle name="Millares 38 4 4" xfId="15459" xr:uid="{8E60ED18-A9F7-4FA6-9F1D-F4ACC8F36339}"/>
    <cellStyle name="Millares 38 5" xfId="8679" xr:uid="{E955B0FD-A1F9-4C1F-8A32-6609D03F896B}"/>
    <cellStyle name="Millares 38 5 2" xfId="18731" xr:uid="{BBC345B7-8A11-47CF-A4DD-60F56B684B15}"/>
    <cellStyle name="Millares 38 5 3" xfId="16254" xr:uid="{D17B97D6-541A-43C1-844B-E5FB9ECC1C6E}"/>
    <cellStyle name="Millares 38 6" xfId="15832" xr:uid="{5023E778-5C3A-431E-8EA4-4726CADEF56D}"/>
    <cellStyle name="Millares 39" xfId="6020" xr:uid="{647F9A9C-5F44-4A9C-8D67-0882ADD3CB08}"/>
    <cellStyle name="Millares 39 2" xfId="6243" xr:uid="{36D4A634-8929-401A-8737-37F83FFFA779}"/>
    <cellStyle name="Millares 39 2 2" xfId="6244" xr:uid="{7A50E102-1E19-45FF-B544-2C531E56D30D}"/>
    <cellStyle name="Millares 39 2 3" xfId="9108" xr:uid="{40DC93E9-AE60-4863-8269-93561F759E5F}"/>
    <cellStyle name="Millares 39 2 3 2" xfId="19160" xr:uid="{5BE6A06A-0C3E-4123-A773-65BD7AA1092E}"/>
    <cellStyle name="Millares 39 2 4" xfId="16613" xr:uid="{D88A7160-2E14-4C21-B862-FE1AB0E7655A}"/>
    <cellStyle name="Millares 39 2 5" xfId="15033" xr:uid="{9D07189A-AF2D-46FE-B0F8-49A6A6B4DFDF}"/>
    <cellStyle name="Millares 39 3" xfId="6245" xr:uid="{F42A9C8A-2E29-40A2-B27F-860632FF0554}"/>
    <cellStyle name="Millares 39 3 2" xfId="9557" xr:uid="{6039D7FF-4307-4404-9B3C-611F7D7FA712}"/>
    <cellStyle name="Millares 39 3 2 2" xfId="19609" xr:uid="{5576BD3C-5B94-4117-9A42-DDB6C36A7D25}"/>
    <cellStyle name="Millares 39 3 2 3" xfId="20467" xr:uid="{E18AEF15-1B08-4E63-BE00-E44C7E56C419}"/>
    <cellStyle name="Millares 39 3 3" xfId="17058" xr:uid="{1275B4CD-C09B-4AF8-BFAF-2EAD5B1FCB83}"/>
    <cellStyle name="Millares 39 3 4" xfId="19649" xr:uid="{ADD1D675-24A6-468C-BDA6-F4439DCBA8B0}"/>
    <cellStyle name="Millares 39 3 5" xfId="15621" xr:uid="{5EA650CA-EA23-4B5A-BEC7-90D50009CBBB}"/>
    <cellStyle name="Millares 39 4" xfId="6246" xr:uid="{25C5BA74-5D7C-4D47-9043-F7326CBC25B0}"/>
    <cellStyle name="Millares 39 4 2" xfId="20461" xr:uid="{E0E7B7F3-2AF3-41BC-A8ED-6B4BFD69841D}"/>
    <cellStyle name="Millares 39 4 3" xfId="14550" xr:uid="{CD3CC24D-AC72-4165-8EBD-4CB8F7E03F1B}"/>
    <cellStyle name="Millares 39 4 4" xfId="16219" xr:uid="{21BF54F6-B9DE-4CB0-B4DD-EF453302C931}"/>
    <cellStyle name="Millares 39 5" xfId="8680" xr:uid="{70E77732-05A8-4ED2-A5E1-33393A1AD3C9}"/>
    <cellStyle name="Millares 39 5 2" xfId="18732" xr:uid="{D4CE85AD-059B-4E8C-8195-51181629AB24}"/>
    <cellStyle name="Millares 39 5 3" xfId="16255" xr:uid="{676A5D90-CF43-4AB1-AECD-0C310C75A460}"/>
    <cellStyle name="Millares 39 6" xfId="16325" xr:uid="{79761228-5F83-408C-9894-3A8DB17445F3}"/>
    <cellStyle name="Millares 39 7" xfId="15391" xr:uid="{91004D86-DBBF-4C5B-82E3-1BD51B75F1E7}"/>
    <cellStyle name="Millares 4" xfId="82" xr:uid="{8EF1E3B2-6F3C-4231-A3A4-EDE4740AFF75}"/>
    <cellStyle name="Millares 4 10" xfId="2625" xr:uid="{EFCBC274-A1F0-4787-9EA4-A324D20D90AF}"/>
    <cellStyle name="Millares 4 10 2" xfId="12513" xr:uid="{71E8AE6D-3A22-4412-B79D-00CF7A0EB019}"/>
    <cellStyle name="Millares 4 10 2 2" xfId="19784" xr:uid="{66644C64-DE3A-4DD4-99AD-4525BFA8C2D2}"/>
    <cellStyle name="Millares 4 10 2 3" xfId="20701" xr:uid="{A986FE1E-4AC6-406A-937B-C2156EB0F386}"/>
    <cellStyle name="Millares 4 11" xfId="2626" xr:uid="{3A1663C6-BBC2-4D97-80EE-AE8FB523D430}"/>
    <cellStyle name="Millares 4 11 2" xfId="13497" xr:uid="{58E56C7C-467D-4A5B-8CE0-A63D1D6566D0}"/>
    <cellStyle name="Millares 4 11 2 2" xfId="19785" xr:uid="{3767E403-61F4-45FD-88EF-A2EDE7F7E5C1}"/>
    <cellStyle name="Millares 4 11 2 3" xfId="20798" xr:uid="{C7DE73C6-6F7C-40A0-AC9C-8EF0851FBCA5}"/>
    <cellStyle name="Millares 4 12" xfId="2627" xr:uid="{6EBDE439-24DE-4A41-A115-4B59A9C4B349}"/>
    <cellStyle name="Millares 4 12 2" xfId="13015" xr:uid="{6E77D110-054B-431F-AB71-8E2E8DCA25DE}"/>
    <cellStyle name="Millares 4 12 2 2" xfId="19786" xr:uid="{14FFF4B0-C44C-4ECD-9EA8-F97481429F56}"/>
    <cellStyle name="Millares 4 12 2 3" xfId="20764" xr:uid="{3E36B221-6E45-41C0-BC88-4459AF48E9FA}"/>
    <cellStyle name="Millares 4 13" xfId="2628" xr:uid="{3C4D440C-0251-4A30-BE85-134A89EA3F26}"/>
    <cellStyle name="Millares 4 13 10" xfId="9588" xr:uid="{187CAE88-A1F1-48EB-BDB4-FFBE3AB86050}"/>
    <cellStyle name="Millares 4 13 11" xfId="10247" xr:uid="{203555AB-9A0A-48A8-BBEB-81F96A90ACFD}"/>
    <cellStyle name="Millares 4 13 12" xfId="13773" xr:uid="{C2EA5247-1BD9-4B22-8DB5-0E4CA4E4A52D}"/>
    <cellStyle name="Millares 4 13 12 2" xfId="16189" xr:uid="{756AB733-2E33-4300-A12E-3748FFAFF897}"/>
    <cellStyle name="Millares 4 13 12 3" xfId="20818" xr:uid="{81CA8D06-8AF2-45C8-81C6-2AFFCE2C2733}"/>
    <cellStyle name="Millares 4 13 2" xfId="2629" xr:uid="{5DDB2A47-49E5-4FDA-BC96-3A40DAD62845}"/>
    <cellStyle name="Millares 4 13 2 10" xfId="10248" xr:uid="{E9C8CB30-E6D4-4A66-91DC-38305ED45E30}"/>
    <cellStyle name="Millares 4 13 2 11" xfId="16188" xr:uid="{04EA233B-CB10-4B04-A54D-529C987A2786}"/>
    <cellStyle name="Millares 4 13 2 2" xfId="4405" xr:uid="{DBF3582B-99B0-4F17-8B40-D366DAE96FFF}"/>
    <cellStyle name="Millares 4 13 2 2 2" xfId="6247" xr:uid="{3A3296BB-DCD2-4A65-81BF-C66CAD623C3C}"/>
    <cellStyle name="Millares 4 13 2 2 2 2" xfId="8840" xr:uid="{BB9A7C79-C5C1-481E-82F7-F86B6FB4639A}"/>
    <cellStyle name="Millares 4 13 2 2 2 2 2" xfId="18892" xr:uid="{CC9E83CA-D074-4D7E-B925-C59D541D218D}"/>
    <cellStyle name="Millares 4 13 2 2 2 3" xfId="16348" xr:uid="{1A100D30-1C4A-43EF-8CF2-4FE04C3BC785}"/>
    <cellStyle name="Millares 4 13 2 2 2 4" xfId="15274" xr:uid="{D45CDFD7-2EF9-4546-AEAE-5AAE1C5EB46E}"/>
    <cellStyle name="Millares 4 13 2 2 3" xfId="6248" xr:uid="{CD98806B-4E2F-4391-BEAB-82AF54687497}"/>
    <cellStyle name="Millares 4 13 2 2 3 2" xfId="9288" xr:uid="{7DBCAEE4-53DC-4D58-827A-F3D8D04A4CE6}"/>
    <cellStyle name="Millares 4 13 2 2 3 2 2" xfId="19340" xr:uid="{41999C48-45EA-4F27-845E-BB6B5984968F}"/>
    <cellStyle name="Millares 4 13 2 2 3 3" xfId="16791" xr:uid="{E0F9D643-45A1-48B8-A1C1-7547A76E403A}"/>
    <cellStyle name="Millares 4 13 2 2 3 4" xfId="14129" xr:uid="{F4337895-4062-425B-ACE4-4519C2523AFD}"/>
    <cellStyle name="Millares 4 13 2 2 4" xfId="6249" xr:uid="{9CF0CF8A-5FB6-4C6E-AB86-87957CC6A795}"/>
    <cellStyle name="Millares 4 13 2 2 4 2" xfId="17392" xr:uid="{03CFE163-9DDE-4274-B4D8-E38C17DD04CE}"/>
    <cellStyle name="Millares 4 13 2 2 4 3" xfId="14789" xr:uid="{95E7BCD8-8C1E-4C45-9FAE-59B6870EB30D}"/>
    <cellStyle name="Millares 4 13 2 2 5" xfId="6250" xr:uid="{1E6956E1-196D-4580-B104-71C5395CCAD4}"/>
    <cellStyle name="Millares 4 13 2 2 5 2" xfId="18003" xr:uid="{6A44FA63-876D-47E8-A1B1-30775F85DEE5}"/>
    <cellStyle name="Millares 4 13 2 2 5 3" xfId="14424" xr:uid="{26BD4C75-9C89-4232-8A73-A2616BB63B50}"/>
    <cellStyle name="Millares 4 13 2 2 6" xfId="8412" xr:uid="{86012868-1499-4402-9DFA-28A5C0F75BD4}"/>
    <cellStyle name="Millares 4 13 2 2 6 2" xfId="18464" xr:uid="{50021218-6C6F-4F51-9555-D0298A83F9ED}"/>
    <cellStyle name="Millares 4 13 2 2 7" xfId="9878" xr:uid="{6F633A8E-32E5-4B94-95CF-E6A0D56DA7B7}"/>
    <cellStyle name="Millares 4 13 2 2 8" xfId="10417" xr:uid="{AD90846A-95E7-4B32-BA52-D5180B3BF5C3}"/>
    <cellStyle name="Millares 4 13 2 2 9" xfId="16054" xr:uid="{7C0A05BB-9192-4A4A-A958-E47D0D2A4516}"/>
    <cellStyle name="Millares 4 13 2 3" xfId="4406" xr:uid="{06F5B44A-3153-406A-B7FD-A2792877955A}"/>
    <cellStyle name="Millares 4 13 2 3 2" xfId="6251" xr:uid="{A88FBE04-AE12-462F-8F35-D2A07CC2C90A}"/>
    <cellStyle name="Millares 4 13 2 3 2 2" xfId="8841" xr:uid="{CAA5C7AC-CC60-4A34-A632-0C2915E48713}"/>
    <cellStyle name="Millares 4 13 2 3 2 2 2" xfId="18893" xr:uid="{C101E4A3-7AAC-495D-A00A-D06D79C73AA8}"/>
    <cellStyle name="Millares 4 13 2 3 2 3" xfId="16349" xr:uid="{E3883396-9CE2-4306-92BD-58642692A25F}"/>
    <cellStyle name="Millares 4 13 2 3 2 4" xfId="15273" xr:uid="{69B598FA-BF52-43C4-AB13-C1BC11296D06}"/>
    <cellStyle name="Millares 4 13 2 3 3" xfId="6252" xr:uid="{86ACB238-DCC9-4FAC-814D-9C6319304055}"/>
    <cellStyle name="Millares 4 13 2 3 3 2" xfId="9289" xr:uid="{9DE72713-EC1F-48E6-B0F2-997145B21148}"/>
    <cellStyle name="Millares 4 13 2 3 3 2 2" xfId="19341" xr:uid="{420D4C8B-6EBC-4A9D-9BD9-B5512A44CD13}"/>
    <cellStyle name="Millares 4 13 2 3 3 3" xfId="16792" xr:uid="{4A1AE707-40E7-48B5-A5E7-2AEE524F9890}"/>
    <cellStyle name="Millares 4 13 2 3 3 4" xfId="14879" xr:uid="{8BA233D8-7F19-497D-AE66-B68717034C82}"/>
    <cellStyle name="Millares 4 13 2 3 4" xfId="6253" xr:uid="{1A5D69DB-094D-43FD-B2FE-36D69AD64E1B}"/>
    <cellStyle name="Millares 4 13 2 3 4 2" xfId="17393" xr:uid="{5FE35C30-61D6-47A8-B14B-A49C1965D034}"/>
    <cellStyle name="Millares 4 13 2 3 4 3" xfId="14788" xr:uid="{89EDBCE3-BDA8-4BE4-886A-94F4C2D329DC}"/>
    <cellStyle name="Millares 4 13 2 3 5" xfId="6254" xr:uid="{E0E5DF47-080F-410B-8F5E-BB9E1BAD0B8C}"/>
    <cellStyle name="Millares 4 13 2 3 5 2" xfId="18004" xr:uid="{9DC1323B-A7DA-49FA-B8E1-4C17C59CA3AE}"/>
    <cellStyle name="Millares 4 13 2 3 5 3" xfId="14423" xr:uid="{9C6D089B-27AE-4E34-89CB-7B6C4B8E8198}"/>
    <cellStyle name="Millares 4 13 2 3 6" xfId="8413" xr:uid="{68FFE1F2-46F8-496E-9E8B-C953029706F7}"/>
    <cellStyle name="Millares 4 13 2 3 6 2" xfId="18465" xr:uid="{F3D5C6AC-72FA-40B8-9CF3-3C5DA54092D8}"/>
    <cellStyle name="Millares 4 13 2 3 7" xfId="9879" xr:uid="{FD4B0EF0-A0D5-434E-863C-D240CE0381A5}"/>
    <cellStyle name="Millares 4 13 2 3 8" xfId="10418" xr:uid="{83039AD4-D448-4F16-A1F0-6DE2B2F666AD}"/>
    <cellStyle name="Millares 4 13 2 3 9" xfId="16053" xr:uid="{ECDB92FD-93E2-470F-A452-0AC28A9BA5DD}"/>
    <cellStyle name="Millares 4 13 2 4" xfId="6255" xr:uid="{CCD783DC-3E5A-4B1B-B75F-C47BEC116781}"/>
    <cellStyle name="Millares 4 13 2 4 2" xfId="6256" xr:uid="{AF9B1BB4-D64A-4D02-B78E-859005E4A6B9}"/>
    <cellStyle name="Millares 4 13 2 4 2 2" xfId="17247" xr:uid="{83A6EFD5-12A3-4702-A1C2-A50D371C6216}"/>
    <cellStyle name="Millares 4 13 2 4 3" xfId="6257" xr:uid="{DB2FF899-962E-4B8B-83F9-A9DE30A8848B}"/>
    <cellStyle name="Millares 4 13 2 4 3 2" xfId="17860" xr:uid="{24A0F196-B619-46F1-8E73-59A35059E1F7}"/>
    <cellStyle name="Millares 4 13 2 4 4" xfId="8697" xr:uid="{5E80263C-2594-472D-A9B8-72F2C4AFBC09}"/>
    <cellStyle name="Millares 4 13 2 4 4 2" xfId="18749" xr:uid="{7866B9B8-E1C2-4CAC-BDF5-35729535974A}"/>
    <cellStyle name="Millares 4 13 2 4 5" xfId="9736" xr:uid="{A2A4B0BD-D294-4842-95A1-D09AD17E283D}"/>
    <cellStyle name="Millares 4 13 2 4 6" xfId="10419" xr:uid="{2DADD4D3-3286-433B-A325-CB723B80511F}"/>
    <cellStyle name="Millares 4 13 2 4 7" xfId="15817" xr:uid="{EE6D2E04-26F0-40A3-8F93-331ACA77C4B0}"/>
    <cellStyle name="Millares 4 13 2 5" xfId="6258" xr:uid="{C75D8963-48F7-47F5-9905-72A14287DFC1}"/>
    <cellStyle name="Millares 4 13 2 5 2" xfId="9145" xr:uid="{CED0A860-5303-44F3-BA5A-F511A118B3EB}"/>
    <cellStyle name="Millares 4 13 2 5 2 2" xfId="19197" xr:uid="{6718B32F-C5D8-4AC2-9C7A-0457C194A639}"/>
    <cellStyle name="Millares 4 13 2 5 3" xfId="16647" xr:uid="{F556667D-2CD9-4BB1-AA46-AE22B58D62DE}"/>
    <cellStyle name="Millares 4 13 2 5 4" xfId="15000" xr:uid="{51A929C0-CA55-4BC5-A67F-F5FE8F87E0E0}"/>
    <cellStyle name="Millares 4 13 2 6" xfId="6259" xr:uid="{3E9C75D6-06F7-4B1F-B705-38E0FBBECFB6}"/>
    <cellStyle name="Millares 4 13 2 6 2" xfId="17099" xr:uid="{AF1F21D3-C6FE-4040-95BC-F42F5B81277E}"/>
    <cellStyle name="Millares 4 13 2 6 3" xfId="15593" xr:uid="{4ED8D6DF-F90A-4C6E-9697-3EA1C4598ED6}"/>
    <cellStyle name="Millares 4 13 2 7" xfId="6260" xr:uid="{C95FBAEA-2B23-426C-8E6E-1704877AED49}"/>
    <cellStyle name="Millares 4 13 2 7 2" xfId="17706" xr:uid="{79709703-188C-4E6D-9052-D6D4CA2B5D73}"/>
    <cellStyle name="Millares 4 13 2 7 3" xfId="14543" xr:uid="{45A563C3-6F50-4225-8880-224701CF2F62}"/>
    <cellStyle name="Millares 4 13 2 8" xfId="8269" xr:uid="{107990D2-6590-4A86-A3FC-763804A31EDB}"/>
    <cellStyle name="Millares 4 13 2 8 2" xfId="18321" xr:uid="{DBC9EA79-A401-4834-B3C0-32253322CBBE}"/>
    <cellStyle name="Millares 4 13 2 9" xfId="9589" xr:uid="{3B9D204A-ADFA-4E46-8648-BFF2787078CF}"/>
    <cellStyle name="Millares 4 13 3" xfId="4407" xr:uid="{B451320B-F6ED-4426-9C98-162887CD180D}"/>
    <cellStyle name="Millares 4 13 3 2" xfId="6261" xr:uid="{BA5937CA-5FC6-4E3F-B054-7BE498C83DFE}"/>
    <cellStyle name="Millares 4 13 3 2 2" xfId="8842" xr:uid="{4D385D81-A23C-41E5-8039-387E4D79DDE8}"/>
    <cellStyle name="Millares 4 13 3 2 2 2" xfId="18894" xr:uid="{D202D972-D4EA-445E-ACC7-2DC53777646D}"/>
    <cellStyle name="Millares 4 13 3 2 3" xfId="16350" xr:uid="{0B0DB500-88F8-474D-916A-CABBEB2BCB6A}"/>
    <cellStyle name="Millares 4 13 3 2 4" xfId="15272" xr:uid="{553A201E-4EB9-4B3D-BFB0-50AEA2BEF3B5}"/>
    <cellStyle name="Millares 4 13 3 3" xfId="6262" xr:uid="{9E54A96D-4813-49F4-BB41-4116E4F3AD54}"/>
    <cellStyle name="Millares 4 13 3 3 2" xfId="9290" xr:uid="{2ED861E8-5DC5-4574-8AD7-BC87A7419A09}"/>
    <cellStyle name="Millares 4 13 3 3 2 2" xfId="19342" xr:uid="{0A50750B-29F8-47E5-95E7-AE07304E1E8D}"/>
    <cellStyle name="Millares 4 13 3 3 3" xfId="16793" xr:uid="{9A03A7E2-B024-4874-9FBC-32EA1F4DEB7A}"/>
    <cellStyle name="Millares 4 13 3 3 4" xfId="14878" xr:uid="{E29375F2-9595-45F0-AC8D-376A1E091EA4}"/>
    <cellStyle name="Millares 4 13 3 4" xfId="6263" xr:uid="{61663AD8-342A-482F-A6A1-E5BAA87B968A}"/>
    <cellStyle name="Millares 4 13 3 4 2" xfId="17394" xr:uid="{991D08B1-8663-4F26-AFCD-404629091583}"/>
    <cellStyle name="Millares 4 13 3 4 3" xfId="14787" xr:uid="{BAC32C05-EB6F-433A-9134-6ADF23E139D5}"/>
    <cellStyle name="Millares 4 13 3 5" xfId="6264" xr:uid="{4A363E87-AF6F-4C15-A556-CC14C4629F2D}"/>
    <cellStyle name="Millares 4 13 3 5 2" xfId="18005" xr:uid="{6F250D7F-8E97-4C56-BB71-3E5937BC3F02}"/>
    <cellStyle name="Millares 4 13 3 5 3" xfId="14422" xr:uid="{C162BBBA-07F0-4C1E-A88E-97FCD406466F}"/>
    <cellStyle name="Millares 4 13 3 6" xfId="8414" xr:uid="{BE9869AC-D37E-44EE-B607-23010AA232B4}"/>
    <cellStyle name="Millares 4 13 3 6 2" xfId="18466" xr:uid="{05ABF923-B4C3-4ABD-BDFD-3D2694B90B9A}"/>
    <cellStyle name="Millares 4 13 3 7" xfId="9880" xr:uid="{F04E577D-CA47-4EC6-BA37-9093E66018AC}"/>
    <cellStyle name="Millares 4 13 3 8" xfId="10420" xr:uid="{D4D09EC0-EA3B-46AC-8D11-4BEA342193BE}"/>
    <cellStyle name="Millares 4 13 3 9" xfId="15426" xr:uid="{4DC52373-7EF4-4BAE-A0AC-CBB863968D43}"/>
    <cellStyle name="Millares 4 13 4" xfId="4408" xr:uid="{2D10B931-5F95-415B-A4B0-964C3A334F32}"/>
    <cellStyle name="Millares 4 13 4 2" xfId="6265" xr:uid="{2C30688F-6980-41A8-90EF-2C177AEA1C09}"/>
    <cellStyle name="Millares 4 13 4 2 2" xfId="8843" xr:uid="{5AAE2DA2-15DA-43DE-900A-496574038484}"/>
    <cellStyle name="Millares 4 13 4 2 2 2" xfId="18895" xr:uid="{0D1A2A44-07FA-4AB5-829B-9CE67143AE9A}"/>
    <cellStyle name="Millares 4 13 4 2 3" xfId="16351" xr:uid="{6EE6E4BA-1603-4D3F-99E4-7E62BD46E6E1}"/>
    <cellStyle name="Millares 4 13 4 2 4" xfId="15271" xr:uid="{093BA7AA-D52F-4E26-9663-2DC80414923D}"/>
    <cellStyle name="Millares 4 13 4 3" xfId="6266" xr:uid="{2C862506-CDE6-490B-BB98-EF02AB67BAA8}"/>
    <cellStyle name="Millares 4 13 4 3 2" xfId="9291" xr:uid="{DE53BFC2-1A3E-4565-830C-42FA10CB6810}"/>
    <cellStyle name="Millares 4 13 4 3 2 2" xfId="19343" xr:uid="{A9D1A38F-0E8D-4854-A723-CB72053BDDC9}"/>
    <cellStyle name="Millares 4 13 4 3 3" xfId="16794" xr:uid="{797CB1FC-774D-4B38-AAB1-7F43F28EC543}"/>
    <cellStyle name="Millares 4 13 4 3 4" xfId="14877" xr:uid="{1EB1D86F-6960-4550-919B-48704DF953E8}"/>
    <cellStyle name="Millares 4 13 4 4" xfId="6267" xr:uid="{4BE46813-5DFB-4A97-9B82-D030203FA997}"/>
    <cellStyle name="Millares 4 13 4 4 2" xfId="17395" xr:uid="{C54BA10A-CA36-4A93-A08C-583341C001B9}"/>
    <cellStyle name="Millares 4 13 4 4 3" xfId="14786" xr:uid="{B92AD526-C0E7-4FF5-8D73-EC4185273162}"/>
    <cellStyle name="Millares 4 13 4 5" xfId="6268" xr:uid="{C20CDAE8-DC1E-4BB9-B9A6-B33CB5CF4377}"/>
    <cellStyle name="Millares 4 13 4 5 2" xfId="18006" xr:uid="{B16EFD57-E7C9-4018-84B4-4F786B85617D}"/>
    <cellStyle name="Millares 4 13 4 5 3" xfId="14421" xr:uid="{8C3FEF35-D7B4-4A53-9649-1FA8A477DD43}"/>
    <cellStyle name="Millares 4 13 4 6" xfId="8415" xr:uid="{61700CEA-A368-4896-9F7B-B09E83342145}"/>
    <cellStyle name="Millares 4 13 4 6 2" xfId="18467" xr:uid="{82265B60-F8E6-47AA-94E2-B147080FCEFB}"/>
    <cellStyle name="Millares 4 13 4 7" xfId="9881" xr:uid="{9AE93794-4D47-4B04-BFC7-E6A044FB2508}"/>
    <cellStyle name="Millares 4 13 4 8" xfId="10421" xr:uid="{56BC9B7B-33AF-4576-A7EE-F0F20D05C07B}"/>
    <cellStyle name="Millares 4 13 4 9" xfId="16052" xr:uid="{816150C3-D138-4D69-93E4-BE0CFF59B78E}"/>
    <cellStyle name="Millares 4 13 5" xfId="6269" xr:uid="{48AB8ED3-F7AF-42CF-9F08-0EFD537A981C}"/>
    <cellStyle name="Millares 4 13 5 2" xfId="6270" xr:uid="{98245BDC-ED37-476A-BB84-06FF45615EFC}"/>
    <cellStyle name="Millares 4 13 5 2 2" xfId="17246" xr:uid="{1AD8B888-6A16-4905-8997-99ED48D9D570}"/>
    <cellStyle name="Millares 4 13 5 3" xfId="6271" xr:uid="{35F2EB63-2196-4D18-92AD-4CD25E3007E8}"/>
    <cellStyle name="Millares 4 13 5 3 2" xfId="17859" xr:uid="{AF85CAF6-C33A-4400-A793-B671C22C0312}"/>
    <cellStyle name="Millares 4 13 5 4" xfId="8696" xr:uid="{0B79E674-3907-4474-841E-F2EB5DCB965C}"/>
    <cellStyle name="Millares 4 13 5 4 2" xfId="18748" xr:uid="{7E3F2CB8-C48F-428F-8548-51BBF82BD5EA}"/>
    <cellStyle name="Millares 4 13 5 5" xfId="9735" xr:uid="{EAA4539E-A7FB-4580-AA87-356C33DA0229}"/>
    <cellStyle name="Millares 4 13 5 6" xfId="10422" xr:uid="{8DBCF268-BE33-47E0-938B-8C8282B5CC4C}"/>
    <cellStyle name="Millares 4 13 5 7" xfId="15818" xr:uid="{C76D8C90-489D-4E4D-AE1B-5AE147788B0F}"/>
    <cellStyle name="Millares 4 13 6" xfId="6272" xr:uid="{E31E00E7-8D04-45D3-9289-CD243757AE93}"/>
    <cellStyle name="Millares 4 13 6 2" xfId="9144" xr:uid="{F189070E-BD7A-4C1A-A166-E7F5B309ABCB}"/>
    <cellStyle name="Millares 4 13 6 2 2" xfId="19196" xr:uid="{549E43C6-21A4-4C67-A008-2428B5E60D46}"/>
    <cellStyle name="Millares 4 13 6 3" xfId="16646" xr:uid="{11BD6D8F-E9E7-4537-92CB-985A05CB6E16}"/>
    <cellStyle name="Millares 4 13 6 4" xfId="15001" xr:uid="{8A4820FC-1237-4574-909B-D1CDC3C0C57D}"/>
    <cellStyle name="Millares 4 13 7" xfId="6273" xr:uid="{4FFB5D96-24CC-4667-B798-DAF917997EF3}"/>
    <cellStyle name="Millares 4 13 7 2" xfId="17098" xr:uid="{E5BCE59D-7011-45EB-A0BD-6A6F4EF3380E}"/>
    <cellStyle name="Millares 4 13 7 3" xfId="15467" xr:uid="{EBA48848-BFE6-4012-ABE4-60D1649E2AF6}"/>
    <cellStyle name="Millares 4 13 8" xfId="6274" xr:uid="{032FBF2E-F88F-47BA-8B08-124C09EC58EF}"/>
    <cellStyle name="Millares 4 13 8 2" xfId="17705" xr:uid="{314D3DC8-1587-49D5-8A3A-4074EF48E862}"/>
    <cellStyle name="Millares 4 13 8 3" xfId="14544" xr:uid="{8C9B88CE-0A9E-47F7-AA35-6A811C41CD1F}"/>
    <cellStyle name="Millares 4 13 9" xfId="8268" xr:uid="{A1FFC83A-859B-4923-9F22-858C6F3AEF51}"/>
    <cellStyle name="Millares 4 13 9 2" xfId="18320" xr:uid="{327C68D8-02A4-47F8-BDE9-9D14E67C8782}"/>
    <cellStyle name="Millares 4 14" xfId="2630" xr:uid="{504EDFF9-2675-4061-8D30-B75CC43D4D32}"/>
    <cellStyle name="Millares 4 14 10" xfId="10249" xr:uid="{AF294582-02B0-4ABD-9FAE-C0DF3FFC3937}"/>
    <cellStyle name="Millares 4 14 11" xfId="11012" xr:uid="{58B2ABB6-CCA5-403F-ABEC-B49A195F79F7}"/>
    <cellStyle name="Millares 4 14 11 2" xfId="16187" xr:uid="{55C33695-463A-4DFA-BA15-452D005A0104}"/>
    <cellStyle name="Millares 4 14 11 3" xfId="20497" xr:uid="{1CD7C897-6643-427D-9B46-D1DE118AA0A0}"/>
    <cellStyle name="Millares 4 14 2" xfId="4409" xr:uid="{7573CD82-FB21-4FED-A604-520517B22B69}"/>
    <cellStyle name="Millares 4 14 2 2" xfId="6275" xr:uid="{58AD260B-A734-459F-A7E0-8ACE5EB84F20}"/>
    <cellStyle name="Millares 4 14 2 2 2" xfId="8844" xr:uid="{6D02ACE6-DD76-48A9-BB60-1514A4EA0CE8}"/>
    <cellStyle name="Millares 4 14 2 2 2 2" xfId="18896" xr:uid="{878CC044-BD0C-4F56-B691-80F47B84A0E5}"/>
    <cellStyle name="Millares 4 14 2 2 3" xfId="16352" xr:uid="{B444ECD4-C388-4086-A6EB-BCFE3C7414FE}"/>
    <cellStyle name="Millares 4 14 2 2 4" xfId="15270" xr:uid="{0D6BD6FE-7943-4EC5-BFD1-6B8EADC52217}"/>
    <cellStyle name="Millares 4 14 2 3" xfId="6276" xr:uid="{EB1B5001-E47E-431F-8D77-640C9F9D578B}"/>
    <cellStyle name="Millares 4 14 2 3 2" xfId="9292" xr:uid="{0535937F-8A62-44CF-BD48-E8354C714D8F}"/>
    <cellStyle name="Millares 4 14 2 3 2 2" xfId="19344" xr:uid="{1F8CB8EE-737E-49E4-9059-D1A616B5D279}"/>
    <cellStyle name="Millares 4 14 2 3 3" xfId="16795" xr:uid="{17FB5F53-F99E-4201-BD5A-9B0EED075106}"/>
    <cellStyle name="Millares 4 14 2 3 4" xfId="14876" xr:uid="{FCE72AFE-C68E-43B1-AF6B-28851281E6AD}"/>
    <cellStyle name="Millares 4 14 2 4" xfId="6277" xr:uid="{9F447932-1681-45C9-9534-94F7D9E95888}"/>
    <cellStyle name="Millares 4 14 2 4 2" xfId="17396" xr:uid="{78F9D966-3C82-468E-8A7B-5F644EA29281}"/>
    <cellStyle name="Millares 4 14 2 4 3" xfId="14121" xr:uid="{2E551B58-2088-43AA-AA7A-8004C45839AB}"/>
    <cellStyle name="Millares 4 14 2 5" xfId="6278" xr:uid="{2C70FA4B-2717-4063-A809-1D6426906596}"/>
    <cellStyle name="Millares 4 14 2 5 2" xfId="18007" xr:uid="{BBA5FECD-8B66-466A-9D53-EECC46901F11}"/>
    <cellStyle name="Millares 4 14 2 5 3" xfId="14420" xr:uid="{7EFE91A3-8CB1-46A9-A9A5-47F17947F230}"/>
    <cellStyle name="Millares 4 14 2 6" xfId="8416" xr:uid="{C5B0281E-0608-4A0A-AF2A-8542E9E0E35C}"/>
    <cellStyle name="Millares 4 14 2 6 2" xfId="18468" xr:uid="{02EE2627-9245-4FB9-9523-830C9E144D17}"/>
    <cellStyle name="Millares 4 14 2 7" xfId="9882" xr:uid="{C9FA8130-A965-4B7F-8329-C8CE811BC844}"/>
    <cellStyle name="Millares 4 14 2 8" xfId="10423" xr:uid="{DF14E662-FDA5-486C-A5E3-47EF479E9CCA}"/>
    <cellStyle name="Millares 4 14 2 9" xfId="16051" xr:uid="{8F29D7DC-47FE-4D03-881E-9DF8B665244D}"/>
    <cellStyle name="Millares 4 14 3" xfId="4410" xr:uid="{34F56234-E2B1-4F1B-99CE-DE83DFBB2C20}"/>
    <cellStyle name="Millares 4 14 3 2" xfId="6279" xr:uid="{43EA37D4-EA20-4520-ABE6-9507F37D2D2A}"/>
    <cellStyle name="Millares 4 14 3 2 2" xfId="8845" xr:uid="{5BD0E3EB-9D55-487B-9DCA-29A8E8353650}"/>
    <cellStyle name="Millares 4 14 3 2 2 2" xfId="18897" xr:uid="{303CA753-96B5-45AA-98AB-B18596F966BB}"/>
    <cellStyle name="Millares 4 14 3 2 3" xfId="16353" xr:uid="{40E8CF64-4E19-4339-81AD-3142EA037A92}"/>
    <cellStyle name="Millares 4 14 3 2 4" xfId="15269" xr:uid="{D2FBB6BA-C1FD-4CB3-B0EB-B1E0613171F4}"/>
    <cellStyle name="Millares 4 14 3 3" xfId="6280" xr:uid="{A1981532-9D31-470A-B765-06A302A669D0}"/>
    <cellStyle name="Millares 4 14 3 3 2" xfId="9293" xr:uid="{A03787AB-9A60-44D1-897C-58E9368E9D55}"/>
    <cellStyle name="Millares 4 14 3 3 2 2" xfId="19345" xr:uid="{3470FC74-0E1C-449D-993B-80CE618D10C6}"/>
    <cellStyle name="Millares 4 14 3 3 3" xfId="16796" xr:uid="{2642D7E6-63C3-4E48-B7C1-E5B8A934A002}"/>
    <cellStyle name="Millares 4 14 3 3 4" xfId="14875" xr:uid="{2233A9F8-1331-4392-ACA1-B8251D810E2C}"/>
    <cellStyle name="Millares 4 14 3 4" xfId="6281" xr:uid="{5A386766-EF29-48AF-A4B4-1A924505C0EC}"/>
    <cellStyle name="Millares 4 14 3 4 2" xfId="17397" xr:uid="{BFFD6E15-92BA-483D-B1B6-03B9C5696C8F}"/>
    <cellStyle name="Millares 4 14 3 4 3" xfId="14785" xr:uid="{81C21AD5-9376-498B-85B7-B82AB125C6B8}"/>
    <cellStyle name="Millares 4 14 3 5" xfId="6282" xr:uid="{78FA5166-9621-4B97-9FE5-39B21FA94B55}"/>
    <cellStyle name="Millares 4 14 3 5 2" xfId="18008" xr:uid="{603D78F3-F651-481C-BA27-E1B73102DF0C}"/>
    <cellStyle name="Millares 4 14 3 5 3" xfId="14089" xr:uid="{08A764CC-AEAE-4FD7-9ADC-5F07FE070E49}"/>
    <cellStyle name="Millares 4 14 3 6" xfId="8417" xr:uid="{17383B3A-35DE-44D6-81D3-CDE6CD7E517B}"/>
    <cellStyle name="Millares 4 14 3 6 2" xfId="18469" xr:uid="{1A757F47-EE87-47EF-9929-15ADA1522E02}"/>
    <cellStyle name="Millares 4 14 3 7" xfId="9883" xr:uid="{9B786A32-B110-45A6-B5C7-10AFF09134E2}"/>
    <cellStyle name="Millares 4 14 3 8" xfId="10424" xr:uid="{3AC43349-9BAD-41A9-BB4D-286E41EF43F4}"/>
    <cellStyle name="Millares 4 14 3 9" xfId="16050" xr:uid="{D38BEC73-EE76-4E19-998B-873513351163}"/>
    <cellStyle name="Millares 4 14 4" xfId="6283" xr:uid="{E2542234-79DA-4F47-B478-5840307FACF9}"/>
    <cellStyle name="Millares 4 14 4 2" xfId="6284" xr:uid="{45C3F002-A31B-4B3D-B2BA-552C2F6E5FEB}"/>
    <cellStyle name="Millares 4 14 4 2 2" xfId="17248" xr:uid="{35DCE464-E4E6-4580-9117-96D7ACBAC74A}"/>
    <cellStyle name="Millares 4 14 4 3" xfId="6285" xr:uid="{B9196672-108C-462D-85FE-13A2A7C3C5BB}"/>
    <cellStyle name="Millares 4 14 4 3 2" xfId="17861" xr:uid="{3A3236A3-E8A9-4F5C-8C0A-33B0630C9B70}"/>
    <cellStyle name="Millares 4 14 4 4" xfId="8698" xr:uid="{BE89404C-9C85-4398-AA47-3FEFA1C8E378}"/>
    <cellStyle name="Millares 4 14 4 4 2" xfId="18750" xr:uid="{E8B307BD-8CC6-4AF6-994E-889C025E4ED2}"/>
    <cellStyle name="Millares 4 14 4 5" xfId="9737" xr:uid="{7EC05D62-FB44-457F-BDBC-9BB30B7A7D98}"/>
    <cellStyle name="Millares 4 14 4 6" xfId="10425" xr:uid="{B80D5568-81B9-4AE1-953F-FFCE6BF2ABD9}"/>
    <cellStyle name="Millares 4 14 4 7" xfId="15816" xr:uid="{D3AB43DF-7C68-4661-84E6-A30D39E2C7E3}"/>
    <cellStyle name="Millares 4 14 5" xfId="6286" xr:uid="{28ECF373-7456-48D2-ACB6-70D6DEDAA14E}"/>
    <cellStyle name="Millares 4 14 5 2" xfId="9146" xr:uid="{1A51FE1D-D17E-4328-BB50-4DD7AC5BA3CD}"/>
    <cellStyle name="Millares 4 14 5 2 2" xfId="19198" xr:uid="{7A412BE1-F652-4D43-BE23-7DB4D86EE569}"/>
    <cellStyle name="Millares 4 14 5 3" xfId="16648" xr:uid="{A6C2472B-B902-4F24-8085-21836542338F}"/>
    <cellStyle name="Millares 4 14 5 4" xfId="14999" xr:uid="{7ACE5112-9925-4CF7-B2B5-C12ED9AEDEE0}"/>
    <cellStyle name="Millares 4 14 6" xfId="6287" xr:uid="{42620C3E-7C43-4320-B116-9632AFE905A6}"/>
    <cellStyle name="Millares 4 14 6 2" xfId="17100" xr:uid="{23D13E30-8C50-4E67-9A39-53F6CBE30A54}"/>
    <cellStyle name="Millares 4 14 6 3" xfId="14814" xr:uid="{63D231CC-FC3B-4CAB-9CFA-316944C0317C}"/>
    <cellStyle name="Millares 4 14 7" xfId="6288" xr:uid="{9C0EBC70-2B75-412A-B927-0747A2C3734B}"/>
    <cellStyle name="Millares 4 14 7 2" xfId="17707" xr:uid="{1C5791E7-FA12-49F5-802A-F02AF1876FF7}"/>
    <cellStyle name="Millares 4 14 7 3" xfId="14542" xr:uid="{1BABDB2D-E96D-4178-ACA0-AD3A14223F69}"/>
    <cellStyle name="Millares 4 14 8" xfId="8270" xr:uid="{3D8E15CD-690E-4D27-B636-09FDC8F85750}"/>
    <cellStyle name="Millares 4 14 8 2" xfId="18322" xr:uid="{34CDE03B-1112-4D8D-A963-6D77C63E1F11}"/>
    <cellStyle name="Millares 4 14 9" xfId="9590" xr:uid="{59932F2C-453D-498C-9BC4-86489F130480}"/>
    <cellStyle name="Millares 4 15" xfId="2624" xr:uid="{AF4E2B32-C11C-48D4-8A09-7F2A30F83527}"/>
    <cellStyle name="Millares 4 15 2" xfId="6289" xr:uid="{280F9068-BAB5-4856-A28E-E46E90509F32}"/>
    <cellStyle name="Millares 4 15 2 2" xfId="8695" xr:uid="{E6B02077-225D-46CC-AB4D-C5743802D171}"/>
    <cellStyle name="Millares 4 15 2 2 2" xfId="18747" xr:uid="{DAE16312-3B1C-4D24-A3A4-51C1309280FD}"/>
    <cellStyle name="Millares 4 15 2 3" xfId="16331" xr:uid="{AF302BFD-84B1-4FAC-AEF8-A43790DAC2F3}"/>
    <cellStyle name="Millares 4 15 2 4" xfId="15819" xr:uid="{845418BD-D6A9-4517-AFE0-311AFF1DEA0E}"/>
    <cellStyle name="Millares 4 15 3" xfId="6290" xr:uid="{A204A504-0315-42CB-9CAC-85A5534CCBF4}"/>
    <cellStyle name="Millares 4 15 3 2" xfId="9143" xr:uid="{A08AB2BC-C35E-4294-A27A-850F73EA76B8}"/>
    <cellStyle name="Millares 4 15 3 2 2" xfId="19195" xr:uid="{113F5F01-4BE7-4BCB-B339-BE3550B2C4EB}"/>
    <cellStyle name="Millares 4 15 3 3" xfId="16645" xr:uid="{2273F9BD-8015-4D30-829A-26D88C0302AF}"/>
    <cellStyle name="Millares 4 15 3 4" xfId="15002" xr:uid="{4F1D7BF9-22AC-486C-9C46-C559ECE42A91}"/>
    <cellStyle name="Millares 4 15 4" xfId="6291" xr:uid="{33B6A921-8AE1-4826-940D-4325678442E5}"/>
    <cellStyle name="Millares 4 15 4 2" xfId="17398" xr:uid="{4DC176D6-5198-4017-895A-F6FBF941DC61}"/>
    <cellStyle name="Millares 4 15 4 3" xfId="14784" xr:uid="{DC361DCB-F21A-448E-8C5E-2504CA9255A1}"/>
    <cellStyle name="Millares 4 15 5" xfId="6292" xr:uid="{0D4B3BFC-7DB8-4A5D-BF16-F624C9019D8E}"/>
    <cellStyle name="Millares 4 15 5 2" xfId="18009" xr:uid="{3D6D6580-D0FC-4572-BFDB-D08975317F58}"/>
    <cellStyle name="Millares 4 15 5 3" xfId="14088" xr:uid="{E01D863E-EB57-4E25-9C81-7EC8C1D87AEF}"/>
    <cellStyle name="Millares 4 15 6" xfId="8267" xr:uid="{08A85BDA-C8C8-4D3A-B2DA-532E37A5FE53}"/>
    <cellStyle name="Millares 4 15 6 2" xfId="18319" xr:uid="{071ABD8E-ABD9-4E11-8155-E0F9C17A1F5E}"/>
    <cellStyle name="Millares 4 15 7" xfId="9884" xr:uid="{8D866DA0-D889-4134-B79A-9CC6AEC09C71}"/>
    <cellStyle name="Millares 4 15 8" xfId="10426" xr:uid="{EABC0837-ED94-4EDE-BF09-A4FEF06B02B1}"/>
    <cellStyle name="Millares 4 15 9" xfId="13153" xr:uid="{1F75B5A9-F326-4C54-8197-7DFDD957E29A}"/>
    <cellStyle name="Millares 4 15 9 2" xfId="15445" xr:uid="{A640B899-5278-40EA-B5E5-CBB55373EC3A}"/>
    <cellStyle name="Millares 4 15 9 3" xfId="20781" xr:uid="{778C7F63-7E67-442E-9B63-BF2A6BB621A9}"/>
    <cellStyle name="Millares 4 16" xfId="4411" xr:uid="{9D3197CD-860E-402C-A893-E165466D693D}"/>
    <cellStyle name="Millares 4 16 2" xfId="6293" xr:uid="{F4DA6A44-C228-4965-BE86-C5213F6F49C8}"/>
    <cellStyle name="Millares 4 16 2 2" xfId="8846" xr:uid="{94F3DC6F-9F52-485A-98F1-B428F32C051E}"/>
    <cellStyle name="Millares 4 16 2 2 2" xfId="18898" xr:uid="{130824F8-59D2-4411-878B-95C1E314939D}"/>
    <cellStyle name="Millares 4 16 2 3" xfId="16354" xr:uid="{AE1166EE-0EBA-4F74-B8E3-F2A4FC850FE3}"/>
    <cellStyle name="Millares 4 16 2 4" xfId="15268" xr:uid="{CEF40821-64CB-45A4-92EE-0122F2E36183}"/>
    <cellStyle name="Millares 4 16 3" xfId="6294" xr:uid="{56D57EF7-95DB-45D2-8219-173219D87AFF}"/>
    <cellStyle name="Millares 4 16 3 2" xfId="9294" xr:uid="{95496BE7-0992-4CDC-AD5D-42F0189882E0}"/>
    <cellStyle name="Millares 4 16 3 2 2" xfId="19346" xr:uid="{E40E7CB9-7E1C-4E5B-BD7A-1EFE5D084FDA}"/>
    <cellStyle name="Millares 4 16 3 3" xfId="16797" xr:uid="{1837ABF2-2ADD-47FB-AB64-38627259AB65}"/>
    <cellStyle name="Millares 4 16 3 4" xfId="14874" xr:uid="{65A81D40-EBB5-4E38-B73B-EA5E08B5F214}"/>
    <cellStyle name="Millares 4 16 4" xfId="6295" xr:uid="{F159893C-6BDF-4C13-9ED4-79ECBF65C42B}"/>
    <cellStyle name="Millares 4 16 4 2" xfId="17399" xr:uid="{D81478A7-6DC1-4914-A93A-D55DF996A8BC}"/>
    <cellStyle name="Millares 4 16 4 3" xfId="14783" xr:uid="{C0907579-6C12-4679-A8DF-02FE926CA2FB}"/>
    <cellStyle name="Millares 4 16 5" xfId="6296" xr:uid="{619D6F38-4EB8-4B71-ABC4-4E2D1EBF065C}"/>
    <cellStyle name="Millares 4 16 5 2" xfId="18010" xr:uid="{8C0CCF42-1109-4525-B3D8-2B003DCC0652}"/>
    <cellStyle name="Millares 4 16 5 3" xfId="14087" xr:uid="{D2757A3C-A462-4A72-9150-267DE965316D}"/>
    <cellStyle name="Millares 4 16 6" xfId="8418" xr:uid="{51F2C8A8-734B-4F86-B7BD-E2BDBCFA51CA}"/>
    <cellStyle name="Millares 4 16 6 2" xfId="18470" xr:uid="{D7A8E94E-6F14-4F50-8F1C-6EF8198548D9}"/>
    <cellStyle name="Millares 4 16 7" xfId="9885" xr:uid="{FF987B51-B7DC-466E-825C-17F10D45EEDD}"/>
    <cellStyle name="Millares 4 16 8" xfId="10427" xr:uid="{FCE8C27D-2C56-4B8F-95CF-CAF0B41E7159}"/>
    <cellStyle name="Millares 4 16 9" xfId="13729" xr:uid="{ED2E8EAE-22D7-430D-9D59-D56B1F9B344F}"/>
    <cellStyle name="Millares 4 16 9 2" xfId="16049" xr:uid="{3C5367F0-EE04-4970-9CF8-3F7C445CD031}"/>
    <cellStyle name="Millares 4 16 9 3" xfId="20815" xr:uid="{F1B8D3DC-A4A7-41AA-93AA-6A0D98946818}"/>
    <cellStyle name="Millares 4 17" xfId="404" xr:uid="{2EDFF838-2D70-49C7-A5E8-3BBC460F55DA}"/>
    <cellStyle name="Millares 4 17 2" xfId="6297" xr:uid="{FD1A8F66-759D-4A99-ADD0-77DDC30A94EC}"/>
    <cellStyle name="Millares 4 17 2 2" xfId="17245" xr:uid="{C17B6866-A8A9-44CB-889C-A16090DDDB33}"/>
    <cellStyle name="Millares 4 17 3" xfId="6298" xr:uid="{35AFFAAD-1BDF-49CC-A9DB-84237F9E79E7}"/>
    <cellStyle name="Millares 4 17 3 2" xfId="17858" xr:uid="{6A343C62-2D66-4461-8EBD-85A080C05635}"/>
    <cellStyle name="Millares 4 17 4" xfId="9734" xr:uid="{8165236E-4052-4E39-9EF1-4D8F165230B5}"/>
    <cellStyle name="Millares 4 17 5" xfId="10428" xr:uid="{DDCF439A-67A3-4AF6-B18C-4343E2CF278B}"/>
    <cellStyle name="Millares 4 17 6" xfId="13937" xr:uid="{5F3ABA1C-F332-4C57-A574-D189F7FB6EBA}"/>
    <cellStyle name="Millares 4 18" xfId="141" xr:uid="{6C6CB7AE-8951-4BCF-9C7A-2355BE29AC93}"/>
    <cellStyle name="Millares 4 18 2" xfId="13016" xr:uid="{647343F9-71DD-41DD-85FD-58D3461E462F}"/>
    <cellStyle name="Millares 4 18 2 2" xfId="19632" xr:uid="{BE5EE5AE-553A-43EC-9982-F483EE14B3A8}"/>
    <cellStyle name="Millares 4 18 2 3" xfId="20765" xr:uid="{027BC4CC-01BF-43C7-A6D2-2BB8B0259517}"/>
    <cellStyle name="Millares 4 19" xfId="6299" xr:uid="{7DBF7FE2-FDDF-41D9-9C74-FCB7DE4C54FA}"/>
    <cellStyle name="Millares 4 19 2" xfId="9121" xr:uid="{7B8AAAF0-00F8-4130-9368-05A47C8E82B7}"/>
    <cellStyle name="Millares 4 19 2 2" xfId="19173" xr:uid="{E45A6620-8216-4D68-B144-4531C7C39447}"/>
    <cellStyle name="Millares 4 19 3" xfId="11011" xr:uid="{F9183450-5475-4971-8DCD-A2D2C3630DEC}"/>
    <cellStyle name="Millares 4 19 3 2" xfId="16625" xr:uid="{6146562F-7426-4875-AE27-AB138C4489D4}"/>
    <cellStyle name="Millares 4 19 3 3" xfId="20496" xr:uid="{B8090924-8C58-40B5-9EB8-6BD78D2BE922}"/>
    <cellStyle name="Millares 4 19 4" xfId="15021" xr:uid="{19CC82E5-AF70-47CB-B9E1-D9BC416BD751}"/>
    <cellStyle name="Millares 4 2" xfId="480" xr:uid="{7F4C6C0F-84DE-483F-B3C6-2FD552491032}"/>
    <cellStyle name="Millares 4 2 10" xfId="14006" xr:uid="{AE5D5470-7534-4C7F-B7A0-7EFB1E796811}"/>
    <cellStyle name="Millares 4 2 2" xfId="2632" xr:uid="{8718DD6D-04EA-4914-9320-A3966BD57308}"/>
    <cellStyle name="Millares 4 2 2 10" xfId="10251" xr:uid="{2FA74660-7005-423A-8CBC-AB504E9A3FBC}"/>
    <cellStyle name="Millares 4 2 2 11" xfId="16185" xr:uid="{10B4D27E-6EF8-4593-AFC9-73D6A1567CDA}"/>
    <cellStyle name="Millares 4 2 2 2" xfId="4412" xr:uid="{F10746E3-2C09-49E6-A83C-505A5C8F6B83}"/>
    <cellStyle name="Millares 4 2 2 2 2" xfId="6300" xr:uid="{D5EEB45A-6831-4759-AC91-29F55C785926}"/>
    <cellStyle name="Millares 4 2 2 2 2 2" xfId="8847" xr:uid="{6565A2C5-72C5-48AF-8EDD-CA50494A2B67}"/>
    <cellStyle name="Millares 4 2 2 2 2 2 2" xfId="18899" xr:uid="{0F79A57F-500F-4536-BC1F-D45B8CDB1159}"/>
    <cellStyle name="Millares 4 2 2 2 2 3" xfId="16355" xr:uid="{80BE5E95-6BA4-4B1A-9B05-73EF5F5F1289}"/>
    <cellStyle name="Millares 4 2 2 2 2 4" xfId="14033" xr:uid="{C0952BA0-4177-471F-A002-B3EF0BFE1DDD}"/>
    <cellStyle name="Millares 4 2 2 2 3" xfId="6301" xr:uid="{E577D6BF-B79D-41F4-8BAE-54ED19009F25}"/>
    <cellStyle name="Millares 4 2 2 2 3 2" xfId="9295" xr:uid="{531A4901-0669-41A1-98D7-67672A0DA563}"/>
    <cellStyle name="Millares 4 2 2 2 3 2 2" xfId="19347" xr:uid="{94C4CD8C-B515-4367-AE85-C90A593C32D9}"/>
    <cellStyle name="Millares 4 2 2 2 3 3" xfId="16798" xr:uid="{51C71E22-B5A7-40EA-A26D-F8C53234D8D1}"/>
    <cellStyle name="Millares 4 2 2 2 3 4" xfId="14873" xr:uid="{7DA26D21-42ED-454E-9F06-880C450501A8}"/>
    <cellStyle name="Millares 4 2 2 2 4" xfId="6302" xr:uid="{B1F92A80-C859-4D85-9AFD-5372F8BF4714}"/>
    <cellStyle name="Millares 4 2 2 2 4 2" xfId="17400" xr:uid="{D60DEE7D-86E9-4DC4-ADE2-1BA7DE774CC7}"/>
    <cellStyle name="Millares 4 2 2 2 4 3" xfId="14782" xr:uid="{E1B0E542-59F1-4F0C-995F-C7A57765530B}"/>
    <cellStyle name="Millares 4 2 2 2 5" xfId="6303" xr:uid="{E9666E76-F6D4-41D7-B8A8-670903B19353}"/>
    <cellStyle name="Millares 4 2 2 2 5 2" xfId="18011" xr:uid="{2C86A070-7794-4CD5-B6EA-45CE8FE14E3D}"/>
    <cellStyle name="Millares 4 2 2 2 5 3" xfId="14186" xr:uid="{247E4BBA-4681-44C6-A7FD-AF66B998C8E1}"/>
    <cellStyle name="Millares 4 2 2 2 6" xfId="8419" xr:uid="{9F8EFE50-3263-4677-9E31-CC6E93E512E2}"/>
    <cellStyle name="Millares 4 2 2 2 6 2" xfId="18471" xr:uid="{4959B251-5F31-4340-AC1E-7785F1E06C01}"/>
    <cellStyle name="Millares 4 2 2 2 7" xfId="9886" xr:uid="{2FDFC472-72B4-42A1-9240-C01452B3AA99}"/>
    <cellStyle name="Millares 4 2 2 2 8" xfId="10429" xr:uid="{0B28F528-4631-4023-8DA8-D6CD467BAEFA}"/>
    <cellStyle name="Millares 4 2 2 2 9" xfId="16048" xr:uid="{A9242777-9313-4754-9059-C45287C43C31}"/>
    <cellStyle name="Millares 4 2 2 3" xfId="4413" xr:uid="{3F56BCE1-548D-4BD0-AC15-AECECEBB97E6}"/>
    <cellStyle name="Millares 4 2 2 3 2" xfId="6304" xr:uid="{0CAAE05A-0E22-4660-B15B-A8AED5294C92}"/>
    <cellStyle name="Millares 4 2 2 3 2 2" xfId="8848" xr:uid="{09C08A47-2D5C-4999-8E01-EADBB2F7752C}"/>
    <cellStyle name="Millares 4 2 2 3 2 2 2" xfId="18900" xr:uid="{F40AF548-FD25-4F6A-B01A-D5333CAF7214}"/>
    <cellStyle name="Millares 4 2 2 3 2 3" xfId="16356" xr:uid="{77F812E0-35D7-425E-BEA0-4203A8BE6F16}"/>
    <cellStyle name="Millares 4 2 2 3 2 4" xfId="15267" xr:uid="{17727312-F870-4D41-B7D5-658C27EBD598}"/>
    <cellStyle name="Millares 4 2 2 3 3" xfId="6305" xr:uid="{5BECE3B2-7826-468A-BABD-6E335809A3F1}"/>
    <cellStyle name="Millares 4 2 2 3 3 2" xfId="9296" xr:uid="{8C85387A-391B-4D5C-BD74-8C297E3C12FF}"/>
    <cellStyle name="Millares 4 2 2 3 3 2 2" xfId="19348" xr:uid="{311DB3BF-A252-4C5A-A6FF-9F9E5D33AABE}"/>
    <cellStyle name="Millares 4 2 2 3 3 3" xfId="16799" xr:uid="{EA72F2A7-8FCC-47AA-B3B2-8354AF92E852}"/>
    <cellStyle name="Millares 4 2 2 3 3 4" xfId="14872" xr:uid="{E195FA0D-9BAE-4266-9FA3-8F4E23E35A9A}"/>
    <cellStyle name="Millares 4 2 2 3 4" xfId="6306" xr:uid="{CD84AE86-7870-4CF8-B88A-2809A5AE06E5}"/>
    <cellStyle name="Millares 4 2 2 3 4 2" xfId="17401" xr:uid="{3D2D41BD-839A-4236-AD29-10DF8EEB5790}"/>
    <cellStyle name="Millares 4 2 2 3 4 3" xfId="14781" xr:uid="{8B80ECD6-F913-46A9-BB0D-B3D4D38E34BA}"/>
    <cellStyle name="Millares 4 2 2 3 5" xfId="6307" xr:uid="{8A2361CE-C7F6-4EA5-83B2-51AB1A1F7594}"/>
    <cellStyle name="Millares 4 2 2 3 5 2" xfId="18012" xr:uid="{9D5988CB-49DE-4C62-AEF7-34A5615C33AE}"/>
    <cellStyle name="Millares 4 2 2 3 5 3" xfId="14419" xr:uid="{F5906B13-F5EA-4042-B8A1-C764472270AD}"/>
    <cellStyle name="Millares 4 2 2 3 6" xfId="8420" xr:uid="{56EF0E5C-5258-427F-91EA-34F6598DD718}"/>
    <cellStyle name="Millares 4 2 2 3 6 2" xfId="18472" xr:uid="{6238FDFD-326C-4E5D-9EF7-98BB4B541AF3}"/>
    <cellStyle name="Millares 4 2 2 3 7" xfId="9887" xr:uid="{0B5451CF-A23A-4E86-8345-D43F360C0F65}"/>
    <cellStyle name="Millares 4 2 2 3 8" xfId="10430" xr:uid="{19630E1E-AA15-492D-ADC1-4CDC32CFFD3A}"/>
    <cellStyle name="Millares 4 2 2 3 9" xfId="16047" xr:uid="{043FBCD1-5B78-4577-9449-78C2FA7EB64F}"/>
    <cellStyle name="Millares 4 2 2 4" xfId="6308" xr:uid="{6D53E6B1-5478-4F5B-BFFB-28B0DD86445A}"/>
    <cellStyle name="Millares 4 2 2 4 2" xfId="6309" xr:uid="{E338F67B-993E-4D09-829C-19952B32854C}"/>
    <cellStyle name="Millares 4 2 2 4 2 2" xfId="17249" xr:uid="{F1AA4C1E-A951-4550-9DF5-7B0C1506FF3E}"/>
    <cellStyle name="Millares 4 2 2 4 3" xfId="6310" xr:uid="{AED4E2F4-4D8A-4F7D-A8B3-A3DE0BCBBB54}"/>
    <cellStyle name="Millares 4 2 2 4 3 2" xfId="17863" xr:uid="{B5FECD84-0336-4436-B8DB-46DED4B0FFC8}"/>
    <cellStyle name="Millares 4 2 2 4 4" xfId="8700" xr:uid="{4047E358-DD73-4CC5-BBB7-E1A6CFB6DC1A}"/>
    <cellStyle name="Millares 4 2 2 4 4 2" xfId="18752" xr:uid="{9B841BE5-CE9E-406E-8A4E-164CD2A73DBE}"/>
    <cellStyle name="Millares 4 2 2 4 5" xfId="9739" xr:uid="{6F27F13A-BAB2-40A0-B2F8-D5C6C560E333}"/>
    <cellStyle name="Millares 4 2 2 4 6" xfId="10431" xr:uid="{155E0E95-FAE1-468A-B23F-4A02B2845984}"/>
    <cellStyle name="Millares 4 2 2 4 7" xfId="15814" xr:uid="{107A9304-06EB-47F8-8B2F-003990043BEA}"/>
    <cellStyle name="Millares 4 2 2 5" xfId="6311" xr:uid="{6100290B-BA2E-4F18-ACA5-15FA3F6AD3FF}"/>
    <cellStyle name="Millares 4 2 2 5 2" xfId="9148" xr:uid="{95D9BB40-C6F2-410B-88E8-EDD63C7528A2}"/>
    <cellStyle name="Millares 4 2 2 5 2 2" xfId="19200" xr:uid="{F1D9477D-081C-4405-AEB5-297183F4E5A2}"/>
    <cellStyle name="Millares 4 2 2 5 3" xfId="16650" xr:uid="{F69EC4C3-D53A-4DC0-BA4A-623E170EBC04}"/>
    <cellStyle name="Millares 4 2 2 5 4" xfId="14138" xr:uid="{4B0AAB8D-67C9-4134-9D27-C5345F55C507}"/>
    <cellStyle name="Millares 4 2 2 6" xfId="6312" xr:uid="{2C7F1B85-4F30-45D0-A700-C098442FCD31}"/>
    <cellStyle name="Millares 4 2 2 6 2" xfId="17102" xr:uid="{29E07BFF-2382-473D-B209-AC686328164B}"/>
    <cellStyle name="Millares 4 2 2 6 3" xfId="15592" xr:uid="{E88BCDB1-6691-4211-9789-E5C7797C86EF}"/>
    <cellStyle name="Millares 4 2 2 7" xfId="6313" xr:uid="{592D27E9-99C1-467A-A665-521C6F1AC5AA}"/>
    <cellStyle name="Millares 4 2 2 7 2" xfId="17709" xr:uid="{ECC79526-FBD9-426A-91D9-F47AC92E5ED3}"/>
    <cellStyle name="Millares 4 2 2 7 3" xfId="14541" xr:uid="{337606DA-4836-482B-959F-3B828075915A}"/>
    <cellStyle name="Millares 4 2 2 8" xfId="8272" xr:uid="{130BC62B-5D5F-41AF-BA3D-2FA0B39893DC}"/>
    <cellStyle name="Millares 4 2 2 8 2" xfId="18324" xr:uid="{FD59ADB8-79D3-43F0-AD2B-CD3414E5D2E0}"/>
    <cellStyle name="Millares 4 2 2 9" xfId="9592" xr:uid="{8DF4C46E-61E8-42C7-9944-E0B0A353D6F1}"/>
    <cellStyle name="Millares 4 2 3" xfId="2631" xr:uid="{6A61E582-C7E1-4D4E-B421-D0893005A73F}"/>
    <cellStyle name="Millares 4 2 3 2" xfId="6314" xr:uid="{949BF01E-7E6E-4185-9C28-01EF467BDA70}"/>
    <cellStyle name="Millares 4 2 3 2 2" xfId="8699" xr:uid="{461BD0D5-B09A-4FB1-873E-D2EE972C47C0}"/>
    <cellStyle name="Millares 4 2 3 2 2 2" xfId="18751" xr:uid="{E887AD16-2FC6-4EDB-9E86-54CFB543E1E8}"/>
    <cellStyle name="Millares 4 2 3 2 3" xfId="16332" xr:uid="{37C6D9BC-0EB2-4303-A4EE-745F4F9280AC}"/>
    <cellStyle name="Millares 4 2 3 2 4" xfId="15815" xr:uid="{83BA6F66-36B7-42F4-856C-2EAEB4E9BFF6}"/>
    <cellStyle name="Millares 4 2 3 3" xfId="6315" xr:uid="{ED7EE2B2-2A31-45A5-8174-40DC0BD2694F}"/>
    <cellStyle name="Millares 4 2 3 3 2" xfId="9147" xr:uid="{309D3B5F-88CD-4AC8-8884-14EC658B85E2}"/>
    <cellStyle name="Millares 4 2 3 3 2 2" xfId="19199" xr:uid="{5E778D34-F315-4062-8C30-0F98B8DB52A6}"/>
    <cellStyle name="Millares 4 2 3 3 3" xfId="16649" xr:uid="{44E9F438-AE02-40B6-849C-D0FCA3980411}"/>
    <cellStyle name="Millares 4 2 3 3 4" xfId="14998" xr:uid="{4CA06B30-79A6-4DD6-AC81-54F1A147A7D5}"/>
    <cellStyle name="Millares 4 2 3 4" xfId="6316" xr:uid="{7C0E90D8-D446-483C-AE73-5D7C2DDA7667}"/>
    <cellStyle name="Millares 4 2 3 4 2" xfId="17402" xr:uid="{4EBE8C68-6A7F-4C89-BB84-C7668320F205}"/>
    <cellStyle name="Millares 4 2 3 4 3" xfId="14780" xr:uid="{C8FA4E15-DD48-4E69-ABCE-B17A988CD5A0}"/>
    <cellStyle name="Millares 4 2 3 5" xfId="6317" xr:uid="{7325E17C-A775-4428-8D62-4217100AD2F4}"/>
    <cellStyle name="Millares 4 2 3 5 2" xfId="18013" xr:uid="{0F057396-8216-445B-A7C3-A1412515B44B}"/>
    <cellStyle name="Millares 4 2 3 5 3" xfId="14418" xr:uid="{AE9DAFD5-7CD4-4B01-AB97-32A7CEFB20E9}"/>
    <cellStyle name="Millares 4 2 3 6" xfId="8271" xr:uid="{09AC3D6A-A6D8-4BBD-B989-81365C523C55}"/>
    <cellStyle name="Millares 4 2 3 6 2" xfId="18323" xr:uid="{46C55F4F-938D-4A35-801B-CB86359EEF41}"/>
    <cellStyle name="Millares 4 2 3 7" xfId="9888" xr:uid="{23359B86-332B-42D4-9464-D4DA78262EAE}"/>
    <cellStyle name="Millares 4 2 3 8" xfId="10432" xr:uid="{C6592B56-AF10-4CCE-A28F-1F71A3E278B4}"/>
    <cellStyle name="Millares 4 2 3 9" xfId="16186" xr:uid="{C42CB7A7-54DF-4F09-B5AA-9706AF3068FE}"/>
    <cellStyle name="Millares 4 2 4" xfId="4414" xr:uid="{1FD66248-9810-4A92-8796-EB590459BE3A}"/>
    <cellStyle name="Millares 4 2 4 2" xfId="6318" xr:uid="{8C980E6D-CE7B-4A7B-81BC-9F00085F60C4}"/>
    <cellStyle name="Millares 4 2 4 2 2" xfId="8849" xr:uid="{EAA3222E-9035-4EBF-A332-EDA8F57F11D0}"/>
    <cellStyle name="Millares 4 2 4 2 2 2" xfId="18901" xr:uid="{A8F75455-EAF8-40F4-8939-27920EB00DBD}"/>
    <cellStyle name="Millares 4 2 4 2 3" xfId="16357" xr:uid="{50B348F1-3D9C-41B1-B06E-6A796057A337}"/>
    <cellStyle name="Millares 4 2 4 2 4" xfId="15266" xr:uid="{8D3BFB40-6532-4A66-AC44-0FA96FBB40A8}"/>
    <cellStyle name="Millares 4 2 4 3" xfId="6319" xr:uid="{02FFCBF3-6E5B-42F9-8D35-8C5A35596C26}"/>
    <cellStyle name="Millares 4 2 4 3 2" xfId="9297" xr:uid="{C8FAA195-9E43-4376-A41C-5CBC62F41B19}"/>
    <cellStyle name="Millares 4 2 4 3 2 2" xfId="19349" xr:uid="{989B9398-F483-4240-BCDF-1654FB09C312}"/>
    <cellStyle name="Millares 4 2 4 3 3" xfId="16800" xr:uid="{CC1B9C58-1F09-4363-ABAF-566FD3E7A58D}"/>
    <cellStyle name="Millares 4 2 4 3 4" xfId="14871" xr:uid="{FD87A866-FE82-4BA5-8EAE-755E95D105A2}"/>
    <cellStyle name="Millares 4 2 4 4" xfId="6320" xr:uid="{909B016A-F398-49C9-88C1-03604581F96F}"/>
    <cellStyle name="Millares 4 2 4 4 2" xfId="17403" xr:uid="{EEFCDA3B-7688-404C-A888-D1DB4F69BEDF}"/>
    <cellStyle name="Millares 4 2 4 4 3" xfId="14779" xr:uid="{E0CDE9F5-6364-402E-9D6F-6B0294DDF685}"/>
    <cellStyle name="Millares 4 2 4 5" xfId="6321" xr:uid="{CF9A2EEF-A15C-4452-A97D-BBD9F1E41BC8}"/>
    <cellStyle name="Millares 4 2 4 5 2" xfId="18014" xr:uid="{C366DB68-F0D6-4678-AE51-1487D13B66CF}"/>
    <cellStyle name="Millares 4 2 4 5 3" xfId="14417" xr:uid="{02FF12CF-54CA-4185-84F2-99A217A8F553}"/>
    <cellStyle name="Millares 4 2 4 6" xfId="8421" xr:uid="{B79B9FFA-5937-4CC1-B378-6A1F09ACE84E}"/>
    <cellStyle name="Millares 4 2 4 6 2" xfId="18473" xr:uid="{86E45823-4D5A-4602-A7E9-4372E72DFFC7}"/>
    <cellStyle name="Millares 4 2 4 7" xfId="9889" xr:uid="{13D59F30-18E4-4F69-8E85-6F1DBED5F1AC}"/>
    <cellStyle name="Millares 4 2 4 8" xfId="10433" xr:uid="{48F1E9FC-1E98-4068-9E96-A07839E2AE47}"/>
    <cellStyle name="Millares 4 2 4 9" xfId="15425" xr:uid="{1B9776A9-C0D3-4E0B-BD2D-77C447E5399A}"/>
    <cellStyle name="Millares 4 2 5" xfId="6322" xr:uid="{26BF1B1A-3D79-4EDB-A140-F8969490ADF5}"/>
    <cellStyle name="Millares 4 2 5 2" xfId="6323" xr:uid="{3857550B-5432-43F1-A8F7-FEB7A783916F}"/>
    <cellStyle name="Millares 4 2 5 2 2" xfId="17862" xr:uid="{E3238220-1492-4303-B9C5-26D77968B078}"/>
    <cellStyle name="Millares 4 2 5 3" xfId="9738" xr:uid="{F5A4D3B8-C80E-46FD-BE9D-36B07A1576BA}"/>
    <cellStyle name="Millares 4 2 5 4" xfId="10434" xr:uid="{D98CFFFD-1347-40E2-AC6F-2B50ECCFECC6}"/>
    <cellStyle name="Millares 4 2 6" xfId="6324" xr:uid="{D856B391-8E03-45CB-896D-F21A433C3A3E}"/>
    <cellStyle name="Millares 4 2 6 2" xfId="17101" xr:uid="{C9D2B24C-0180-4BE7-BB39-72F555DBA04C}"/>
    <cellStyle name="Millares 4 2 7" xfId="6325" xr:uid="{BC865FA6-037D-4D4E-BA32-3E10C4D1B6D3}"/>
    <cellStyle name="Millares 4 2 7 2" xfId="17708" xr:uid="{F042E9F4-38E1-471D-A9B4-6152B80C2963}"/>
    <cellStyle name="Millares 4 2 8" xfId="9591" xr:uid="{6F87D01E-F5E4-487B-B532-5ECDDD99D8E5}"/>
    <cellStyle name="Millares 4 2 9" xfId="10250" xr:uid="{91F4AEBD-2B35-4320-A69E-F3D218CD9B62}"/>
    <cellStyle name="Millares 4 20" xfId="6326" xr:uid="{07DF10AA-DDD4-4844-BA22-77F7030027B7}"/>
    <cellStyle name="Millares 4 20 2" xfId="12279" xr:uid="{EF0CEEDA-DEBA-4235-BA96-260CF86C940E}"/>
    <cellStyle name="Millares 4 20 2 2" xfId="17097" xr:uid="{328B223D-2B2E-4BA8-A6F8-477B5AFBDC8C}"/>
    <cellStyle name="Millares 4 20 2 3" xfId="20667" xr:uid="{0DF3E38B-5F95-480B-A563-9EEAAF467D25}"/>
    <cellStyle name="Millares 4 20 3" xfId="15594" xr:uid="{C29B7957-27A7-4776-B975-B5168FB64AD7}"/>
    <cellStyle name="Millares 4 21" xfId="6327" xr:uid="{55E1092A-6FD6-482C-9CE3-789D04AA14C1}"/>
    <cellStyle name="Millares 4 21 2" xfId="13240" xr:uid="{775FB972-9A25-440F-9670-8EBECA308ED1}"/>
    <cellStyle name="Millares 4 21 2 2" xfId="17704" xr:uid="{BA940F2B-80D8-4930-AEB4-E832EF034E1B}"/>
    <cellStyle name="Millares 4 21 2 3" xfId="20786" xr:uid="{42F8DC5A-0A1F-4228-A985-01743A3FCCD7}"/>
    <cellStyle name="Millares 4 22" xfId="9587" xr:uid="{22D649C3-4DAC-4188-85DD-152012A869C9}"/>
    <cellStyle name="Millares 4 22 2" xfId="13637" xr:uid="{7681A80E-D1D6-4AD6-9243-46ABEB54AD45}"/>
    <cellStyle name="Millares 4 23" xfId="10246" xr:uid="{C81BBF75-E6A8-4CC4-B252-5EBA8A11B1BA}"/>
    <cellStyle name="Millares 4 23 2" xfId="13938" xr:uid="{D030D71D-54E8-448F-A846-96D5D94B2CAC}"/>
    <cellStyle name="Millares 4 24" xfId="11029" xr:uid="{236D4C7A-2279-4B4B-9322-1843B22E5BEC}"/>
    <cellStyle name="Millares 4 25" xfId="13412" xr:uid="{3C047B6E-63DF-47A5-8D60-F091D3070636}"/>
    <cellStyle name="Millares 4 26" xfId="11639" xr:uid="{63CA59AE-5217-423E-8EE3-C560B53D8AD9}"/>
    <cellStyle name="Millares 4 3" xfId="2633" xr:uid="{304D82BD-BA56-4B24-9843-ED8F04BF67F5}"/>
    <cellStyle name="Millares 4 3 10" xfId="9593" xr:uid="{31B269E2-354E-4C87-A443-D4D5B30D8CFC}"/>
    <cellStyle name="Millares 4 3 11" xfId="10252" xr:uid="{BA957895-F910-42A1-8501-389D547F7731}"/>
    <cellStyle name="Millares 4 3 12" xfId="13017" xr:uid="{B512EE75-7FFF-4F44-AB04-8591D8AB5D23}"/>
    <cellStyle name="Millares 4 3 12 2" xfId="16184" xr:uid="{341997F3-3A7B-4424-BFF6-BFAAE52ABDB8}"/>
    <cellStyle name="Millares 4 3 12 3" xfId="20766" xr:uid="{AE9B06A0-DD3F-4D5A-A5F6-4D9797BE05CC}"/>
    <cellStyle name="Millares 4 3 2" xfId="2634" xr:uid="{B9DBBA78-B443-41EC-B5E6-817E161FCCC4}"/>
    <cellStyle name="Millares 4 3 2 10" xfId="10253" xr:uid="{AB15D727-8410-4E44-95CA-BAF5B4735088}"/>
    <cellStyle name="Millares 4 3 2 11" xfId="15444" xr:uid="{4FC4A257-2EF8-4618-9EBA-D8EBCA115C7B}"/>
    <cellStyle name="Millares 4 3 2 2" xfId="4415" xr:uid="{4DCDAB80-BA0E-4CD5-A3AF-28B404C99E79}"/>
    <cellStyle name="Millares 4 3 2 2 2" xfId="6328" xr:uid="{0E349DE9-ED9F-4DA9-8E8D-75150D6B32B2}"/>
    <cellStyle name="Millares 4 3 2 2 2 2" xfId="8850" xr:uid="{93E031CA-A8E7-41E9-B8DC-51DC3093B7E8}"/>
    <cellStyle name="Millares 4 3 2 2 2 2 2" xfId="18902" xr:uid="{287E4C56-B4AB-40F2-B686-63FAE494C1CE}"/>
    <cellStyle name="Millares 4 3 2 2 2 3" xfId="16358" xr:uid="{275E154B-E144-484D-B081-C1C0436A5CB9}"/>
    <cellStyle name="Millares 4 3 2 2 2 4" xfId="15265" xr:uid="{5B0A7A58-98EC-4304-8BFC-E96444EC2777}"/>
    <cellStyle name="Millares 4 3 2 2 3" xfId="6329" xr:uid="{D7488988-376F-40BA-AB9B-AF9C88BDD256}"/>
    <cellStyle name="Millares 4 3 2 2 3 2" xfId="9298" xr:uid="{7BC82D21-C895-4B64-8CCD-794F0B5D71B3}"/>
    <cellStyle name="Millares 4 3 2 2 3 2 2" xfId="19350" xr:uid="{14EC55EB-C73A-429E-A593-69BE5432AE47}"/>
    <cellStyle name="Millares 4 3 2 2 3 3" xfId="16801" xr:uid="{F4CF2958-62E0-4C56-9549-2AD00C88C8E6}"/>
    <cellStyle name="Millares 4 3 2 2 3 4" xfId="14870" xr:uid="{D61F523E-CF31-4B25-AB37-0E0DD04816AF}"/>
    <cellStyle name="Millares 4 3 2 2 4" xfId="6330" xr:uid="{1C28F00A-3C61-40B0-AA62-86076521B5C4}"/>
    <cellStyle name="Millares 4 3 2 2 4 2" xfId="17404" xr:uid="{E326451B-A514-41C7-9409-BC743F037DFB}"/>
    <cellStyle name="Millares 4 3 2 2 4 3" xfId="14778" xr:uid="{632787BC-06CF-498A-B4EC-6F1DB3FCFA40}"/>
    <cellStyle name="Millares 4 3 2 2 5" xfId="6331" xr:uid="{D92EEBB4-35A4-43A8-871F-01430DBE8C8F}"/>
    <cellStyle name="Millares 4 3 2 2 5 2" xfId="18015" xr:uid="{3A6A75C4-9D17-49D5-A008-A1993D496CC1}"/>
    <cellStyle name="Millares 4 3 2 2 5 3" xfId="14416" xr:uid="{B98AC781-98D9-4DAA-802F-3A57CED7250C}"/>
    <cellStyle name="Millares 4 3 2 2 6" xfId="8422" xr:uid="{D62CF071-D931-454E-9E0D-3FA9E8D455B5}"/>
    <cellStyle name="Millares 4 3 2 2 6 2" xfId="18474" xr:uid="{FADFC2F5-991C-4D96-B20D-971BB458AC9C}"/>
    <cellStyle name="Millares 4 3 2 2 7" xfId="9890" xr:uid="{E17DA985-03F3-4476-8B99-6F07462DE71F}"/>
    <cellStyle name="Millares 4 3 2 2 8" xfId="10435" xr:uid="{6145201F-6823-4D8A-9425-0F78E81D76D3}"/>
    <cellStyle name="Millares 4 3 2 2 9" xfId="16046" xr:uid="{F938FFE1-BE37-4FB5-8938-CF73E3470D00}"/>
    <cellStyle name="Millares 4 3 2 3" xfId="4416" xr:uid="{1A12E4D2-0A9E-441D-84E6-2243201F6337}"/>
    <cellStyle name="Millares 4 3 2 3 2" xfId="6332" xr:uid="{EA720B66-A5FD-4B99-9CDA-4321797933F0}"/>
    <cellStyle name="Millares 4 3 2 3 2 2" xfId="8851" xr:uid="{05B1A458-FCF1-4AEC-A07B-B2602E8152F6}"/>
    <cellStyle name="Millares 4 3 2 3 2 2 2" xfId="18903" xr:uid="{55970485-CFD3-4FC8-A68B-1E31C5ACB668}"/>
    <cellStyle name="Millares 4 3 2 3 2 3" xfId="16359" xr:uid="{7635B009-E073-452F-BD6E-F833908E84A2}"/>
    <cellStyle name="Millares 4 3 2 3 2 4" xfId="15264" xr:uid="{18A020C4-597A-48A6-9DDD-5292449CB3DF}"/>
    <cellStyle name="Millares 4 3 2 3 3" xfId="6333" xr:uid="{FAD95D50-B2A1-495D-88D1-F12D8E99D5A0}"/>
    <cellStyle name="Millares 4 3 2 3 3 2" xfId="9299" xr:uid="{BF784FC6-D842-4B12-B5D3-633E7F251B34}"/>
    <cellStyle name="Millares 4 3 2 3 3 2 2" xfId="19351" xr:uid="{AC37BDE5-B659-4C2E-AD8A-247A926D92E6}"/>
    <cellStyle name="Millares 4 3 2 3 3 3" xfId="16802" xr:uid="{4C68159D-6F65-44CC-B099-F998B226C742}"/>
    <cellStyle name="Millares 4 3 2 3 3 4" xfId="14128" xr:uid="{E665FFFA-C088-49C4-B0B3-4D7CC3611E05}"/>
    <cellStyle name="Millares 4 3 2 3 4" xfId="6334" xr:uid="{63801C92-FC7C-4978-8095-9EB644BDAE9C}"/>
    <cellStyle name="Millares 4 3 2 3 4 2" xfId="17405" xr:uid="{837B0881-CD7F-453D-9342-F2DE38E273F7}"/>
    <cellStyle name="Millares 4 3 2 3 4 3" xfId="14777" xr:uid="{5EAFA042-51EF-4AEA-8EF9-12E4A4A82550}"/>
    <cellStyle name="Millares 4 3 2 3 5" xfId="6335" xr:uid="{F325E367-127C-45AD-8F7A-A0697686A62B}"/>
    <cellStyle name="Millares 4 3 2 3 5 2" xfId="18016" xr:uid="{C864B0CA-CD27-4369-BEF3-24695F0E80DA}"/>
    <cellStyle name="Millares 4 3 2 3 5 3" xfId="14415" xr:uid="{B325E8E9-51B7-49D1-A2A6-62C4669FD2D1}"/>
    <cellStyle name="Millares 4 3 2 3 6" xfId="8423" xr:uid="{66B01C12-07BD-4479-B33A-E0D63694565E}"/>
    <cellStyle name="Millares 4 3 2 3 6 2" xfId="18475" xr:uid="{B1141FE9-DCDF-4B0C-874C-5C0030915F12}"/>
    <cellStyle name="Millares 4 3 2 3 7" xfId="9891" xr:uid="{E17F213C-6A50-495E-BD67-6E6EDEF2128F}"/>
    <cellStyle name="Millares 4 3 2 3 8" xfId="10436" xr:uid="{48E356D6-D2A5-429B-B421-F5071C0ED937}"/>
    <cellStyle name="Millares 4 3 2 3 9" xfId="15481" xr:uid="{A875D343-A842-4C2A-B53E-9206A92BD55B}"/>
    <cellStyle name="Millares 4 3 2 4" xfId="6336" xr:uid="{96720EDD-9DE9-480D-ABBA-8F15B113F4A1}"/>
    <cellStyle name="Millares 4 3 2 4 2" xfId="6337" xr:uid="{DF363C8A-AB76-461F-9AD6-79ECF3B1B008}"/>
    <cellStyle name="Millares 4 3 2 4 2 2" xfId="17251" xr:uid="{2C91AE5E-48CA-4979-AE26-BF1A2FD103AE}"/>
    <cellStyle name="Millares 4 3 2 4 3" xfId="6338" xr:uid="{9E79FE63-5254-4B91-85EA-1E8F58597EF1}"/>
    <cellStyle name="Millares 4 3 2 4 3 2" xfId="17865" xr:uid="{F84E073E-729E-4E5F-BBA9-F04B64A2F7A5}"/>
    <cellStyle name="Millares 4 3 2 4 4" xfId="8702" xr:uid="{DBB384F7-54C3-4C83-BD6D-38610A3913E6}"/>
    <cellStyle name="Millares 4 3 2 4 4 2" xfId="18754" xr:uid="{55131D5B-0537-4B4F-9C8E-29EC46359737}"/>
    <cellStyle name="Millares 4 3 2 4 5" xfId="9741" xr:uid="{459BA928-2164-4CD2-A7CC-973802D72D37}"/>
    <cellStyle name="Millares 4 3 2 4 6" xfId="10437" xr:uid="{567268A0-8619-4CFE-9CCA-D214C0C8E71B}"/>
    <cellStyle name="Millares 4 3 2 4 7" xfId="15813" xr:uid="{1B123251-9B2C-4786-95BE-84F97C5BA71E}"/>
    <cellStyle name="Millares 4 3 2 5" xfId="6339" xr:uid="{317EBCFC-CFAB-45CE-9E90-75EB82DE2CD3}"/>
    <cellStyle name="Millares 4 3 2 5 2" xfId="9150" xr:uid="{D97A1C64-34F1-430D-9566-211FF14CD8AD}"/>
    <cellStyle name="Millares 4 3 2 5 2 2" xfId="19202" xr:uid="{39836124-E9B7-41BF-BA4B-AB50E466FAE1}"/>
    <cellStyle name="Millares 4 3 2 5 3" xfId="16652" xr:uid="{52DE4209-C72B-41FC-9D33-91E5137A161B}"/>
    <cellStyle name="Millares 4 3 2 5 4" xfId="14996" xr:uid="{AA3B4F51-A937-43FC-85B6-C052016841A7}"/>
    <cellStyle name="Millares 4 3 2 6" xfId="6340" xr:uid="{63A59D64-515E-4E65-A76A-27ED05945819}"/>
    <cellStyle name="Millares 4 3 2 6 2" xfId="17104" xr:uid="{087A92EC-BCBA-4AB1-AC35-FAAF03062863}"/>
    <cellStyle name="Millares 4 3 2 6 3" xfId="15590" xr:uid="{A470E786-94B7-4BB7-AC44-7A3FE18BBEC4}"/>
    <cellStyle name="Millares 4 3 2 7" xfId="6341" xr:uid="{AE07E738-D6A7-456A-8135-2E459ABC3236}"/>
    <cellStyle name="Millares 4 3 2 7 2" xfId="17711" xr:uid="{C35766B7-B956-4D87-B602-5A9618A5FEF1}"/>
    <cellStyle name="Millares 4 3 2 7 3" xfId="14183" xr:uid="{2B53DFF3-7347-4E04-A3A5-81A08C4553F2}"/>
    <cellStyle name="Millares 4 3 2 8" xfId="8274" xr:uid="{AE273680-A611-440F-B241-F4D56C17466C}"/>
    <cellStyle name="Millares 4 3 2 8 2" xfId="18326" xr:uid="{A207B19C-E5FF-4CB0-AE1B-5FF3827C5A8F}"/>
    <cellStyle name="Millares 4 3 2 9" xfId="9594" xr:uid="{C641FDF7-BAA9-4EAF-9334-5F6FB53FB4DC}"/>
    <cellStyle name="Millares 4 3 3" xfId="4417" xr:uid="{F3FDFD63-B163-4D70-96E1-002FA3D158D3}"/>
    <cellStyle name="Millares 4 3 3 2" xfId="6342" xr:uid="{0F65757A-BDCF-48DB-A9DD-9BC7AD57F03B}"/>
    <cellStyle name="Millares 4 3 3 2 2" xfId="8852" xr:uid="{29CB24E8-2392-4D3A-B278-B5B79BB76C80}"/>
    <cellStyle name="Millares 4 3 3 2 2 2" xfId="18904" xr:uid="{FD1308B0-5933-427F-A291-AA6B1E883365}"/>
    <cellStyle name="Millares 4 3 3 2 3" xfId="16360" xr:uid="{2D8AC8A6-C047-4BD9-B485-751CE40A76CC}"/>
    <cellStyle name="Millares 4 3 3 2 4" xfId="15263" xr:uid="{3570A3A2-E401-4D80-87D7-6D77558C7B4F}"/>
    <cellStyle name="Millares 4 3 3 3" xfId="6343" xr:uid="{4B0F5A75-85BF-4A98-AF2F-11A055D99322}"/>
    <cellStyle name="Millares 4 3 3 3 2" xfId="9300" xr:uid="{8A74B458-1A20-43E7-BA12-8ACDEFC17CFF}"/>
    <cellStyle name="Millares 4 3 3 3 2 2" xfId="19352" xr:uid="{8EB422D3-7731-4FF2-82CC-2428E5A1176E}"/>
    <cellStyle name="Millares 4 3 3 3 3" xfId="16803" xr:uid="{A4E54F3E-DB98-400F-9CFA-D2E4098BF9C1}"/>
    <cellStyle name="Millares 4 3 3 3 4" xfId="14869" xr:uid="{E20DAC59-62E5-4378-9088-F26D24F89F74}"/>
    <cellStyle name="Millares 4 3 3 4" xfId="6344" xr:uid="{A00F96B2-E103-45A5-B5A2-6B90E45DD834}"/>
    <cellStyle name="Millares 4 3 3 4 2" xfId="17406" xr:uid="{3FB11128-AAA0-4466-B62F-D259BE1B6D1D}"/>
    <cellStyle name="Millares 4 3 3 4 3" xfId="14776" xr:uid="{C11CEE4F-0CA3-41F4-A5DB-5C9F56D31778}"/>
    <cellStyle name="Millares 4 3 3 5" xfId="6345" xr:uid="{1ADB4D55-5D33-4BFD-9D34-5961048D8264}"/>
    <cellStyle name="Millares 4 3 3 5 2" xfId="18017" xr:uid="{4E812889-DC6C-4464-9C64-FF59B914517B}"/>
    <cellStyle name="Millares 4 3 3 5 3" xfId="14414" xr:uid="{4FCB7BD9-97A8-4359-B4DF-30F63AA0ADC2}"/>
    <cellStyle name="Millares 4 3 3 6" xfId="8424" xr:uid="{38920F96-88FA-4455-A7F9-6236760A1578}"/>
    <cellStyle name="Millares 4 3 3 6 2" xfId="18476" xr:uid="{499A9DE2-CB77-4DEF-A0AC-F1D4596F1F68}"/>
    <cellStyle name="Millares 4 3 3 7" xfId="9892" xr:uid="{FAEAA1B1-7B8C-4737-A0D4-A7DE69780FEE}"/>
    <cellStyle name="Millares 4 3 3 8" xfId="10438" xr:uid="{7637E295-8F8B-40AB-8FA3-2EC06A0E80FF}"/>
    <cellStyle name="Millares 4 3 3 9" xfId="16045" xr:uid="{D1320BC0-EDB7-4220-8D19-5F80BA14FD03}"/>
    <cellStyle name="Millares 4 3 4" xfId="4418" xr:uid="{081A9ED1-8B97-4E34-A3E1-8EB1F95732C6}"/>
    <cellStyle name="Millares 4 3 4 2" xfId="6346" xr:uid="{DAA69588-5CFC-41C7-BD1C-4897711F5E83}"/>
    <cellStyle name="Millares 4 3 4 2 2" xfId="8853" xr:uid="{FBB4321D-FF9A-4C86-A907-FC595557B6C3}"/>
    <cellStyle name="Millares 4 3 4 2 2 2" xfId="18905" xr:uid="{F9A36E63-BF75-4A63-B77A-03722AA94F8C}"/>
    <cellStyle name="Millares 4 3 4 2 3" xfId="16361" xr:uid="{B6BD658D-F267-4098-9F28-A23EDA81FD16}"/>
    <cellStyle name="Millares 4 3 4 2 4" xfId="15262" xr:uid="{F495CF16-32C5-4790-A698-071AD4D3EF41}"/>
    <cellStyle name="Millares 4 3 4 3" xfId="6347" xr:uid="{CA9D2F32-AF7C-4450-ABB5-7C09EE32D880}"/>
    <cellStyle name="Millares 4 3 4 3 2" xfId="9301" xr:uid="{718CC55E-0C85-4D7F-AB6A-B788418DFD6B}"/>
    <cellStyle name="Millares 4 3 4 3 2 2" xfId="19353" xr:uid="{145A4137-B6D9-4583-B252-35C905FAC959}"/>
    <cellStyle name="Millares 4 3 4 3 3" xfId="16804" xr:uid="{17E7E8CE-C90B-40FC-A9CB-100AADACFD27}"/>
    <cellStyle name="Millares 4 3 4 3 4" xfId="14868" xr:uid="{EE18F7CA-E3BC-4D3B-B8E1-F4EE8AA53C04}"/>
    <cellStyle name="Millares 4 3 4 4" xfId="6348" xr:uid="{B16EA4B8-3BCB-4821-ADAB-C18441DB9371}"/>
    <cellStyle name="Millares 4 3 4 4 2" xfId="17407" xr:uid="{1BF27BA0-EA34-44D1-B91E-D1B95E5269F8}"/>
    <cellStyle name="Millares 4 3 4 4 3" xfId="14120" xr:uid="{56C1D8D9-E93C-4121-856F-5D059B51CD1C}"/>
    <cellStyle name="Millares 4 3 4 5" xfId="6349" xr:uid="{43A6CBE4-A188-4B5F-9552-A38C9263BC76}"/>
    <cellStyle name="Millares 4 3 4 5 2" xfId="18018" xr:uid="{6753008A-3220-44E7-AE66-CA17BC50E05D}"/>
    <cellStyle name="Millares 4 3 4 5 3" xfId="14413" xr:uid="{4768B93E-482D-4229-8248-37AC8B838AA9}"/>
    <cellStyle name="Millares 4 3 4 6" xfId="8425" xr:uid="{6ED4D17C-BD47-470C-BEC8-85679A9E50DE}"/>
    <cellStyle name="Millares 4 3 4 6 2" xfId="18477" xr:uid="{80328DAF-FBC7-485C-8AA4-B09F8B84D679}"/>
    <cellStyle name="Millares 4 3 4 7" xfId="9893" xr:uid="{704C77AE-C5DC-4CC3-9709-2B6AAF124CC3}"/>
    <cellStyle name="Millares 4 3 4 8" xfId="10439" xr:uid="{29D5F24D-5A5D-4B59-9C09-25CC08F7C3DB}"/>
    <cellStyle name="Millares 4 3 4 9" xfId="16044" xr:uid="{423C154E-6912-4978-99F2-9591815B7F6F}"/>
    <cellStyle name="Millares 4 3 5" xfId="6350" xr:uid="{6B0929AA-B650-41DE-9BAE-B7ECEE89398D}"/>
    <cellStyle name="Millares 4 3 5 2" xfId="6351" xr:uid="{32515AA4-CFAF-40A3-84EB-17B043AAC4D8}"/>
    <cellStyle name="Millares 4 3 5 2 2" xfId="17250" xr:uid="{BA9AF357-1B5E-4087-90B3-AA8A9E189FDE}"/>
    <cellStyle name="Millares 4 3 5 3" xfId="6352" xr:uid="{31E2A7C7-3D63-4F12-BAD0-F4D1B2C1B77D}"/>
    <cellStyle name="Millares 4 3 5 3 2" xfId="17864" xr:uid="{DC153431-95BF-4D2B-B665-9EA1A7EC65A3}"/>
    <cellStyle name="Millares 4 3 5 4" xfId="8701" xr:uid="{09C9A86C-EAB7-4FAC-B8B2-CF65E6498D03}"/>
    <cellStyle name="Millares 4 3 5 4 2" xfId="18753" xr:uid="{70D77A22-7F69-4227-8644-38070704AA9C}"/>
    <cellStyle name="Millares 4 3 5 5" xfId="9740" xr:uid="{A0ABFE96-1498-4BB6-86B8-3767D3888AA1}"/>
    <cellStyle name="Millares 4 3 5 6" xfId="10440" xr:uid="{38CE76D4-3068-4959-8905-53EB1F74FE8F}"/>
    <cellStyle name="Millares 4 3 5 7" xfId="15388" xr:uid="{E0C2E25B-ECFA-4ADB-962D-17B92D9171D9}"/>
    <cellStyle name="Millares 4 3 6" xfId="6353" xr:uid="{8B963654-0D6B-474A-A56B-CEAB2BA6C4D1}"/>
    <cellStyle name="Millares 4 3 6 2" xfId="9149" xr:uid="{BF744DCE-13EE-46AF-9571-8872608022A3}"/>
    <cellStyle name="Millares 4 3 6 2 2" xfId="19201" xr:uid="{59D7E3F3-3272-47E2-A18B-4A1B276E7A21}"/>
    <cellStyle name="Millares 4 3 6 3" xfId="16651" xr:uid="{E06CBB56-604E-426B-A18E-A520DE5F94EC}"/>
    <cellStyle name="Millares 4 3 6 4" xfId="14997" xr:uid="{27D75394-C391-4F65-AD89-5E49A00A3D01}"/>
    <cellStyle name="Millares 4 3 7" xfId="6354" xr:uid="{A0FEE60E-D8B2-4914-90C3-0016CE1C49ED}"/>
    <cellStyle name="Millares 4 3 7 2" xfId="17103" xr:uid="{4929C46D-EE70-4BFD-973C-5E2B736BCEB6}"/>
    <cellStyle name="Millares 4 3 7 3" xfId="15591" xr:uid="{DAAB183E-3927-4D25-9C02-CD2F2C624066}"/>
    <cellStyle name="Millares 4 3 8" xfId="6355" xr:uid="{E7EE7556-1024-40E6-B1EB-9D8D939EC3A7}"/>
    <cellStyle name="Millares 4 3 8 2" xfId="17710" xr:uid="{76AC9FAF-F616-4604-9AD4-5B9D923E300C}"/>
    <cellStyle name="Millares 4 3 8 3" xfId="14103" xr:uid="{857C6EF6-3C00-4D24-95BE-270D6B09B8DF}"/>
    <cellStyle name="Millares 4 3 9" xfId="8273" xr:uid="{7AC162F2-6160-493B-B85B-E121DF8F5C56}"/>
    <cellStyle name="Millares 4 3 9 2" xfId="18325" xr:uid="{2068BCE9-E696-4BC1-9D34-D32CE3DA7EDA}"/>
    <cellStyle name="Millares 4 4" xfId="2635" xr:uid="{27080896-EB37-4700-BBBD-8D64BD7DBAB6}"/>
    <cellStyle name="Millares 4 4 10" xfId="9595" xr:uid="{0BF9E1B0-A0E9-46B0-8A44-982AB18BD3B7}"/>
    <cellStyle name="Millares 4 4 11" xfId="10254" xr:uid="{7D498C01-E2BC-4728-ACE6-45931D09351E}"/>
    <cellStyle name="Millares 4 4 12" xfId="13018" xr:uid="{910A3B06-ECFA-45E9-99BA-64AFEC127F2A}"/>
    <cellStyle name="Millares 4 4 12 2" xfId="16183" xr:uid="{4B5882E6-1140-4E5B-829D-35308C0ADC4D}"/>
    <cellStyle name="Millares 4 4 12 3" xfId="20767" xr:uid="{4A6780ED-171D-4DC7-BEB4-FD5C8B2B8A50}"/>
    <cellStyle name="Millares 4 4 2" xfId="2636" xr:uid="{D413141A-DB3A-4A58-A56A-B67304E6593A}"/>
    <cellStyle name="Millares 4 4 2 10" xfId="10255" xr:uid="{4B415A35-CA99-4879-83B3-8658E08A4434}"/>
    <cellStyle name="Millares 4 4 2 11" xfId="16182" xr:uid="{9FB97612-A546-4770-A4F7-63ED3F5B34E4}"/>
    <cellStyle name="Millares 4 4 2 2" xfId="4419" xr:uid="{96EDA85E-5F61-48B2-8496-5DB5DB33286A}"/>
    <cellStyle name="Millares 4 4 2 2 2" xfId="6356" xr:uid="{4FA22024-D59D-4B48-810C-ABCF07702C60}"/>
    <cellStyle name="Millares 4 4 2 2 2 2" xfId="8854" xr:uid="{0ACABA11-FD20-4750-B410-7A80E480A142}"/>
    <cellStyle name="Millares 4 4 2 2 2 2 2" xfId="18906" xr:uid="{A50C05A3-40B0-4AE5-96A2-C88E84AEEBB7}"/>
    <cellStyle name="Millares 4 4 2 2 2 3" xfId="16362" xr:uid="{37CEA5EA-9182-416F-B55A-066AAB676224}"/>
    <cellStyle name="Millares 4 4 2 2 2 4" xfId="15261" xr:uid="{19FACD8A-7DBF-46A7-9279-78760B645B71}"/>
    <cellStyle name="Millares 4 4 2 2 3" xfId="6357" xr:uid="{3DA4AC9E-1710-4AE4-8AEE-6E10A3B464CF}"/>
    <cellStyle name="Millares 4 4 2 2 3 2" xfId="9302" xr:uid="{971E420A-A243-4792-B6EF-B8707C77E56A}"/>
    <cellStyle name="Millares 4 4 2 2 3 2 2" xfId="19354" xr:uid="{6516EEAD-4C73-43C1-A37A-41C80563356E}"/>
    <cellStyle name="Millares 4 4 2 2 3 3" xfId="16805" xr:uid="{51E1AF8A-8D69-470E-8412-0B18214D3D81}"/>
    <cellStyle name="Millares 4 4 2 2 3 4" xfId="14867" xr:uid="{AD662560-E2D2-419A-BA18-9F2EF2452AD5}"/>
    <cellStyle name="Millares 4 4 2 2 4" xfId="6358" xr:uid="{5DD9929E-11E8-450F-99E4-D0F07FFF3F92}"/>
    <cellStyle name="Millares 4 4 2 2 4 2" xfId="17408" xr:uid="{1B42F5D5-AB4A-48FB-88C1-EF615C4DD26E}"/>
    <cellStyle name="Millares 4 4 2 2 4 3" xfId="14775" xr:uid="{54D24AC7-2C1F-4CDC-B80C-ED4DCAB26734}"/>
    <cellStyle name="Millares 4 4 2 2 5" xfId="6359" xr:uid="{22DDE5D3-5D5D-4EC1-BEA6-3F908C3E9746}"/>
    <cellStyle name="Millares 4 4 2 2 5 2" xfId="18019" xr:uid="{A148DF74-09EB-4270-A7F6-B823BA1C0FB7}"/>
    <cellStyle name="Millares 4 4 2 2 5 3" xfId="14412" xr:uid="{E4E7B583-3C22-45F6-B861-4FFBC0A4ECB1}"/>
    <cellStyle name="Millares 4 4 2 2 6" xfId="8426" xr:uid="{CBC15660-F0D9-4AD2-BB92-15884172BD2B}"/>
    <cellStyle name="Millares 4 4 2 2 6 2" xfId="18478" xr:uid="{597A74E7-31CC-4D5F-9E65-0AC8B08C881E}"/>
    <cellStyle name="Millares 4 4 2 2 7" xfId="9894" xr:uid="{097F5140-20DD-4DF6-8238-B1D1CE6E4B99}"/>
    <cellStyle name="Millares 4 4 2 2 8" xfId="10441" xr:uid="{F5EDBB94-C176-421B-8076-B761DA468AC2}"/>
    <cellStyle name="Millares 4 4 2 2 9" xfId="16043" xr:uid="{D6236370-9FDA-4C17-91EC-25B9321783B4}"/>
    <cellStyle name="Millares 4 4 2 3" xfId="4420" xr:uid="{CE042277-9097-4EF3-8C7B-5AF0DF2291ED}"/>
    <cellStyle name="Millares 4 4 2 3 2" xfId="6360" xr:uid="{7DB4D8DF-7D5A-4F5C-9FD8-05D2BA842718}"/>
    <cellStyle name="Millares 4 4 2 3 2 2" xfId="8855" xr:uid="{07B5E021-EBA9-4B68-A914-D3902457C511}"/>
    <cellStyle name="Millares 4 4 2 3 2 2 2" xfId="18907" xr:uid="{EA077380-68B8-4979-9F2F-60715869A3D7}"/>
    <cellStyle name="Millares 4 4 2 3 2 3" xfId="16363" xr:uid="{36FD5E1C-1939-43AC-9695-A5F06AA01980}"/>
    <cellStyle name="Millares 4 4 2 3 2 4" xfId="15260" xr:uid="{38A7A6CC-162E-4B79-B79B-E67362402BEC}"/>
    <cellStyle name="Millares 4 4 2 3 3" xfId="6361" xr:uid="{58F218A3-0689-4085-A44C-2FE84BA503F0}"/>
    <cellStyle name="Millares 4 4 2 3 3 2" xfId="9303" xr:uid="{63937D01-EC54-4C09-A15C-29E2B4B50FD3}"/>
    <cellStyle name="Millares 4 4 2 3 3 2 2" xfId="19355" xr:uid="{D9F46FE5-77EA-42B0-88CB-50EBC2B57358}"/>
    <cellStyle name="Millares 4 4 2 3 3 3" xfId="16806" xr:uid="{A2BCF383-605E-48D4-8E99-618EA432A9D9}"/>
    <cellStyle name="Millares 4 4 2 3 3 4" xfId="14866" xr:uid="{97BBC45D-08A9-4A84-B84E-6F9949C7A497}"/>
    <cellStyle name="Millares 4 4 2 3 4" xfId="6362" xr:uid="{6754738B-F707-4A70-B7C3-5475C5E62D1B}"/>
    <cellStyle name="Millares 4 4 2 3 4 2" xfId="17409" xr:uid="{4E526586-A9C1-462F-BDA3-279F8DBD48B0}"/>
    <cellStyle name="Millares 4 4 2 3 4 3" xfId="14774" xr:uid="{C53814C1-38A3-40ED-942D-68CFF45A79CF}"/>
    <cellStyle name="Millares 4 4 2 3 5" xfId="6363" xr:uid="{A2B65418-F89C-4BAD-B4C5-60396FF69B81}"/>
    <cellStyle name="Millares 4 4 2 3 5 2" xfId="18020" xr:uid="{D0A85B47-0620-4BC8-B819-A2329994228E}"/>
    <cellStyle name="Millares 4 4 2 3 5 3" xfId="14086" xr:uid="{413B06E7-0748-440E-BE85-B9B8E06130ED}"/>
    <cellStyle name="Millares 4 4 2 3 6" xfId="8427" xr:uid="{14EDAC2D-776E-4647-B51E-AB67091A7252}"/>
    <cellStyle name="Millares 4 4 2 3 6 2" xfId="18479" xr:uid="{99894C50-A062-4B25-99D7-82FB6948BDF8}"/>
    <cellStyle name="Millares 4 4 2 3 7" xfId="9895" xr:uid="{DBD3DE17-33D7-47C7-B0AF-71F4BB706C6B}"/>
    <cellStyle name="Millares 4 4 2 3 8" xfId="10442" xr:uid="{C340DE6B-B7DC-4190-9EBC-456792B04747}"/>
    <cellStyle name="Millares 4 4 2 3 9" xfId="16042" xr:uid="{BE4205DB-0902-406D-9E63-36F705570957}"/>
    <cellStyle name="Millares 4 4 2 4" xfId="6364" xr:uid="{07D6798B-71BD-45C6-A7AD-F04C15170FF3}"/>
    <cellStyle name="Millares 4 4 2 4 2" xfId="6365" xr:uid="{C41EB2BA-A8B9-4060-954D-59B40B70829D}"/>
    <cellStyle name="Millares 4 4 2 4 2 2" xfId="17253" xr:uid="{D2685C02-65B4-4DED-95D0-44DAF00FFC39}"/>
    <cellStyle name="Millares 4 4 2 4 3" xfId="6366" xr:uid="{3A8B5B23-5DDF-48EE-A248-E103337E5056}"/>
    <cellStyle name="Millares 4 4 2 4 3 2" xfId="17867" xr:uid="{FBB31D75-C775-4CEA-8FB2-956D2C4CE924}"/>
    <cellStyle name="Millares 4 4 2 4 4" xfId="8704" xr:uid="{D078A07A-369B-4631-968C-8B7FE208F3D5}"/>
    <cellStyle name="Millares 4 4 2 4 4 2" xfId="18756" xr:uid="{8E4D8838-A053-40D4-9FED-BF1E23FEE42F}"/>
    <cellStyle name="Millares 4 4 2 4 5" xfId="9743" xr:uid="{2CA532F7-A883-4413-B92A-5C91C406024B}"/>
    <cellStyle name="Millares 4 4 2 4 6" xfId="10443" xr:uid="{0FC05F04-D559-45F3-9416-D28EFEACFAD5}"/>
    <cellStyle name="Millares 4 4 2 4 7" xfId="15811" xr:uid="{98143DA3-CAC7-4E6B-8AD6-B09586C9AC6A}"/>
    <cellStyle name="Millares 4 4 2 5" xfId="6367" xr:uid="{A3868560-DCE3-4356-9634-DA8593824113}"/>
    <cellStyle name="Millares 4 4 2 5 2" xfId="9152" xr:uid="{8613F59C-B9EC-49AF-A79E-6EAD8C85E1CC}"/>
    <cellStyle name="Millares 4 4 2 5 2 2" xfId="19204" xr:uid="{43A7FD3D-4C36-4F2D-A8C9-46AD54F117F1}"/>
    <cellStyle name="Millares 4 4 2 5 3" xfId="16654" xr:uid="{0099F2FD-D8B5-4649-815E-B19861DAF2EE}"/>
    <cellStyle name="Millares 4 4 2 5 4" xfId="14994" xr:uid="{A9950325-7B6E-4795-A83F-ECC0BC8A72EC}"/>
    <cellStyle name="Millares 4 4 2 6" xfId="6368" xr:uid="{27010F1D-534F-49A5-8F14-CA837D4534B3}"/>
    <cellStyle name="Millares 4 4 2 6 2" xfId="17106" xr:uid="{9B8D2188-32A6-4264-B593-44F5DF7829C2}"/>
    <cellStyle name="Millares 4 4 2 6 3" xfId="15588" xr:uid="{CC1DB19E-45B5-438D-88FD-AA3A90313E2F}"/>
    <cellStyle name="Millares 4 4 2 7" xfId="6369" xr:uid="{F1849A9E-66E2-4CB2-A203-DB863AED9F37}"/>
    <cellStyle name="Millares 4 4 2 7 2" xfId="17713" xr:uid="{1D3C533B-C8B0-4826-AD51-F5B89D273E8B}"/>
    <cellStyle name="Millares 4 4 2 7 3" xfId="14539" xr:uid="{EDEE59EC-36CB-4090-8849-99371372DC71}"/>
    <cellStyle name="Millares 4 4 2 8" xfId="8276" xr:uid="{5D773946-97E6-448B-B7D6-F5FAA80B15E9}"/>
    <cellStyle name="Millares 4 4 2 8 2" xfId="18328" xr:uid="{D853E1EB-39F6-4182-B2B7-F2F309C7924B}"/>
    <cellStyle name="Millares 4 4 2 9" xfId="9596" xr:uid="{6CEAF78E-3555-4A9E-ADF6-A2C543AF691C}"/>
    <cellStyle name="Millares 4 4 3" xfId="4421" xr:uid="{46DC46A6-317A-49D5-98D0-E6906F54B930}"/>
    <cellStyle name="Millares 4 4 3 2" xfId="6370" xr:uid="{79A09C5D-E519-4EA5-883C-C2607D72678D}"/>
    <cellStyle name="Millares 4 4 3 2 2" xfId="8856" xr:uid="{66AEBC28-D107-4E2A-B29E-637E7F5A6107}"/>
    <cellStyle name="Millares 4 4 3 2 2 2" xfId="18908" xr:uid="{6523CA02-1AE0-4B74-8A77-0302B794C7DA}"/>
    <cellStyle name="Millares 4 4 3 2 3" xfId="16364" xr:uid="{9F918BCC-EF82-4C11-A261-5AF642DEA947}"/>
    <cellStyle name="Millares 4 4 3 2 4" xfId="15259" xr:uid="{156E4714-D46C-43DD-ACEE-7662006FD515}"/>
    <cellStyle name="Millares 4 4 3 3" xfId="6371" xr:uid="{61E73A2B-2E90-4E8E-AF55-4681BCDE074C}"/>
    <cellStyle name="Millares 4 4 3 3 2" xfId="9304" xr:uid="{42B3C99F-5A1A-4CA9-BF26-84B38714CC3A}"/>
    <cellStyle name="Millares 4 4 3 3 2 2" xfId="19356" xr:uid="{32E1A46F-122A-47FB-AD6C-1A3E915C8E3F}"/>
    <cellStyle name="Millares 4 4 3 3 3" xfId="16807" xr:uid="{7FE1C440-B5BA-46FD-8B75-AE263F70FD28}"/>
    <cellStyle name="Millares 4 4 3 3 4" xfId="14865" xr:uid="{09B204F9-9BBF-4421-AA7B-0031915AB4C1}"/>
    <cellStyle name="Millares 4 4 3 4" xfId="6372" xr:uid="{221A70CD-4A8C-44FC-ACF8-54ABA9EDC6A8}"/>
    <cellStyle name="Millares 4 4 3 4 2" xfId="17410" xr:uid="{32664A4B-6E6C-4143-A299-414A4CCD9C1C}"/>
    <cellStyle name="Millares 4 4 3 4 3" xfId="14773" xr:uid="{8528815A-5A06-42EA-A296-5E24EFB1797E}"/>
    <cellStyle name="Millares 4 4 3 5" xfId="6373" xr:uid="{D1B1303F-5222-4B7E-9639-C00CD43AE257}"/>
    <cellStyle name="Millares 4 4 3 5 2" xfId="18021" xr:uid="{45799675-121B-4D13-AC1A-40D2E93F82F0}"/>
    <cellStyle name="Millares 4 4 3 5 3" xfId="14085" xr:uid="{9CB4218C-8B3D-465C-8375-4BDB73B1B183}"/>
    <cellStyle name="Millares 4 4 3 6" xfId="8428" xr:uid="{3E65025E-846A-4252-B935-CDFC30506AB5}"/>
    <cellStyle name="Millares 4 4 3 6 2" xfId="18480" xr:uid="{C6EDA89E-3F9D-4E98-9EAB-82105EB35C5A}"/>
    <cellStyle name="Millares 4 4 3 7" xfId="9896" xr:uid="{906FAB64-3508-4ADE-89C3-9A502A79B5D9}"/>
    <cellStyle name="Millares 4 4 3 8" xfId="10444" xr:uid="{4352CCFB-C4CB-4FC4-81D6-659D1C4D4476}"/>
    <cellStyle name="Millares 4 4 3 9" xfId="15424" xr:uid="{BB280070-97F3-47EA-8D47-9D1FEA69664D}"/>
    <cellStyle name="Millares 4 4 4" xfId="4422" xr:uid="{EE9AB6A2-1C55-4E37-AA23-66226CBED950}"/>
    <cellStyle name="Millares 4 4 4 2" xfId="6374" xr:uid="{45F3C599-AFEE-4C6E-BA8B-47CCEB1BAA70}"/>
    <cellStyle name="Millares 4 4 4 2 2" xfId="8857" xr:uid="{C1B5D5D6-3979-4891-BC25-AE4A15B9E937}"/>
    <cellStyle name="Millares 4 4 4 2 2 2" xfId="18909" xr:uid="{699633DE-24AB-442A-B344-60FDA005B06B}"/>
    <cellStyle name="Millares 4 4 4 2 3" xfId="16365" xr:uid="{002D0CBD-DB67-4EF5-B578-64E76BA8E9D6}"/>
    <cellStyle name="Millares 4 4 4 2 4" xfId="15258" xr:uid="{AFF32A92-9543-43DB-B430-B2C688ACB9C7}"/>
    <cellStyle name="Millares 4 4 4 3" xfId="6375" xr:uid="{8E1D63FA-C52F-4AD9-80A3-12E916EBB285}"/>
    <cellStyle name="Millares 4 4 4 3 2" xfId="9305" xr:uid="{94F3CD89-B24C-44FA-B82F-8E72E4E4F1A2}"/>
    <cellStyle name="Millares 4 4 4 3 2 2" xfId="19357" xr:uid="{D0216CFB-B9D5-45F6-90F8-A16CD1032EAB}"/>
    <cellStyle name="Millares 4 4 4 3 3" xfId="16808" xr:uid="{7050708F-5530-4901-AF59-F3AB38974D14}"/>
    <cellStyle name="Millares 4 4 4 3 4" xfId="14864" xr:uid="{57B6C38D-36A4-418A-A23A-3AE4FDFCD67F}"/>
    <cellStyle name="Millares 4 4 4 4" xfId="6376" xr:uid="{2EA33AD2-7161-46C3-A047-FB223C36D25A}"/>
    <cellStyle name="Millares 4 4 4 4 2" xfId="17411" xr:uid="{00078580-2395-434E-8430-DA85D4FBAD42}"/>
    <cellStyle name="Millares 4 4 4 4 3" xfId="14772" xr:uid="{F7731617-C314-4EBE-BFB1-B0CC646A2835}"/>
    <cellStyle name="Millares 4 4 4 5" xfId="6377" xr:uid="{F8E046E1-98B5-406E-85DB-B3FCB340652E}"/>
    <cellStyle name="Millares 4 4 4 5 2" xfId="18022" xr:uid="{026D8AC2-19A9-4653-9E79-65577EA7F1DA}"/>
    <cellStyle name="Millares 4 4 4 5 3" xfId="14411" xr:uid="{943F737F-2435-4F56-93D4-082F6F6A4F8F}"/>
    <cellStyle name="Millares 4 4 4 6" xfId="8429" xr:uid="{3C70A0C3-64FA-4346-88C9-C9486C495245}"/>
    <cellStyle name="Millares 4 4 4 6 2" xfId="18481" xr:uid="{B5140F6B-0BA7-454A-AC10-EE779C2FEAF2}"/>
    <cellStyle name="Millares 4 4 4 7" xfId="9897" xr:uid="{8EAC5EC6-9C4C-4E2C-A798-A0B9C20493AB}"/>
    <cellStyle name="Millares 4 4 4 8" xfId="10445" xr:uid="{9014BF43-74DD-4EF1-AE51-4D39C5FA32BC}"/>
    <cellStyle name="Millares 4 4 4 9" xfId="16041" xr:uid="{5272D53D-3D74-4E33-8081-2C52852750C0}"/>
    <cellStyle name="Millares 4 4 5" xfId="6378" xr:uid="{9C653C1C-E7FC-4BC4-A1BB-A0FF2E926D22}"/>
    <cellStyle name="Millares 4 4 5 2" xfId="6379" xr:uid="{E15AEA97-9527-4F5C-AA50-D3042B360178}"/>
    <cellStyle name="Millares 4 4 5 2 2" xfId="17252" xr:uid="{21C0F346-4A35-436B-855A-1B64071D43C7}"/>
    <cellStyle name="Millares 4 4 5 3" xfId="6380" xr:uid="{9F33D945-DE5C-41A3-ACBA-7FCB2C556371}"/>
    <cellStyle name="Millares 4 4 5 3 2" xfId="17866" xr:uid="{A18223A2-8982-4323-9A52-0594F8192B2A}"/>
    <cellStyle name="Millares 4 4 5 4" xfId="8703" xr:uid="{E1A23E1D-C118-4640-8DA2-F6B0C1D769FF}"/>
    <cellStyle name="Millares 4 4 5 4 2" xfId="18755" xr:uid="{9E67500A-80C2-4C82-AFA4-3409DAEF4C14}"/>
    <cellStyle name="Millares 4 4 5 5" xfId="9742" xr:uid="{3AE9B1B4-DD29-405D-ACEA-37F5A1E5975C}"/>
    <cellStyle name="Millares 4 4 5 6" xfId="10446" xr:uid="{75DD43BF-638F-4DA2-A689-2711433C8BB7}"/>
    <cellStyle name="Millares 4 4 5 7" xfId="15812" xr:uid="{F1AB0DD0-8677-402D-9D27-A2602F23DDA4}"/>
    <cellStyle name="Millares 4 4 6" xfId="6381" xr:uid="{533745FA-9E91-41CD-8E19-8CA936B0B068}"/>
    <cellStyle name="Millares 4 4 6 2" xfId="9151" xr:uid="{05EA02CF-C36F-4F75-A5B0-BD2A0C92C58A}"/>
    <cellStyle name="Millares 4 4 6 2 2" xfId="19203" xr:uid="{10756E99-BC5A-4AAE-AEEF-836DBF36D5BD}"/>
    <cellStyle name="Millares 4 4 6 3" xfId="16653" xr:uid="{3E7502B1-0028-45A7-B97A-51796C544CAD}"/>
    <cellStyle name="Millares 4 4 6 4" xfId="14995" xr:uid="{DC9823BA-CF78-47E2-9D3E-8FC9150B8AA5}"/>
    <cellStyle name="Millares 4 4 7" xfId="6382" xr:uid="{D451631C-A3CC-4311-86AC-D121E6BE5E13}"/>
    <cellStyle name="Millares 4 4 7 2" xfId="17105" xr:uid="{6722D08D-9D9E-4870-9C9E-3F55BB4B46A3}"/>
    <cellStyle name="Millares 4 4 7 3" xfId="15589" xr:uid="{81BCC6B6-E62F-47AE-B360-54FE8FD14AB9}"/>
    <cellStyle name="Millares 4 4 8" xfId="6383" xr:uid="{6B39D376-79E0-4B9F-A84E-CB8C82ACD7FA}"/>
    <cellStyle name="Millares 4 4 8 2" xfId="17712" xr:uid="{D167175E-C2AC-444A-ADB5-D01ADDA7F129}"/>
    <cellStyle name="Millares 4 4 8 3" xfId="14540" xr:uid="{64DE40BB-2FE2-4CD2-A47D-E9BA7121121C}"/>
    <cellStyle name="Millares 4 4 9" xfId="8275" xr:uid="{0848DE7D-74FA-49FF-9834-2C4EB141DDDE}"/>
    <cellStyle name="Millares 4 4 9 2" xfId="18327" xr:uid="{E6B2729E-81A3-4B9A-A6A5-E1B44AAFDF5C}"/>
    <cellStyle name="Millares 4 5" xfId="2637" xr:uid="{EF74A927-893B-45DC-AEF9-46D8360BF3E9}"/>
    <cellStyle name="Millares 4 5 10" xfId="9597" xr:uid="{DEADB508-152E-49E0-AF07-C30D407B3DF1}"/>
    <cellStyle name="Millares 4 5 11" xfId="10256" xr:uid="{56A99660-7014-4467-B1A4-D58B9D226FDA}"/>
    <cellStyle name="Millares 4 5 12" xfId="13064" xr:uid="{21BFEEC5-4615-4990-94B7-C9518AEF3F9D}"/>
    <cellStyle name="Millares 4 5 12 2" xfId="16181" xr:uid="{B44113C3-B863-4DBF-94B3-1CB909A8EF31}"/>
    <cellStyle name="Millares 4 5 12 3" xfId="20772" xr:uid="{76B61541-1F73-4AD3-B2C2-97B355F9572B}"/>
    <cellStyle name="Millares 4 5 2" xfId="2638" xr:uid="{A0E069AB-906F-43D4-B31D-7194CB65660C}"/>
    <cellStyle name="Millares 4 5 2 10" xfId="10257" xr:uid="{BA01AFEC-BAD3-4BE3-8FB5-A961787DAAAF}"/>
    <cellStyle name="Millares 4 5 2 11" xfId="16180" xr:uid="{6F1D14FA-F569-4C1E-B08C-1F0FA55FF014}"/>
    <cellStyle name="Millares 4 5 2 2" xfId="4423" xr:uid="{EBAFEB4C-F217-44C8-ACAA-950BA8BBCFBB}"/>
    <cellStyle name="Millares 4 5 2 2 2" xfId="6384" xr:uid="{45B6B2A7-C8E0-4A48-8A88-1277E20977BB}"/>
    <cellStyle name="Millares 4 5 2 2 2 2" xfId="8858" xr:uid="{F5E86A99-6AA4-4B56-B0DA-0913464D1C46}"/>
    <cellStyle name="Millares 4 5 2 2 2 2 2" xfId="18910" xr:uid="{AEA909E3-9806-48A6-BE16-3DB70D2EFB73}"/>
    <cellStyle name="Millares 4 5 2 2 2 3" xfId="16366" xr:uid="{A26E431A-0EF6-4992-8091-B8E66FA3BA6A}"/>
    <cellStyle name="Millares 4 5 2 2 2 4" xfId="15257" xr:uid="{19B2146A-0256-432B-9814-8B7D598E49BA}"/>
    <cellStyle name="Millares 4 5 2 2 3" xfId="6385" xr:uid="{BDEF6DF9-2604-40B4-AA9C-685132EC3812}"/>
    <cellStyle name="Millares 4 5 2 2 3 2" xfId="9306" xr:uid="{CC0A9B18-E3D8-4B1D-A480-48A251611709}"/>
    <cellStyle name="Millares 4 5 2 2 3 2 2" xfId="19358" xr:uid="{B5DFE3FB-E1BD-447C-9109-E2E16FF8E527}"/>
    <cellStyle name="Millares 4 5 2 2 3 3" xfId="16809" xr:uid="{AC11E304-A0BA-467F-A1D2-DAABCA01633C}"/>
    <cellStyle name="Millares 4 5 2 2 3 4" xfId="14863" xr:uid="{64885A49-6847-4E1E-9A96-E1FC4509406E}"/>
    <cellStyle name="Millares 4 5 2 2 4" xfId="6386" xr:uid="{E9FC0BC5-5AAC-4EE5-BE40-98002EEA0897}"/>
    <cellStyle name="Millares 4 5 2 2 4 2" xfId="17412" xr:uid="{92DC2B93-C5CB-48E0-B763-5185292D9562}"/>
    <cellStyle name="Millares 4 5 2 2 4 3" xfId="14771" xr:uid="{D1EB1B75-CAFA-4F79-979B-D5C496CC9453}"/>
    <cellStyle name="Millares 4 5 2 2 5" xfId="6387" xr:uid="{181A49CE-56AD-403C-8849-B19E7EB14AAB}"/>
    <cellStyle name="Millares 4 5 2 2 5 2" xfId="18023" xr:uid="{B5E4851C-69D3-46DF-8C7B-016F09BCFDC5}"/>
    <cellStyle name="Millares 4 5 2 2 5 3" xfId="14410" xr:uid="{6DD6AA88-0BC7-48BE-A141-577B9D54D3A9}"/>
    <cellStyle name="Millares 4 5 2 2 6" xfId="8430" xr:uid="{393168C5-EC85-48B4-B260-C4C012844C31}"/>
    <cellStyle name="Millares 4 5 2 2 6 2" xfId="18482" xr:uid="{D2A6F47C-69CC-4243-94B1-DA868374ED0A}"/>
    <cellStyle name="Millares 4 5 2 2 7" xfId="9898" xr:uid="{43E1BF5D-5741-4D7F-B3BC-467A74E06499}"/>
    <cellStyle name="Millares 4 5 2 2 8" xfId="10447" xr:uid="{97FADCA9-B5F6-4DD8-937D-9488110DCC8B}"/>
    <cellStyle name="Millares 4 5 2 2 9" xfId="16040" xr:uid="{34C98F6F-8BD7-4127-9FAC-7484055644C5}"/>
    <cellStyle name="Millares 4 5 2 3" xfId="4424" xr:uid="{1B4E3CB6-28D2-4ED1-9650-B52B5CC20759}"/>
    <cellStyle name="Millares 4 5 2 3 2" xfId="6388" xr:uid="{EB245A68-6FB8-4DD9-8A25-85EAD14B9517}"/>
    <cellStyle name="Millares 4 5 2 3 2 2" xfId="8859" xr:uid="{6A3CC1AE-A09C-42F2-9BE1-1F2CF3A68F84}"/>
    <cellStyle name="Millares 4 5 2 3 2 2 2" xfId="18911" xr:uid="{A201A660-079D-4953-A728-1DAC92943DC5}"/>
    <cellStyle name="Millares 4 5 2 3 2 3" xfId="16367" xr:uid="{0E0D9569-5B1D-441E-9C2A-9AD27B1699A1}"/>
    <cellStyle name="Millares 4 5 2 3 2 4" xfId="15256" xr:uid="{9F478E22-4A7E-401F-A513-48995C7ECF02}"/>
    <cellStyle name="Millares 4 5 2 3 3" xfId="6389" xr:uid="{C7870D68-9DAA-4041-8F0D-CE3945A4781F}"/>
    <cellStyle name="Millares 4 5 2 3 3 2" xfId="9307" xr:uid="{448122AC-E722-423A-B62B-B81BC7AD42BD}"/>
    <cellStyle name="Millares 4 5 2 3 3 2 2" xfId="19359" xr:uid="{A8807358-C923-431A-9909-4BDCFF637C9F}"/>
    <cellStyle name="Millares 4 5 2 3 3 3" xfId="16810" xr:uid="{27E39CDB-6E96-42AB-81DC-46AAAD03B9B5}"/>
    <cellStyle name="Millares 4 5 2 3 3 4" xfId="14862" xr:uid="{1AF1BA44-766C-4B11-8DCD-FAB1E7384BCA}"/>
    <cellStyle name="Millares 4 5 2 3 4" xfId="6390" xr:uid="{B0973DB7-DEB3-44DE-A8A8-CF97ABF0964C}"/>
    <cellStyle name="Millares 4 5 2 3 4 2" xfId="17413" xr:uid="{3BC79B5A-92C8-4FA0-A322-F5DA2B172E74}"/>
    <cellStyle name="Millares 4 5 2 3 4 3" xfId="14770" xr:uid="{0E1CA835-2FE2-4809-BDE9-9C8A91E3E982}"/>
    <cellStyle name="Millares 4 5 2 3 5" xfId="6391" xr:uid="{737512FD-B98A-475C-90FC-4193DDA16492}"/>
    <cellStyle name="Millares 4 5 2 3 5 2" xfId="18024" xr:uid="{683539D4-29ED-4F40-AEBE-8EC307B78E14}"/>
    <cellStyle name="Millares 4 5 2 3 5 3" xfId="14409" xr:uid="{0F48A908-07A6-4A3F-8C38-60E9840B3AB9}"/>
    <cellStyle name="Millares 4 5 2 3 6" xfId="8431" xr:uid="{1E92D7F7-6FB3-4EF4-980C-248C46741238}"/>
    <cellStyle name="Millares 4 5 2 3 6 2" xfId="18483" xr:uid="{904D856C-7416-4E38-BC9E-729B89463D81}"/>
    <cellStyle name="Millares 4 5 2 3 7" xfId="9899" xr:uid="{83C27B45-3852-40EC-9DC1-C0189C9222D7}"/>
    <cellStyle name="Millares 4 5 2 3 8" xfId="10448" xr:uid="{8B0E6CFA-E624-4E58-801A-746B26B84071}"/>
    <cellStyle name="Millares 4 5 2 3 9" xfId="16039" xr:uid="{F34763C3-B5C2-4CDB-9B90-B1C72A503709}"/>
    <cellStyle name="Millares 4 5 2 4" xfId="6392" xr:uid="{20173220-87E6-4E45-9F6D-90CB2731C1E1}"/>
    <cellStyle name="Millares 4 5 2 4 2" xfId="6393" xr:uid="{554200F8-AFF7-4956-BBA1-BBDC6476042B}"/>
    <cellStyle name="Millares 4 5 2 4 2 2" xfId="17255" xr:uid="{A9B33D9F-3696-466F-AD3C-53B1425D4DEA}"/>
    <cellStyle name="Millares 4 5 2 4 3" xfId="6394" xr:uid="{54A7A221-A8A0-40BB-A12B-DC5E9CF15F1D}"/>
    <cellStyle name="Millares 4 5 2 4 3 2" xfId="17869" xr:uid="{63B817C0-4A96-4087-83AB-391FDD5716A1}"/>
    <cellStyle name="Millares 4 5 2 4 4" xfId="8706" xr:uid="{CF380549-A387-4A0F-A4C5-437EBE1942DA}"/>
    <cellStyle name="Millares 4 5 2 4 4 2" xfId="18758" xr:uid="{A2DE7F20-96A6-4FBF-9E16-C49B9C781841}"/>
    <cellStyle name="Millares 4 5 2 4 5" xfId="9745" xr:uid="{4CA74191-291F-4CD4-B898-7FD322D2D3E0}"/>
    <cellStyle name="Millares 4 5 2 4 6" xfId="10449" xr:uid="{19CA0B21-7664-483B-A37C-1896CEA7B9D9}"/>
    <cellStyle name="Millares 4 5 2 4 7" xfId="15809" xr:uid="{FA73F44F-6695-4D13-9DCF-B881996B1AF4}"/>
    <cellStyle name="Millares 4 5 2 5" xfId="6395" xr:uid="{61755942-667E-4249-B8D7-142614686C2A}"/>
    <cellStyle name="Millares 4 5 2 5 2" xfId="9154" xr:uid="{B8E41EC3-5D99-48BF-AE16-14594B32963B}"/>
    <cellStyle name="Millares 4 5 2 5 2 2" xfId="19206" xr:uid="{5EE69D4F-884C-4413-83DC-4F16FF3484A8}"/>
    <cellStyle name="Millares 4 5 2 5 3" xfId="16656" xr:uid="{652EFB68-5B53-4C6A-8BA1-67E189E98E74}"/>
    <cellStyle name="Millares 4 5 2 5 4" xfId="14992" xr:uid="{B865A12C-C073-49B9-8D53-99C735D90AA8}"/>
    <cellStyle name="Millares 4 5 2 6" xfId="6396" xr:uid="{E3D4655E-51C4-486A-A2D4-27FAA3043FAB}"/>
    <cellStyle name="Millares 4 5 2 6 2" xfId="17108" xr:uid="{8CA36803-6C54-46D1-98CB-BF7E4E22A5C3}"/>
    <cellStyle name="Millares 4 5 2 6 3" xfId="15587" xr:uid="{566A3EB9-2A2F-4163-9919-23A3631219DF}"/>
    <cellStyle name="Millares 4 5 2 7" xfId="6397" xr:uid="{6D9AF5D7-3705-478E-9BB8-2FF4D819786D}"/>
    <cellStyle name="Millares 4 5 2 7 2" xfId="17715" xr:uid="{6467E7C4-37A6-4CD3-93D8-AAD6135E6DA6}"/>
    <cellStyle name="Millares 4 5 2 7 3" xfId="14537" xr:uid="{A07D9B89-8E9C-4860-A3D8-31D5C7058F0A}"/>
    <cellStyle name="Millares 4 5 2 8" xfId="8278" xr:uid="{2165B936-E0C8-40D3-BF9A-96997228B166}"/>
    <cellStyle name="Millares 4 5 2 8 2" xfId="18330" xr:uid="{43518199-9CBF-4943-AB7D-14E6846F1F33}"/>
    <cellStyle name="Millares 4 5 2 9" xfId="9598" xr:uid="{2323D895-7E4C-4D61-A966-EE8356F952FC}"/>
    <cellStyle name="Millares 4 5 3" xfId="4425" xr:uid="{3024B6C8-B2D0-4472-A1D4-CB58A92B87EB}"/>
    <cellStyle name="Millares 4 5 3 2" xfId="6398" xr:uid="{2A4767EB-A9BE-49D7-A2EF-FEE32877C862}"/>
    <cellStyle name="Millares 4 5 3 2 2" xfId="8860" xr:uid="{0B680471-7B6D-4540-89BB-3CE41331C8C5}"/>
    <cellStyle name="Millares 4 5 3 2 2 2" xfId="18912" xr:uid="{636CE012-C615-45C9-85AA-A287DAE357EC}"/>
    <cellStyle name="Millares 4 5 3 2 3" xfId="16368" xr:uid="{EDFBB5F3-F4EB-40D0-A9DC-EBFA68F4C758}"/>
    <cellStyle name="Millares 4 5 3 2 4" xfId="14160" xr:uid="{15B6E4D5-4C6F-4829-918C-4A89C4A3F204}"/>
    <cellStyle name="Millares 4 5 3 3" xfId="6399" xr:uid="{E60E1C6F-3C82-454E-88C9-FA79922C84A1}"/>
    <cellStyle name="Millares 4 5 3 3 2" xfId="9308" xr:uid="{3AFB8030-C999-4E7D-8978-2DBB7CC9F55C}"/>
    <cellStyle name="Millares 4 5 3 3 2 2" xfId="19360" xr:uid="{75401D00-65CE-4DC9-B7E3-C115CCF44600}"/>
    <cellStyle name="Millares 4 5 3 3 3" xfId="16811" xr:uid="{9B169868-3AE3-4E08-80C4-364F1A08D04E}"/>
    <cellStyle name="Millares 4 5 3 3 4" xfId="14861" xr:uid="{D4E33D23-0E82-42E9-B130-E160F805D8F7}"/>
    <cellStyle name="Millares 4 5 3 4" xfId="6400" xr:uid="{E2550974-A19B-4998-95DF-AEB4BF0D5070}"/>
    <cellStyle name="Millares 4 5 3 4 2" xfId="17414" xr:uid="{AF59BBDC-1AA1-4AA1-96E3-0E3BF6D9ACD1}"/>
    <cellStyle name="Millares 4 5 3 4 3" xfId="14769" xr:uid="{F067CB41-5B77-4889-BBC2-A425C224E2E4}"/>
    <cellStyle name="Millares 4 5 3 5" xfId="6401" xr:uid="{F843CEE7-F8B7-4292-9701-B7072E9CCCAE}"/>
    <cellStyle name="Millares 4 5 3 5 2" xfId="18025" xr:uid="{AD5FA9AB-8015-4AD8-85BE-6BFC6380F5ED}"/>
    <cellStyle name="Millares 4 5 3 5 3" xfId="14408" xr:uid="{3E52D1AE-36D8-403E-977D-ACFB52EC84A4}"/>
    <cellStyle name="Millares 4 5 3 6" xfId="8432" xr:uid="{FF1C176C-E950-425A-BA5B-226987463522}"/>
    <cellStyle name="Millares 4 5 3 6 2" xfId="18484" xr:uid="{8BB2FC7E-768A-4C46-8DBE-A40E1FEBB883}"/>
    <cellStyle name="Millares 4 5 3 7" xfId="9900" xr:uid="{DFDBDE11-8B04-4005-9E40-360440EEEC76}"/>
    <cellStyle name="Millares 4 5 3 8" xfId="10450" xr:uid="{C66A6A0B-A96A-4732-B37D-9A5FBDAAA9A2}"/>
    <cellStyle name="Millares 4 5 3 9" xfId="16038" xr:uid="{087FFB59-CB35-48FA-A97C-312C79B7F727}"/>
    <cellStyle name="Millares 4 5 4" xfId="4426" xr:uid="{D27C4D7E-959E-442C-A054-11A9F6E125F7}"/>
    <cellStyle name="Millares 4 5 4 2" xfId="6402" xr:uid="{997EB9C3-DCA5-4693-BDBC-BC2092806771}"/>
    <cellStyle name="Millares 4 5 4 2 2" xfId="8861" xr:uid="{A600A4A4-9ADB-4A45-836C-F3398EFAAA8A}"/>
    <cellStyle name="Millares 4 5 4 2 2 2" xfId="18913" xr:uid="{3384F4DA-3CF9-4D11-AB32-A8FADAC035D2}"/>
    <cellStyle name="Millares 4 5 4 2 3" xfId="16369" xr:uid="{AC124C01-F45B-4180-8D05-149E7DE21BFD}"/>
    <cellStyle name="Millares 4 5 4 2 4" xfId="14196" xr:uid="{734E9630-359D-478F-BC83-0173E8F6DF92}"/>
    <cellStyle name="Millares 4 5 4 3" xfId="6403" xr:uid="{B1761075-D7B1-4B8E-A70B-B83BA2442248}"/>
    <cellStyle name="Millares 4 5 4 3 2" xfId="9309" xr:uid="{C5A14F2A-DD15-4DF7-9402-550CBFF06248}"/>
    <cellStyle name="Millares 4 5 4 3 2 2" xfId="19361" xr:uid="{A9671926-8C37-4A3F-BAFE-D7C4DABAFB3A}"/>
    <cellStyle name="Millares 4 5 4 3 3" xfId="16812" xr:uid="{3AC5EBA5-FE63-4B1C-931D-4477AE4AABA9}"/>
    <cellStyle name="Millares 4 5 4 3 4" xfId="14860" xr:uid="{36E57925-AD79-47FB-A459-146496187520}"/>
    <cellStyle name="Millares 4 5 4 4" xfId="6404" xr:uid="{F8D1758C-8F4C-4B64-B234-1ECC1B30628A}"/>
    <cellStyle name="Millares 4 5 4 4 2" xfId="17415" xr:uid="{BB1E811E-1D6E-425A-8A98-3D39C01C62F5}"/>
    <cellStyle name="Millares 4 5 4 4 3" xfId="14768" xr:uid="{674B183C-5C4B-4724-91C5-6DE034DE773D}"/>
    <cellStyle name="Millares 4 5 4 5" xfId="6405" xr:uid="{320E1D1D-C0EB-4A33-8903-F6472B41007A}"/>
    <cellStyle name="Millares 4 5 4 5 2" xfId="18026" xr:uid="{52F35466-B541-4ECA-AF6F-FDE9DBF72B7E}"/>
    <cellStyle name="Millares 4 5 4 5 3" xfId="14407" xr:uid="{85675CE8-C21A-4200-83E0-0EA362B04C68}"/>
    <cellStyle name="Millares 4 5 4 6" xfId="8433" xr:uid="{CC3E27BB-EAFB-4488-801A-2765D066236A}"/>
    <cellStyle name="Millares 4 5 4 6 2" xfId="18485" xr:uid="{102136FD-6B02-46FA-A4D2-A2FD47E9C988}"/>
    <cellStyle name="Millares 4 5 4 7" xfId="9901" xr:uid="{7A339220-B667-4A76-A5D7-717EBC42858D}"/>
    <cellStyle name="Millares 4 5 4 8" xfId="10451" xr:uid="{FD38B02C-7104-4B6F-94D3-87BB95864263}"/>
    <cellStyle name="Millares 4 5 4 9" xfId="16037" xr:uid="{630DC65B-0826-49CD-B77B-3F3BB287E184}"/>
    <cellStyle name="Millares 4 5 5" xfId="6406" xr:uid="{D859B830-85E0-4AC1-AD27-F2B7633225EC}"/>
    <cellStyle name="Millares 4 5 5 2" xfId="6407" xr:uid="{0FA25106-D33A-4519-BBC0-982616B505DB}"/>
    <cellStyle name="Millares 4 5 5 2 2" xfId="17254" xr:uid="{CCB78B59-4AAC-4174-B87C-1B2D7466CD20}"/>
    <cellStyle name="Millares 4 5 5 3" xfId="6408" xr:uid="{7CD9A668-04C5-45F9-A94C-1BFDDB7F4648}"/>
    <cellStyle name="Millares 4 5 5 3 2" xfId="17868" xr:uid="{95A0994C-AFE1-4939-B008-F8A73C50DECB}"/>
    <cellStyle name="Millares 4 5 5 4" xfId="8705" xr:uid="{66AA3D0E-C219-4536-ADEB-14AF8B825B71}"/>
    <cellStyle name="Millares 4 5 5 4 2" xfId="18757" xr:uid="{82C409F0-81B7-4446-A932-30A2F8F8AE1F}"/>
    <cellStyle name="Millares 4 5 5 5" xfId="9744" xr:uid="{F3F3E108-DA33-46AB-865C-C5D82986A6F4}"/>
    <cellStyle name="Millares 4 5 5 6" xfId="10452" xr:uid="{9B8AD211-735A-42BD-9999-112468326573}"/>
    <cellStyle name="Millares 4 5 5 7" xfId="15810" xr:uid="{ABCE710D-9934-4148-BBD5-2ADB5633CCAF}"/>
    <cellStyle name="Millares 4 5 6" xfId="6409" xr:uid="{D12F976C-E3BB-476D-B949-8E3C237BD12C}"/>
    <cellStyle name="Millares 4 5 6 2" xfId="9153" xr:uid="{A8AC189C-DD67-42D4-9E57-EA45F50B0F67}"/>
    <cellStyle name="Millares 4 5 6 2 2" xfId="19205" xr:uid="{79FD8D9E-6953-4B4D-A2B3-7AACB269FD46}"/>
    <cellStyle name="Millares 4 5 6 3" xfId="16655" xr:uid="{848FB770-475D-42B0-B598-5419CB0B4713}"/>
    <cellStyle name="Millares 4 5 6 4" xfId="14993" xr:uid="{187C1953-FD38-4962-A7C9-C2915A6A5334}"/>
    <cellStyle name="Millares 4 5 7" xfId="6410" xr:uid="{2BD5BAAA-131D-4D90-9B0A-A4128C0A8E95}"/>
    <cellStyle name="Millares 4 5 7 2" xfId="17107" xr:uid="{B7D45F2F-5427-4EC2-A1A6-FDEC25FC83C5}"/>
    <cellStyle name="Millares 4 5 7 3" xfId="14813" xr:uid="{DCDB9587-86A3-4690-B77A-C7169BE1A5C6}"/>
    <cellStyle name="Millares 4 5 8" xfId="6411" xr:uid="{4AD4B693-51B5-4CBF-8CDD-34B4215568B7}"/>
    <cellStyle name="Millares 4 5 8 2" xfId="17714" xr:uid="{FA002F5E-1AEA-41C4-82A5-820771C5C540}"/>
    <cellStyle name="Millares 4 5 8 3" xfId="14538" xr:uid="{E258B823-3048-4642-8381-F86DCC98F53D}"/>
    <cellStyle name="Millares 4 5 9" xfId="8277" xr:uid="{C03CE0B1-F50F-42C1-8329-66C3EFD440AD}"/>
    <cellStyle name="Millares 4 5 9 2" xfId="18329" xr:uid="{9B0814DD-BA7A-4148-9A2A-A9E0A4FD6B41}"/>
    <cellStyle name="Millares 4 6" xfId="2639" xr:uid="{08ACF581-A087-405D-B241-527CDE114F55}"/>
    <cellStyle name="Millares 4 6 2" xfId="13579" xr:uid="{E0736848-A269-4F93-9DE7-E9082A32F352}"/>
    <cellStyle name="Millares 4 6 2 2" xfId="19787" xr:uid="{1CA2708E-EFCC-4DF1-9F3F-AD1BB7307F00}"/>
    <cellStyle name="Millares 4 6 2 3" xfId="20802" xr:uid="{2CA337B3-7DEB-4EE6-B2A3-01CBF760D8CF}"/>
    <cellStyle name="Millares 4 7" xfId="2640" xr:uid="{BBD27B16-139A-49BB-8F0E-85924542C370}"/>
    <cellStyle name="Millares 4 7 2" xfId="11698" xr:uid="{DD6C10EF-0437-4488-8DAA-53C99B581D8E}"/>
    <cellStyle name="Millares 4 7 2 2" xfId="19788" xr:uid="{EBD71678-E3C4-4083-B0E5-E369AEC3F424}"/>
    <cellStyle name="Millares 4 7 2 3" xfId="20588" xr:uid="{EE2013C1-8382-4347-8EDF-AE30C1A1F94C}"/>
    <cellStyle name="Millares 4 8" xfId="2641" xr:uid="{87CEC959-4DD0-4F47-AFC4-CB7E2D49B85F}"/>
    <cellStyle name="Millares 4 8 2" xfId="13019" xr:uid="{B8097233-56A7-4157-BE57-D2D29412EC86}"/>
    <cellStyle name="Millares 4 8 2 2" xfId="19789" xr:uid="{1768F04C-1B34-439A-9D35-5BEE2F028792}"/>
    <cellStyle name="Millares 4 8 2 3" xfId="20768" xr:uid="{6238F8A3-4CA5-4F79-878B-00154FC9612E}"/>
    <cellStyle name="Millares 4 9" xfId="2642" xr:uid="{CAF6C8B9-5B9B-4559-8635-A4EB4055DB3C}"/>
    <cellStyle name="Millares 4 9 2" xfId="11640" xr:uid="{D9428F36-A580-4880-B8B6-FF3E0D0F4267}"/>
    <cellStyle name="Millares 4 9 2 2" xfId="19790" xr:uid="{DBC79AEC-FBCE-4F6B-9423-4198DF582922}"/>
    <cellStyle name="Millares 4 9 2 3" xfId="20582" xr:uid="{B1BDF2AB-A2AA-4FAB-A083-63F981981F4C}"/>
    <cellStyle name="Millares 40" xfId="2643" xr:uid="{716A773D-C31C-4452-AC44-C40259A16A4A}"/>
    <cellStyle name="Millares 40 2" xfId="19791" xr:uid="{DCA6D1E0-AF11-44D6-8752-BBCE824420CC}"/>
    <cellStyle name="Millares 41" xfId="2644" xr:uid="{5733DE41-8C65-4181-8794-CE359D93DB5E}"/>
    <cellStyle name="Millares 41 2" xfId="19792" xr:uid="{6BC0AAA8-22D8-4959-A0A7-C20D5428B997}"/>
    <cellStyle name="Millares 42" xfId="2645" xr:uid="{037666A3-F460-40C0-8CA7-52A69836951E}"/>
    <cellStyle name="Millares 42 2" xfId="19793" xr:uid="{4EC3F8A6-DCB1-409D-BB66-E7561DD8DF7E}"/>
    <cellStyle name="Millares 43" xfId="2646" xr:uid="{CB7FC18B-A3B3-48AD-B1DB-9F1482914F1E}"/>
    <cellStyle name="Millares 43 2" xfId="19794" xr:uid="{DADFFFDC-6609-4A23-9C97-D3B87B2EF6C4}"/>
    <cellStyle name="Millares 44" xfId="6021" xr:uid="{217F34B2-E70F-4825-9497-E42598F61A29}"/>
    <cellStyle name="Millares 44 2" xfId="6412" xr:uid="{874CCBAC-3E13-4ED7-920F-64922FF3AD2B}"/>
    <cellStyle name="Millares 44 2 2" xfId="9109" xr:uid="{650303BD-19C5-443B-BAD8-4FF0A92FC9E8}"/>
    <cellStyle name="Millares 44 2 2 2" xfId="19161" xr:uid="{4D7DDD3B-FA7B-44C6-86B7-1CEC94218A1B}"/>
    <cellStyle name="Millares 44 2 2 3" xfId="20477" xr:uid="{C10D4E2F-FE93-449A-9597-4FE5D6F134AA}"/>
    <cellStyle name="Millares 44 2 3" xfId="10205" xr:uid="{8D23DCA7-E195-4BAC-8C41-167FD1B9B30E}"/>
    <cellStyle name="Millares 44 2 4" xfId="16614" xr:uid="{3AA61C14-BAAC-44B8-AD89-BFD617E59FFC}"/>
    <cellStyle name="Millares 44 2 5" xfId="15032" xr:uid="{1B115D71-B976-4EA4-B76C-7CEB0E221888}"/>
    <cellStyle name="Millares 44 3" xfId="6413" xr:uid="{90C143C7-9404-41E9-A5A1-5D7B73BBD5FB}"/>
    <cellStyle name="Millares 44 3 2" xfId="9558" xr:uid="{D7D89849-2524-47E0-90D5-2E485E3DC62B}"/>
    <cellStyle name="Millares 44 3 2 2" xfId="19610" xr:uid="{36D866E5-14F1-4635-95D8-E6A0A5B6D4D6}"/>
    <cellStyle name="Millares 44 3 2 3" xfId="20470" xr:uid="{986ECB42-78C4-467C-AD4B-42C72A9E7A19}"/>
    <cellStyle name="Millares 44 3 3" xfId="17059" xr:uid="{10A09785-145A-4687-9F22-6053EAA15A6F}"/>
    <cellStyle name="Millares 44 3 4" xfId="19655" xr:uid="{0427A4B9-B50B-454C-9204-A67AB12E4B18}"/>
    <cellStyle name="Millares 44 3 5" xfId="14817" xr:uid="{59029ABA-1554-4013-AA3D-A40C03008A37}"/>
    <cellStyle name="Millares 44 4" xfId="6414" xr:uid="{1CD91670-6B91-4F12-8831-BDE66D7608AC}"/>
    <cellStyle name="Millares 44 4 2" xfId="20464" xr:uid="{706B458A-48C9-4603-B9DA-823017F9CDE7}"/>
    <cellStyle name="Millares 44 4 3" xfId="14547" xr:uid="{5B5EA2DC-5555-476B-8FE3-CF1AC70BC774}"/>
    <cellStyle name="Millares 44 4 4" xfId="14036" xr:uid="{49A8361F-5E9E-457D-9061-7EC1B96F8246}"/>
    <cellStyle name="Millares 44 5" xfId="8681" xr:uid="{16A39B1B-55B6-462D-9A71-6C3198060479}"/>
    <cellStyle name="Millares 44 5 2" xfId="18733" xr:uid="{CCE59746-BE9E-4B96-964B-2ECD74BF90A8}"/>
    <cellStyle name="Millares 44 5 3" xfId="16256" xr:uid="{4B9CB3F5-010F-43F4-920E-7783984DB567}"/>
    <cellStyle name="Millares 44 6" xfId="16326" xr:uid="{3C39BF24-E0AB-41EC-8DD5-292FDBDA9714}"/>
    <cellStyle name="Millares 44 7" xfId="15831" xr:uid="{3BE1F8F7-B694-44A3-B1D1-3B14F5450F2F}"/>
    <cellStyle name="Millares 45" xfId="6018" xr:uid="{A24CE3FF-854D-4B42-B76F-BFB5312B92F1}"/>
    <cellStyle name="Millares 45 2" xfId="6415" xr:uid="{D61D4FEF-CC8F-4413-A6CD-969E861B5C12}"/>
    <cellStyle name="Millares 45 2 2" xfId="9106" xr:uid="{9A42FD24-D0C7-47B2-B6EA-3DEA10C53E99}"/>
    <cellStyle name="Millares 45 2 2 2" xfId="19158" xr:uid="{7F401C67-3361-4EC0-A3A5-EA64F2E0260B}"/>
    <cellStyle name="Millares 45 2 2 3" xfId="20476" xr:uid="{737F0B95-5C02-416E-BDA4-A34681C65883}"/>
    <cellStyle name="Millares 45 2 3" xfId="10203" xr:uid="{DF6D4755-3A62-4E68-A126-A2EB93F3D6EE}"/>
    <cellStyle name="Millares 45 2 4" xfId="16611" xr:uid="{FC890996-8787-4459-BB3D-CCE856C4363E}"/>
    <cellStyle name="Millares 45 2 5" xfId="15035" xr:uid="{A3869825-5F68-42A9-9CF0-5B1D7D82C0E8}"/>
    <cellStyle name="Millares 45 3" xfId="6416" xr:uid="{DBC05A8C-6924-4D71-A675-BD6807E8C036}"/>
    <cellStyle name="Millares 45 3 2" xfId="9555" xr:uid="{3B7E7F18-7B93-4159-8A17-8B4F02A8F3EA}"/>
    <cellStyle name="Millares 45 3 2 2" xfId="19607" xr:uid="{048F5A95-0621-4814-B45B-CDF9E54D931A}"/>
    <cellStyle name="Millares 45 3 3" xfId="17057" xr:uid="{F56ADB0D-4E5C-4B5F-913A-7B0C4DD98213}"/>
    <cellStyle name="Millares 45 3 4" xfId="19650" xr:uid="{0F1C3B27-F56B-4361-BE37-32ADD37D5F2E}"/>
    <cellStyle name="Millares 45 3 5" xfId="15623" xr:uid="{29BE52DB-A332-443F-A713-647CA81C2F9B}"/>
    <cellStyle name="Millares 45 4" xfId="6417" xr:uid="{5938816E-6493-47AF-AF07-8755E6A19850}"/>
    <cellStyle name="Millares 45 4 2" xfId="20462" xr:uid="{962CB7BB-61AD-4ED4-805F-7C015D3DD3F6}"/>
    <cellStyle name="Millares 45 4 3" xfId="14549" xr:uid="{6AA4A7D1-6FA2-4445-A50D-E063A7B9034A}"/>
    <cellStyle name="Millares 45 4 4" xfId="16231" xr:uid="{BFE132EB-0E80-4CA4-A5F1-B4962A768BC0}"/>
    <cellStyle name="Millares 45 5" xfId="8678" xr:uid="{F64E9D20-C218-4D75-95F7-405CD9C00FAE}"/>
    <cellStyle name="Millares 45 5 2" xfId="18730" xr:uid="{24E32750-8029-4D99-B4CF-7B8DFEFF30B2}"/>
    <cellStyle name="Millares 45 5 3" xfId="16253" xr:uid="{050DBBCC-7C95-4FA9-B2A2-E1C23723BDA0}"/>
    <cellStyle name="Millares 45 6" xfId="16324" xr:uid="{FBAAB98B-F144-4224-BAD5-C11258D6DD83}"/>
    <cellStyle name="Millares 45 7" xfId="15833" xr:uid="{28669018-94E7-43BB-B31D-DE8DDEE2743B}"/>
    <cellStyle name="Millares 46" xfId="3554" xr:uid="{102D4346-E86F-4496-8684-C6E04881DA68}"/>
    <cellStyle name="Millares 46 2" xfId="6418" xr:uid="{D1C715C3-20D0-49FD-986E-232783AD8FDD}"/>
    <cellStyle name="Millares 46 2 2" xfId="8831" xr:uid="{DEEA28F2-170F-4545-A5AB-B82A1BF4978C}"/>
    <cellStyle name="Millares 46 2 2 2" xfId="18883" xr:uid="{3372917D-63EB-477B-9630-E7C70379C14E}"/>
    <cellStyle name="Millares 46 2 3" xfId="16340" xr:uid="{9E770933-DA2F-4564-8F59-1EA538AD6273}"/>
    <cellStyle name="Millares 46 2 4" xfId="20463" xr:uid="{1E477D51-28C8-4441-972F-85C479B9F4B5}"/>
    <cellStyle name="Millares 46 2 5" xfId="15282" xr:uid="{4F3D2586-7CCB-4A60-BC76-ED4512A66D33}"/>
    <cellStyle name="Millares 46 3" xfId="6419" xr:uid="{DDDB3351-A7D6-4F87-933D-C62F48EAE74D}"/>
    <cellStyle name="Millares 46 3 2" xfId="9279" xr:uid="{214E338D-B07C-421A-9004-3D21D48E526F}"/>
    <cellStyle name="Millares 46 3 2 2" xfId="19331" xr:uid="{47928B0E-6ECD-48A4-82B3-08D4C60E3082}"/>
    <cellStyle name="Millares 46 3 3" xfId="16782" xr:uid="{832EF996-8FD0-4515-A074-33EE431735EC}"/>
    <cellStyle name="Millares 46 3 4" xfId="14888" xr:uid="{5FC5B485-CB52-4F01-80C5-42FA9D82FBC0}"/>
    <cellStyle name="Millares 46 4" xfId="8403" xr:uid="{C452EF36-5FD5-474F-B409-F90FBE840770}"/>
    <cellStyle name="Millares 46 4 2" xfId="18455" xr:uid="{6159DC89-44CB-4BC1-96F3-3F5327904925}"/>
    <cellStyle name="Millares 46 4 3" xfId="14200" xr:uid="{089568ED-A4BB-4BAF-A974-9CE7BF631697}"/>
    <cellStyle name="Millares 46 5" xfId="10204" xr:uid="{149A0C75-C8A8-48B4-AB64-52AFF9D2196E}"/>
    <cellStyle name="Millares 46 5 2" xfId="16289" xr:uid="{8010FE1F-23C4-4827-A4A1-137C84137154}"/>
    <cellStyle name="Millares 46 5 3" xfId="16224" xr:uid="{54B89008-C473-4CE4-9944-156CFAF879E8}"/>
    <cellStyle name="Millares 46 6" xfId="16293" xr:uid="{81A68BA8-2781-4F37-9036-2504468B4174}"/>
    <cellStyle name="Millares 46 7" xfId="16062" xr:uid="{A3AFEFF2-D74C-4FB4-9C8B-659879916F9B}"/>
    <cellStyle name="Millares 47" xfId="3553" xr:uid="{E27E2F7D-5DF8-4C19-9B3F-99171A36E646}"/>
    <cellStyle name="Millares 47 2" xfId="6420" xr:uid="{60F185B7-6FD5-4A3A-89AF-90AB4DA16138}"/>
    <cellStyle name="Millares 47 2 2" xfId="8830" xr:uid="{0690F5E3-EBCF-4A5D-8628-8EC09F4ECF1D}"/>
    <cellStyle name="Millares 47 2 2 2" xfId="18882" xr:uid="{5DB2B8B2-5836-46EB-AF1D-BEB8C30504F2}"/>
    <cellStyle name="Millares 47 2 3" xfId="16339" xr:uid="{DB22D4DF-3502-4304-8DA1-3C90FA1B8CBD}"/>
    <cellStyle name="Millares 47 2 4" xfId="15283" xr:uid="{517198EB-4ACB-470C-9094-EC8601F7CD6F}"/>
    <cellStyle name="Millares 47 3" xfId="6421" xr:uid="{CC8B25AB-AAF2-49FD-8730-D67ED479F82E}"/>
    <cellStyle name="Millares 47 3 2" xfId="9278" xr:uid="{3D54EF6B-CDC2-4767-B257-E28C43E20F5D}"/>
    <cellStyle name="Millares 47 3 2 2" xfId="19330" xr:uid="{9F260D52-CB0B-4593-9B6B-6289AD59AB97}"/>
    <cellStyle name="Millares 47 3 3" xfId="16781" xr:uid="{2A485F25-71AF-4E98-A037-F1F980D8954D}"/>
    <cellStyle name="Millares 47 3 4" xfId="14889" xr:uid="{158E74BF-0F4A-4792-8CE1-06DD47A3578A}"/>
    <cellStyle name="Millares 47 4" xfId="8402" xr:uid="{61C47267-EC72-423F-B240-62E4A985874A}"/>
    <cellStyle name="Millares 47 4 2" xfId="18454" xr:uid="{3265CA0F-C36D-42F2-860C-642237E110D9}"/>
    <cellStyle name="Millares 47 4 3" xfId="14201" xr:uid="{DB85C97B-7EC9-4447-BADE-BE94FE143811}"/>
    <cellStyle name="Millares 47 5" xfId="10202" xr:uid="{C52E4129-27C2-4258-83D1-EAB152F7B67C}"/>
    <cellStyle name="Millares 47 5 2" xfId="16288" xr:uid="{4225A705-C3A5-4B6B-AEBB-CD897341D134}"/>
    <cellStyle name="Millares 47 6" xfId="10890" xr:uid="{D40AFE84-0859-4064-A2ED-AD635A7C1543}"/>
    <cellStyle name="Millares 47 7" xfId="16063" xr:uid="{54B89012-D50D-4479-9F8A-41A862588322}"/>
    <cellStyle name="Millares 48" xfId="3552" xr:uid="{5C7A3A86-1686-4300-94A3-EF2B1EB56C77}"/>
    <cellStyle name="Millares 48 2" xfId="6422" xr:uid="{9F19CB63-B6D8-4F7A-8662-DECEC2A0CB9D}"/>
    <cellStyle name="Millares 48 2 2" xfId="8829" xr:uid="{7AECCA8C-70B3-4E61-BD31-3E3169B46273}"/>
    <cellStyle name="Millares 48 2 2 2" xfId="18881" xr:uid="{DA3F9D83-109E-4E19-A6C6-9060B82539BB}"/>
    <cellStyle name="Millares 48 2 3" xfId="16338" xr:uid="{B923C208-9AE0-4938-94E8-22078FD661FE}"/>
    <cellStyle name="Millares 48 2 4" xfId="15284" xr:uid="{AC6FC74D-AB29-48B8-A01A-DC996D0E7E80}"/>
    <cellStyle name="Millares 48 3" xfId="6423" xr:uid="{3B3A0B8E-716D-40EB-A353-DC8FF5DC9F9A}"/>
    <cellStyle name="Millares 48 3 2" xfId="9277" xr:uid="{19BCDBBD-C243-40B5-8D2E-BFDE37ADDEC8}"/>
    <cellStyle name="Millares 48 3 2 2" xfId="19329" xr:uid="{DCE44A6E-5B5F-422B-9FC0-1A3E48E0B908}"/>
    <cellStyle name="Millares 48 3 3" xfId="16780" xr:uid="{D00E1E4F-288E-4961-9F7C-16D83C95F971}"/>
    <cellStyle name="Millares 48 3 4" xfId="14130" xr:uid="{71DC668A-F9E4-4B1D-892E-52202FD9A5BF}"/>
    <cellStyle name="Millares 48 4" xfId="8401" xr:uid="{D1BE6C2A-6372-436D-9D80-0B5DADF035ED}"/>
    <cellStyle name="Millares 48 4 2" xfId="18453" xr:uid="{38201527-35AC-4D5C-A782-C931A47C2B5B}"/>
    <cellStyle name="Millares 48 4 3" xfId="14202" xr:uid="{01B32013-5F7D-48EA-9C97-17B2BAC202EC}"/>
    <cellStyle name="Millares 48 5" xfId="10206" xr:uid="{C5B6B13A-F773-46CB-8C39-01F5D44AB777}"/>
    <cellStyle name="Millares 48 5 2" xfId="16290" xr:uid="{AD56DFA1-4B2C-4050-9CD7-5A662FFFE352}"/>
    <cellStyle name="Millares 48 5 3" xfId="16225" xr:uid="{CE339C77-36E5-4EB4-B810-453499833B29}"/>
    <cellStyle name="Millares 48 6" xfId="16303" xr:uid="{1BFD2DA0-7C91-48A8-AD37-613CA1CCB7B9}"/>
    <cellStyle name="Millares 48 7" xfId="16064" xr:uid="{E1B44BAF-352C-4620-91C4-858D1AB2E949}"/>
    <cellStyle name="Millares 49" xfId="459" xr:uid="{D7540469-FE15-4319-925B-CA3789E90ED7}"/>
    <cellStyle name="Millares 49 2" xfId="10184" xr:uid="{2E023869-8B19-43EF-B96C-48C29726EC06}"/>
    <cellStyle name="Millares 49 2 2" xfId="19660" xr:uid="{3A73DED9-26BE-44DB-BB1D-DAD294B2D353}"/>
    <cellStyle name="Millares 49 3" xfId="10878" xr:uid="{DD26EA22-5524-4A7E-A8DF-5BF8E0D35A24}"/>
    <cellStyle name="Millares 5" xfId="77" xr:uid="{3F127FAC-3300-4537-AF56-782783470D1F}"/>
    <cellStyle name="Millares 5 10" xfId="11694" xr:uid="{3C5F37F6-007E-4226-A4B0-49279279BFFE}"/>
    <cellStyle name="Millares 5 11" xfId="13498" xr:uid="{71EDB95E-B3C9-42CC-9F1C-06FEF478BC80}"/>
    <cellStyle name="Millares 5 12" xfId="13020" xr:uid="{BFBCFE29-B6D7-45B1-9FF6-B424A3856AE7}"/>
    <cellStyle name="Millares 5 13" xfId="13021" xr:uid="{126FDCFC-B1F1-4C28-8508-3552C4D60285}"/>
    <cellStyle name="Millares 5 14" xfId="13154" xr:uid="{9E2300C7-837E-4FC4-96C5-A710AC0151A5}"/>
    <cellStyle name="Millares 5 15" xfId="11641" xr:uid="{5E88B660-DF36-41EF-AEEA-0D4AA08DE590}"/>
    <cellStyle name="Millares 5 16" xfId="13730" xr:uid="{2D9A7EDF-D794-46BE-A357-971C85224A3E}"/>
    <cellStyle name="Millares 5 17" xfId="13939" xr:uid="{7A3E9711-7ACA-4C37-83C5-EA257D96FB1E}"/>
    <cellStyle name="Millares 5 18" xfId="11963" xr:uid="{AD250C64-6580-4DFA-B2B9-99B104889AE9}"/>
    <cellStyle name="Millares 5 19" xfId="12427" xr:uid="{8D2F5B1E-8471-44A9-8BC5-44608F50C1C0}"/>
    <cellStyle name="Millares 5 2" xfId="2647" xr:uid="{14E32AA0-C343-413E-9077-21814095DD1F}"/>
    <cellStyle name="Millares 5 2 2" xfId="13326" xr:uid="{3889FDFB-423B-48E1-A0BF-173B7A7C0B53}"/>
    <cellStyle name="Millares 5 20" xfId="11666" xr:uid="{EA2CE97D-796E-411A-8370-D21D524243FA}"/>
    <cellStyle name="Millares 5 21" xfId="13263" xr:uid="{F0948AC2-645E-4C77-9BFA-DFCFBDF58BDD}"/>
    <cellStyle name="Millares 5 22" xfId="13499" xr:uid="{AF2347FA-DE09-4344-A3FE-69B1312B2910}"/>
    <cellStyle name="Millares 5 23" xfId="13022" xr:uid="{D94B1227-3CDE-46F8-951D-AEF8F8D079E5}"/>
    <cellStyle name="Millares 5 24" xfId="10930" xr:uid="{471D3006-A5FB-4EFE-9FCB-F8220F1D95AA}"/>
    <cellStyle name="Millares 5 25" xfId="13325" xr:uid="{621F998C-35D4-42A8-ABFA-0D921B76214F}"/>
    <cellStyle name="Millares 5 3" xfId="405" xr:uid="{D6BF5690-7DF7-40B8-8775-546C210B8026}"/>
    <cellStyle name="Millares 5 3 2" xfId="13155" xr:uid="{FA473C7D-D841-4CD0-B788-A22898C37B6F}"/>
    <cellStyle name="Millares 5 4" xfId="6068" xr:uid="{415E8968-9890-477F-A429-82C056A15FEE}"/>
    <cellStyle name="Millares 5 4 2" xfId="13731" xr:uid="{7FA5E15C-6272-4458-AA48-941299574EF4}"/>
    <cellStyle name="Millares 5 4 2 2" xfId="16230" xr:uid="{F5A30880-2421-4FB7-B91F-902F1D6F8337}"/>
    <cellStyle name="Millares 5 4 2 3" xfId="20816" xr:uid="{79D85F17-9686-4311-9D61-082E37A2C2B7}"/>
    <cellStyle name="Millares 5 5" xfId="152" xr:uid="{540B42EF-067F-403E-B922-7E9E788BA919}"/>
    <cellStyle name="Millares 5 5 2" xfId="9124" xr:uid="{9599B1F4-D719-46A9-8BF6-A371DF55D0A8}"/>
    <cellStyle name="Millares 5 5 2 2" xfId="19176" xr:uid="{14A66CCA-11C6-460E-8B90-A81E8F3D1F24}"/>
    <cellStyle name="Millares 5 5 2 3" xfId="16260" xr:uid="{7EACDB73-9742-479B-A70C-AED6BB1FEE38}"/>
    <cellStyle name="Millares 5 5 3" xfId="13940" xr:uid="{99601943-773B-45DE-97CC-9483DAB1036A}"/>
    <cellStyle name="Millares 5 5 3 2" xfId="16627" xr:uid="{E7F0C39D-A614-47BF-9703-2382C1D22CA6}"/>
    <cellStyle name="Millares 5 5 3 3" xfId="20828" xr:uid="{BB0E58F4-7A53-4B86-ABCA-1025C7166488}"/>
    <cellStyle name="Millares 5 5 4" xfId="15019" xr:uid="{02FAEDB0-C43E-4AD5-8C03-52A41BBF0D30}"/>
    <cellStyle name="Millares 5 6" xfId="6424" xr:uid="{CF39B86B-2F0A-4820-A230-164632C53698}"/>
    <cellStyle name="Millares 5 6 2" xfId="13662" xr:uid="{C6D222B6-70CF-45DE-9816-1DC9F16453F1}"/>
    <cellStyle name="Millares 5 7" xfId="12521" xr:uid="{29509E42-8A52-4869-A7D4-CCF7EA5E2552}"/>
    <cellStyle name="Millares 5 8" xfId="11032" xr:uid="{0212AE3E-6333-4085-B6F2-DA188569AE85}"/>
    <cellStyle name="Millares 5 9" xfId="13023" xr:uid="{9EEEF3C9-7B2B-4177-9361-844F909501A2}"/>
    <cellStyle name="Millares 50" xfId="6079" xr:uid="{996A7B1F-6642-4627-ACB8-94BDCFD0648A}"/>
    <cellStyle name="Millares 51" xfId="6028" xr:uid="{122D663B-56AF-424A-83AB-AA25A0F734C8}"/>
    <cellStyle name="Millares 52" xfId="6076" xr:uid="{A56EC7CB-53C7-4741-A5FA-8DD206426528}"/>
    <cellStyle name="Millares 53" xfId="6032" xr:uid="{26859CDE-40A1-46B4-963E-0F607E94BB5E}"/>
    <cellStyle name="Millares 53 2" xfId="10895" xr:uid="{37B80BD1-94D7-4DC4-ADA7-31F651FD351D}"/>
    <cellStyle name="Millares 54" xfId="6067" xr:uid="{BBEA0F68-4F52-4E58-9D0B-3BFB2BD9C64A}"/>
    <cellStyle name="Millares 54 2" xfId="10896" xr:uid="{D8C6613D-87EC-4ABC-8BB5-AC4E3D4DF2CB}"/>
    <cellStyle name="Millares 55" xfId="6054" xr:uid="{8459DFD4-0CBC-4212-B34D-9D0507783F9D}"/>
    <cellStyle name="Millares 56" xfId="6050" xr:uid="{5024FCE5-2592-47DD-8AAD-894393452C0A}"/>
    <cellStyle name="Millares 56 2" xfId="9563" xr:uid="{B41F92D9-6375-4DC5-9B55-F8EB1D5062CC}"/>
    <cellStyle name="Millares 56 2 2" xfId="19615" xr:uid="{A7F441E4-24B5-4779-A5CD-7808E2F7E77F}"/>
    <cellStyle name="Millares 56 2 3" xfId="16275" xr:uid="{51BD7669-70DE-4D5E-8FD1-547CDD21700F}"/>
    <cellStyle name="Millares 56 3" xfId="10897" xr:uid="{94510CA7-12A7-4946-8A20-89347EE8A959}"/>
    <cellStyle name="Millares 56 3 2" xfId="16317" xr:uid="{CE4984A1-0AEC-4515-BCDC-29EB34C53DC2}"/>
    <cellStyle name="Millares 56 3 3" xfId="16210" xr:uid="{51AEBA34-A34A-4B21-B598-63382E3D65D8}"/>
    <cellStyle name="Millares 56 4" xfId="17064" xr:uid="{E0B4F7FE-AE65-442B-A4C8-966AC3EED107}"/>
    <cellStyle name="Millares 56 5" xfId="15612" xr:uid="{CFF8473D-024D-41C6-94B9-1731BDB329E4}"/>
    <cellStyle name="Millares 57" xfId="6078" xr:uid="{C5A29ED5-5B3E-49D2-B134-E3FCD3DDE702}"/>
    <cellStyle name="Millares 57 2" xfId="9572" xr:uid="{0D558E48-83A9-42A6-88FB-EE5361148B09}"/>
    <cellStyle name="Millares 57 2 2" xfId="19624" xr:uid="{A1EBF7A0-EFC4-48B6-B427-7A33ACC002BC}"/>
    <cellStyle name="Millares 57 2 3" xfId="16284" xr:uid="{BA08C205-28F5-4047-BD6D-4D4C3E344EB9}"/>
    <cellStyle name="Millares 57 3" xfId="10899" xr:uid="{3D24B5B6-9F78-49A1-8F20-501AF5B521FA}"/>
    <cellStyle name="Millares 57 3 2" xfId="16318" xr:uid="{CB821676-379C-434D-B0F0-DFC8E7DD7395}"/>
    <cellStyle name="Millares 57 3 3" xfId="16203" xr:uid="{6BE23029-CA4D-414A-B40D-085CB24B8106}"/>
    <cellStyle name="Millares 57 4" xfId="17073" xr:uid="{45D6FDE6-43E0-4C3F-8FB2-093B6FB34C13}"/>
    <cellStyle name="Millares 57 5" xfId="15601" xr:uid="{53C41ECA-D60B-4721-942C-0B96DC55A47C}"/>
    <cellStyle name="Millares 58" xfId="6063" xr:uid="{EF9E9957-BE6C-4710-84C1-14E279BBCBC4}"/>
    <cellStyle name="Millares 58 2" xfId="9567" xr:uid="{68BD39D1-0456-43FF-BE1D-1CB9FBF0F8AE}"/>
    <cellStyle name="Millares 58 2 2" xfId="19619" xr:uid="{87C1D6D7-4E54-492B-820C-729B52B402F5}"/>
    <cellStyle name="Millares 58 2 3" xfId="16279" xr:uid="{FA8159BA-A425-41EC-8221-FC8475417A99}"/>
    <cellStyle name="Millares 58 3" xfId="10829" xr:uid="{89B62027-A9C3-4FE5-88DE-4B217875C83B}"/>
    <cellStyle name="Millares 58 3 2" xfId="16308" xr:uid="{52F6A6E0-4A62-4D14-AC87-C2D9DE49A118}"/>
    <cellStyle name="Millares 58 3 3" xfId="16206" xr:uid="{274562ED-EDCC-4E4A-89D3-C618CCD8D4BE}"/>
    <cellStyle name="Millares 58 4" xfId="17068" xr:uid="{05B2358E-42E5-42C4-AD30-39733535AE16}"/>
    <cellStyle name="Millares 58 5" xfId="15605" xr:uid="{9FADD744-AB6D-4B91-85D0-C4A123789CD5}"/>
    <cellStyle name="Millares 59" xfId="6069" xr:uid="{4C9F310A-FAC6-4028-9E12-C64C085E3603}"/>
    <cellStyle name="Millares 59 2" xfId="9568" xr:uid="{AADB5200-8F6A-4C94-A75A-99F3E8DDE3FF}"/>
    <cellStyle name="Millares 59 2 2" xfId="19620" xr:uid="{0408F6E1-9415-4365-B9EF-7EAF0E41165E}"/>
    <cellStyle name="Millares 59 2 3" xfId="16280" xr:uid="{164A0935-61D4-4964-876C-3497B3750CDD}"/>
    <cellStyle name="Millares 59 3" xfId="10245" xr:uid="{5ABD3A8A-2489-4857-9B3C-517D9055BC8C}"/>
    <cellStyle name="Millares 59 3 2" xfId="16295" xr:uid="{FE4F9B43-D5E6-4737-9DF2-CB03786904C4}"/>
    <cellStyle name="Millares 59 3 3" xfId="16205" xr:uid="{24F217BB-4AF8-4340-9A7A-7F1116EBFF01}"/>
    <cellStyle name="Millares 59 4" xfId="17069" xr:uid="{C65BB39E-212F-4A6D-9289-09AADF079EF0}"/>
    <cellStyle name="Millares 59 5" xfId="15604" xr:uid="{F8278783-27F1-4FF5-9A33-F0E2C88D7BB4}"/>
    <cellStyle name="Millares 6" xfId="401" xr:uid="{8E1F3DC3-E8D7-4FE6-B5D7-FE065C939240}"/>
    <cellStyle name="Millares 6 10" xfId="13636" xr:uid="{D4FB0898-67AA-442D-8D92-92611ABDE122}"/>
    <cellStyle name="Millares 6 11" xfId="14007" xr:uid="{A5EC8817-9603-473B-A448-95E1226D67D2}"/>
    <cellStyle name="Millares 6 12" xfId="12980" xr:uid="{A33CB71E-C7A3-41C0-ADD1-740894E6E1F6}"/>
    <cellStyle name="Millares 6 13" xfId="13941" xr:uid="{7E229B93-0522-413C-A513-AEB879AC46D7}"/>
    <cellStyle name="Millares 6 14" xfId="10931" xr:uid="{F7B1A162-CDB1-4D88-B94B-0E825441C414}"/>
    <cellStyle name="Millares 6 15" xfId="13411" xr:uid="{E9855335-7D88-45BF-AE62-A3C53BEFA609}"/>
    <cellStyle name="Millares 6 16" xfId="10936" xr:uid="{C30FB4EC-0363-4A12-9573-F1EE8A285A96}"/>
    <cellStyle name="Millares 6 17" xfId="10932" xr:uid="{4A5322F6-4E43-431E-A64A-BFF4871B2C0F}"/>
    <cellStyle name="Millares 6 18" xfId="13063" xr:uid="{366798EC-2D2E-47D7-BE56-DE01089A247B}"/>
    <cellStyle name="Millares 6 19" xfId="11042" xr:uid="{776095CC-30E0-4357-B48E-FAB84FEFB143}"/>
    <cellStyle name="Millares 6 2" xfId="2648" xr:uid="{AB72FE58-1C9F-4AB6-8EB2-FF93A50EF6E7}"/>
    <cellStyle name="Millares 6 2 2" xfId="11034" xr:uid="{20A76D00-A13D-468E-BC96-AEBB51B6A570}"/>
    <cellStyle name="Millares 6 20" xfId="13580" xr:uid="{66F815CC-8CCB-468F-9D4F-FAEE8BBD5E82}"/>
    <cellStyle name="Millares 6 21" xfId="13814" xr:uid="{DB0B47B0-4F26-4A59-8643-6A1155B5EB06}"/>
    <cellStyle name="Millares 6 22" xfId="10981" xr:uid="{6383D675-5A72-477D-875B-D73D1CE61F44}"/>
    <cellStyle name="Millares 6 23" xfId="13815" xr:uid="{8DD92BC5-3B0F-44C7-9061-072BDB852BB5}"/>
    <cellStyle name="Millares 6 24" xfId="11258" xr:uid="{87D13502-10E0-4DEF-BF50-6B0F78551992}"/>
    <cellStyle name="Millares 6 25" xfId="13433" xr:uid="{A2DBF95E-C9AD-4F88-8A29-0DCFEF2B539C}"/>
    <cellStyle name="Millares 6 26" xfId="13239" xr:uid="{65EB0711-21BE-481E-87AB-BE7A61369FD6}"/>
    <cellStyle name="Millares 6 3" xfId="12428" xr:uid="{2901FA7A-B7BD-4100-B289-010A253666F4}"/>
    <cellStyle name="Millares 6 4" xfId="13327" xr:uid="{A390BE98-7DF3-4496-9615-C8F7238C2303}"/>
    <cellStyle name="Millares 6 5" xfId="10922" xr:uid="{7B65F80A-776C-4B45-8C08-559C6D99808B}"/>
    <cellStyle name="Millares 6 6" xfId="13500" xr:uid="{CC82679D-8D84-44C6-A44B-0580AE8569CA}"/>
    <cellStyle name="Millares 6 7" xfId="10944" xr:uid="{82DAD0C7-F8EF-44DC-97FB-F08BB9E7E6F6}"/>
    <cellStyle name="Millares 6 8" xfId="11511" xr:uid="{019F08A1-F763-4497-996B-84477C1CB670}"/>
    <cellStyle name="Millares 6 9" xfId="11685" xr:uid="{89816940-4E2E-4E59-897F-80B3F493A94B}"/>
    <cellStyle name="Millares 60" xfId="6075" xr:uid="{0DAA2BAE-95CD-4664-B288-E023296B2F3D}"/>
    <cellStyle name="Millares 60 2" xfId="9570" xr:uid="{8887037D-23BB-4A75-A1ED-C9186A50C38D}"/>
    <cellStyle name="Millares 60 2 2" xfId="19622" xr:uid="{FA7F126D-ED6B-4062-AB68-D80502EBACC4}"/>
    <cellStyle name="Millares 60 2 3" xfId="16282" xr:uid="{DD015B64-6235-4138-BFEA-B4B82C35AC7B}"/>
    <cellStyle name="Millares 60 3" xfId="10900" xr:uid="{FA439C04-A0BD-44DB-9F3A-C9E915E487CC}"/>
    <cellStyle name="Millares 60 3 2" xfId="16319" xr:uid="{FB91CCEC-46DE-4845-91AA-EFDE75BA31C1}"/>
    <cellStyle name="Millares 60 3 3" xfId="16204" xr:uid="{CE2F3F46-0250-410B-BC5D-D6E730D87D31}"/>
    <cellStyle name="Millares 60 4" xfId="17071" xr:uid="{6434CE47-50D4-4995-A432-B5EA9E919B60}"/>
    <cellStyle name="Millares 60 5" xfId="15603" xr:uid="{D233A42F-AEB3-4617-8CAA-81B8E5FB0C04}"/>
    <cellStyle name="Millares 61" xfId="6053" xr:uid="{CE24B24A-3B4A-4336-80C9-CD23CBC85AD4}"/>
    <cellStyle name="Millares 61 2" xfId="9564" xr:uid="{21E0DBC8-5F8B-4558-A231-735CF27A6189}"/>
    <cellStyle name="Millares 61 2 2" xfId="19616" xr:uid="{487CB2B1-0386-4564-A39E-BAECD694EBB7}"/>
    <cellStyle name="Millares 61 2 3" xfId="16276" xr:uid="{01D446B8-FCF9-4116-AB0C-F09A09D94741}"/>
    <cellStyle name="Millares 61 3" xfId="10902" xr:uid="{3F6FE3E6-E32A-4C90-9750-43C34B4AA16C}"/>
    <cellStyle name="Millares 61 3 2" xfId="16321" xr:uid="{05FA1536-104E-479C-A8B7-405B5E600FE8}"/>
    <cellStyle name="Millares 61 3 3" xfId="16209" xr:uid="{0AD565FA-31CD-4C17-9266-1302D1467C06}"/>
    <cellStyle name="Millares 61 4" xfId="17065" xr:uid="{2BEAA97E-74B4-47F6-BD8E-E588BA2F1862}"/>
    <cellStyle name="Millares 61 5" xfId="15611" xr:uid="{06B04230-3760-461D-AC16-7446105F9344}"/>
    <cellStyle name="Millares 62" xfId="6034" xr:uid="{7DE461BE-8212-4E01-B27A-E35E258A4E8C}"/>
    <cellStyle name="Millares 62 2" xfId="9561" xr:uid="{AE40633F-D478-487D-B612-3CE48586BD0E}"/>
    <cellStyle name="Millares 62 2 2" xfId="19613" xr:uid="{2E6F4E0C-B9FB-48B9-896E-42A31DA59922}"/>
    <cellStyle name="Millares 62 2 3" xfId="16273" xr:uid="{62BA4932-495D-4F24-96AB-3A713D2B5D7D}"/>
    <cellStyle name="Millares 62 3" xfId="10828" xr:uid="{71FFB26E-9644-4F46-9C86-FE46CE1A123F}"/>
    <cellStyle name="Millares 62 3 2" xfId="16307" xr:uid="{288D1447-32D6-485C-AA1C-4DA5C1CCD2BE}"/>
    <cellStyle name="Millares 62 3 3" xfId="16212" xr:uid="{A41E9CE9-12DB-4C51-A5F6-0004EFEFB57D}"/>
    <cellStyle name="Millares 62 4" xfId="17062" xr:uid="{D390EA93-DE4F-4C6E-BED6-EFEF4149BE36}"/>
    <cellStyle name="Millares 62 5" xfId="15617" xr:uid="{8DB17086-C357-4F2B-B8D3-C833AA4E19E2}"/>
    <cellStyle name="Millares 63" xfId="6031" xr:uid="{3D145236-A39A-4C97-BFD9-6EDBB98F237B}"/>
    <cellStyle name="Millares 63 2" xfId="9559" xr:uid="{3224A3D0-0F27-41CB-BB04-4453B0549A89}"/>
    <cellStyle name="Millares 63 2 2" xfId="19611" xr:uid="{284D1A3E-CAE3-4B6E-932B-A7AA96C4F32A}"/>
    <cellStyle name="Millares 63 2 3" xfId="16271" xr:uid="{FA4B5594-16A4-45AC-9CAF-5FE7DDEB8C72}"/>
    <cellStyle name="Millares 63 3" xfId="10903" xr:uid="{EE7E8ED4-879A-4B1F-A0C3-A4CB11E30538}"/>
    <cellStyle name="Millares 63 3 2" xfId="16322" xr:uid="{435683CC-CC95-43D3-A779-5579554EF185}"/>
    <cellStyle name="Millares 63 3 3" xfId="16214" xr:uid="{4E6072A5-EEA4-41CE-815F-67DD6F8086AB}"/>
    <cellStyle name="Millares 63 4" xfId="17060" xr:uid="{FB538B3A-F358-4D77-85BE-28DAC8F464D6}"/>
    <cellStyle name="Millares 63 5" xfId="16148" xr:uid="{A765C1EF-F37F-452E-B8C2-89F95A4EA2E2}"/>
    <cellStyle name="Millares 64" xfId="6077" xr:uid="{8D0DBA7E-27F3-408C-A592-F7555F67C61E}"/>
    <cellStyle name="Millares 64 2" xfId="9571" xr:uid="{62CE2C18-9F02-4296-AE90-C1D249BF0211}"/>
    <cellStyle name="Millares 64 2 2" xfId="19623" xr:uid="{61827341-C93C-49C9-B8D8-EE407DC6BAD8}"/>
    <cellStyle name="Millares 64 2 3" xfId="16283" xr:uid="{BCF94886-BA9E-4A63-A53C-D7CB3CA8AC7D}"/>
    <cellStyle name="Millares 64 3" xfId="10840" xr:uid="{7E80644B-B246-4856-BB3A-BC66335057BD}"/>
    <cellStyle name="Millares 64 3 2" xfId="16314" xr:uid="{70A7311D-CB0F-47D7-A0AC-326DC1945FF3}"/>
    <cellStyle name="Millares 64 3 3" xfId="14199" xr:uid="{DDBDDD37-8EB4-4D2E-B9B5-023BC801E7F7}"/>
    <cellStyle name="Millares 64 4" xfId="17072" xr:uid="{CF27300E-43B3-4013-A55D-D9EC72280A1A}"/>
    <cellStyle name="Millares 64 5" xfId="15602" xr:uid="{19239B29-41B8-46BC-8A19-2F68EF5D8E37}"/>
    <cellStyle name="Millares 65" xfId="6033" xr:uid="{9C4DE51D-F4BC-45CE-8A48-539F8DDB5D80}"/>
    <cellStyle name="Millares 65 2" xfId="9560" xr:uid="{58FA8836-142E-46E3-978F-258EF0143DEC}"/>
    <cellStyle name="Millares 65 2 2" xfId="19612" xr:uid="{709EF8CB-3589-4916-A20B-A9538F427BB2}"/>
    <cellStyle name="Millares 65 2 3" xfId="16272" xr:uid="{26DE1E9D-8C25-445D-8B6F-FA67093DC361}"/>
    <cellStyle name="Millares 65 3" xfId="10400" xr:uid="{BE01C545-8373-41B2-92FE-21D13A0E869E}"/>
    <cellStyle name="Millares 65 3 2" xfId="16306" xr:uid="{A0548200-B625-48B9-80BB-1974E458AE47}"/>
    <cellStyle name="Millares 65 3 3" xfId="16213" xr:uid="{DCDD9276-4EE2-461B-A7BE-B505A6FA6638}"/>
    <cellStyle name="Millares 65 4" xfId="17061" xr:uid="{15B4727E-A2B6-4D0A-AABB-DE78097226E3}"/>
    <cellStyle name="Millares 65 5" xfId="15618" xr:uid="{9816DA90-722D-44A5-BA3C-A3CEAD828ADE}"/>
    <cellStyle name="Millares 66" xfId="136" xr:uid="{88957679-F3D2-458C-BDC6-0766C13F5DA5}"/>
    <cellStyle name="Millares 66 2" xfId="10901" xr:uid="{3368C04D-96C6-41C6-921F-295619F11C9B}"/>
    <cellStyle name="Millares 66 2 2" xfId="16320" xr:uid="{F628D03C-5064-43BE-95D5-3B5852935968}"/>
    <cellStyle name="Millares 66 2 3" xfId="16233" xr:uid="{C1F6FDF5-28FC-4638-83A9-3500E0C46385}"/>
    <cellStyle name="Millares 66 3" xfId="13328" xr:uid="{04C60954-7255-4EF0-8231-32195499FAD8}"/>
    <cellStyle name="Millares 66 4" xfId="16239" xr:uid="{8EA2E421-F4A4-4DE6-91F2-FDCB418F720E}"/>
    <cellStyle name="Millares 67" xfId="6425" xr:uid="{A54FDF61-9C4F-4AC7-9681-EC40A583FE37}"/>
    <cellStyle name="Millares 67 2" xfId="9113" xr:uid="{6420C062-B444-483C-A20D-F5136E9B35DA}"/>
    <cellStyle name="Millares 67 2 2" xfId="19165" xr:uid="{50487CB9-F63B-48F7-86C5-B756EF0D0AEF}"/>
    <cellStyle name="Millares 67 3" xfId="10830" xr:uid="{02B28028-29C9-41E5-BB23-F5AE8EA7F25D}"/>
    <cellStyle name="Millares 67 4" xfId="16617" xr:uid="{42A476A8-E81A-4EFF-B323-5B2C3914F0F8}"/>
    <cellStyle name="Millares 67 5" xfId="15028" xr:uid="{2F78916E-8DAB-48CA-B54F-EB946ED96E7A}"/>
    <cellStyle name="Millares 68" xfId="6426" xr:uid="{4D3ADB7C-03E3-4433-9433-8A70201804B7}"/>
    <cellStyle name="Millares 68 2" xfId="9552" xr:uid="{35233CA5-A355-468E-B891-E2A8FBC55DB6}"/>
    <cellStyle name="Millares 68 2 2" xfId="19604" xr:uid="{B6C261AE-D697-4D66-B856-9E815611DBA8}"/>
    <cellStyle name="Millares 68 2 3" xfId="20478" xr:uid="{B62D568D-7138-464F-B7E9-E462840AF3A5}"/>
    <cellStyle name="Millares 68 3" xfId="10218" xr:uid="{A44F374A-1598-43F0-81AB-47F25F19DFC4}"/>
    <cellStyle name="Millares 68 4" xfId="17055" xr:uid="{67ADF8BE-CA91-4F95-A69E-6B2661606273}"/>
    <cellStyle name="Millares 68 5" xfId="15626" xr:uid="{2F0DB55C-6681-4EA8-865C-FFEE71A066DF}"/>
    <cellStyle name="Millares 69" xfId="6427" xr:uid="{434D34B0-4146-4754-BE6C-0A542156BC4C}"/>
    <cellStyle name="Millares 69 2" xfId="9573" xr:uid="{5C999F4F-AA1C-451B-B7B3-86EAA1603F44}"/>
    <cellStyle name="Millares 69 2 2" xfId="19625" xr:uid="{F4774889-D10F-4ABB-B195-DBCB83B1EC23}"/>
    <cellStyle name="Millares 69 3" xfId="10851" xr:uid="{EEE63AB8-4ED9-4C5A-BFDE-772D4DDDD4E9}"/>
    <cellStyle name="Millares 69 4" xfId="17074" xr:uid="{9B5AF7D4-A8BA-465A-8EE5-CEED5E89331C}"/>
    <cellStyle name="Millares 69 5" xfId="15600" xr:uid="{EDA056CB-681C-4258-8E48-5CCA65B73A0A}"/>
    <cellStyle name="Millares 7" xfId="472" xr:uid="{3758FAAF-D373-465E-987C-951F2F197123}"/>
    <cellStyle name="Millares 7 10" xfId="12281" xr:uid="{A296E666-6CD5-409D-968B-0D847CF02AB3}"/>
    <cellStyle name="Millares 7 11" xfId="13156" xr:uid="{CF6FC0AC-6141-4057-AF7D-89BEC3602F82}"/>
    <cellStyle name="Millares 7 12" xfId="13732" xr:uid="{2B45F231-5AFF-4FA9-88A6-A56B2499E613}"/>
    <cellStyle name="Millares 7 13" xfId="13087" xr:uid="{B2A4C39A-926B-4A57-BD53-B8DFF8FAF156}"/>
    <cellStyle name="Millares 7 14" xfId="13942" xr:uid="{595F9CF5-8F10-47F1-9BFB-D4AE0E990955}"/>
    <cellStyle name="Millares 7 15" xfId="12282" xr:uid="{E21B72C9-5DF7-4C83-AF41-4D0C392FFE76}"/>
    <cellStyle name="Millares 7 16" xfId="12283" xr:uid="{6BD2B5B9-18A1-4FBF-AD64-D790315D579B}"/>
    <cellStyle name="Millares 7 17" xfId="11512" xr:uid="{56B6BC7B-B337-4C9D-B5B9-3C9A2BA08AB1}"/>
    <cellStyle name="Millares 7 18" xfId="13242" xr:uid="{120BDD62-4370-4B25-B138-75F2EBF8DA20}"/>
    <cellStyle name="Millares 7 19" xfId="13639" xr:uid="{CFA14781-0273-4722-885C-AF7320595310}"/>
    <cellStyle name="Millares 7 2" xfId="2649" xr:uid="{91F2895F-6972-40FE-87CC-7554BD3988E9}"/>
    <cellStyle name="Millares 7 2 2" xfId="13602" xr:uid="{2B4DD6BE-BD89-487F-BFC6-6D702CC257E7}"/>
    <cellStyle name="Millares 7 20" xfId="13943" xr:uid="{168F4C33-F37A-444F-85B0-550DB80A14A5}"/>
    <cellStyle name="Millares 7 21" xfId="12429" xr:uid="{6545E5EF-ECC9-4EA6-9D2A-6D560ECC460B}"/>
    <cellStyle name="Millares 7 22" xfId="13414" xr:uid="{C89B22BE-46A8-47D7-9DAC-875DEE74DF47}"/>
    <cellStyle name="Millares 7 23" xfId="12284" xr:uid="{0FEA8D3C-F6C5-475C-BE07-9974A09DE958}"/>
    <cellStyle name="Millares 7 24" xfId="12285" xr:uid="{3F1F9D9F-BCDB-406B-94E0-934072FD7666}"/>
    <cellStyle name="Millares 7 25" xfId="12280" xr:uid="{E1158576-F29B-4231-935D-334C034C588E}"/>
    <cellStyle name="Millares 7 3" xfId="13066" xr:uid="{D7C3C2E6-9823-4846-A1C8-9824FE9B0685}"/>
    <cellStyle name="Millares 7 4" xfId="11281" xr:uid="{0B6EAF1E-9359-46C1-BE83-C907F15B0B70}"/>
    <cellStyle name="Millares 7 5" xfId="13581" xr:uid="{29FB4E66-AB96-40EB-B971-C9F4727B75A7}"/>
    <cellStyle name="Millares 7 6" xfId="12524" xr:uid="{385F9A69-DDAF-4D4A-A382-CC82AC90A1A1}"/>
    <cellStyle name="Millares 7 7" xfId="12286" xr:uid="{8E1696E4-6C85-46E9-B2E7-5B8906D5950A}"/>
    <cellStyle name="Millares 7 8" xfId="13329" xr:uid="{18F5713E-D1B0-4108-B13B-34A8012BBDF5}"/>
    <cellStyle name="Millares 7 9" xfId="12287" xr:uid="{CA03D7DC-67D7-4848-8ED8-6C1CE85E7599}"/>
    <cellStyle name="Millares 70" xfId="6428" xr:uid="{BDCC54EE-7DDD-4A26-95C3-72C6E3E5FFCA}"/>
    <cellStyle name="Millares 70 2" xfId="9133" xr:uid="{3A3C26C6-8C79-4EE8-BBE1-C151B4002E0B}"/>
    <cellStyle name="Millares 70 2 2" xfId="19185" xr:uid="{46E47FE5-D82E-4F67-92EE-2656F289C85E}"/>
    <cellStyle name="Millares 70 3" xfId="10906" xr:uid="{B5FE376C-78AB-4FF6-A0ED-1063CCE49487}"/>
    <cellStyle name="Millares 70 4" xfId="16636" xr:uid="{C97D57FD-C7F9-416F-AA55-D9FC47ED3EEB}"/>
    <cellStyle name="Millares 71" xfId="6429" xr:uid="{2E0EFF58-22AF-46D3-8877-E5F45315DD5A}"/>
    <cellStyle name="Millares 71 2" xfId="10834" xr:uid="{9BD64568-0CA4-4F92-961B-68DC474D5771}"/>
    <cellStyle name="Millares 71 3" xfId="17076" xr:uid="{857A693C-AA3A-48D8-A32F-E3D273497C20}"/>
    <cellStyle name="Millares 72" xfId="6430" xr:uid="{4C4834FD-29DE-4C8F-A893-E6833F88A212}"/>
    <cellStyle name="Millares 72 2" xfId="10911" xr:uid="{F033F33A-F1EA-4F0D-899A-0BBFDD5EBA5F}"/>
    <cellStyle name="Millares 72 3" xfId="17674" xr:uid="{F90512C6-0444-41EB-889B-C14A14AD50FB}"/>
    <cellStyle name="Millares 73" xfId="6081" xr:uid="{4B65BDDB-9C43-42F1-A185-9C44FEF03EAE}"/>
    <cellStyle name="Millares 73 2" xfId="10866" xr:uid="{5055079D-3A40-4FE5-A0B0-34CDEBDD5886}"/>
    <cellStyle name="Millares 73 3" xfId="17686" xr:uid="{F71D7ECD-C3D0-4E0E-AB1B-55AD23BAD845}"/>
    <cellStyle name="Millares 74" xfId="6431" xr:uid="{29B56121-84D2-436E-B61F-8DD93B373073}"/>
    <cellStyle name="Millares 74 2" xfId="10891" xr:uid="{63FF462F-5A49-4A48-B752-B3727F5D2649}"/>
    <cellStyle name="Millares 74 3" xfId="17673" xr:uid="{916C6F40-4AB4-4FF6-9478-58AEAFBDE7E4}"/>
    <cellStyle name="Millares 75" xfId="6432" xr:uid="{4A1A1329-B683-4F62-B9EB-DDDB3E8D14BD}"/>
    <cellStyle name="Millares 75 2" xfId="10910" xr:uid="{930C6CDC-C44D-426C-87BE-BAD074E3CA9E}"/>
    <cellStyle name="Millares 75 3" xfId="17685" xr:uid="{FD6CB637-01BB-4390-A8E1-A6BB6CAB4FFD}"/>
    <cellStyle name="Millares 76" xfId="6433" xr:uid="{682134AF-9C7C-43B4-80B2-E1F6F9310261}"/>
    <cellStyle name="Millares 76 2" xfId="10231" xr:uid="{C5B2C1A1-7454-4371-895A-7A88D9E3071B}"/>
    <cellStyle name="Millares 76 3" xfId="17672" xr:uid="{CF765D23-1565-4995-BB08-3CBBE56D8F5F}"/>
    <cellStyle name="Millares 77" xfId="6084" xr:uid="{D6D50EC6-A99C-4365-9F53-E23709DF08DA}"/>
    <cellStyle name="Millares 77 2" xfId="10235" xr:uid="{8FE5C77C-46A4-4642-A494-91EEBDE4896E}"/>
    <cellStyle name="Millares 77 3" xfId="17684" xr:uid="{B18F5ED0-9EF7-4D1E-8DD3-252FEEA656C9}"/>
    <cellStyle name="Millares 78" xfId="6434" xr:uid="{0322A4AA-DD88-4C41-9507-F791E9C68610}"/>
    <cellStyle name="Millares 78 2" xfId="10831" xr:uid="{B9E4B9F8-24B2-40E7-A6A5-0A6AD17D6E7A}"/>
    <cellStyle name="Millares 78 3" xfId="17671" xr:uid="{F2F8ECD1-1058-4330-A9F4-128338AFC7A2}"/>
    <cellStyle name="Millares 79" xfId="6085" xr:uid="{B5205311-C71B-42BC-832A-C0AE5DEC832F}"/>
    <cellStyle name="Millares 79 2" xfId="10240" xr:uid="{6005FFDC-3F12-4F80-ADA8-9A2AAB4B49BB}"/>
    <cellStyle name="Millares 79 3" xfId="17683" xr:uid="{98F8621D-5BC1-444E-B5BE-FCC95B5476E9}"/>
    <cellStyle name="Millares 8" xfId="2650" xr:uid="{F01DBC9A-C7F4-4FCD-882C-A9F72007AE6C}"/>
    <cellStyle name="Millares 8 10" xfId="12288" xr:uid="{73B5E899-E81A-460D-94DA-49D813166B82}"/>
    <cellStyle name="Millares 8 11" xfId="13501" xr:uid="{F32AE769-405C-4888-8891-4C82D9347E23}"/>
    <cellStyle name="Millares 8 12" xfId="12289" xr:uid="{97859FAF-D8CD-471B-95BE-5A36FEBBADC4}"/>
    <cellStyle name="Millares 8 13" xfId="12290" xr:uid="{4444AB19-E29E-40EA-98E7-6E6B333DCA27}"/>
    <cellStyle name="Millares 8 14" xfId="11642" xr:uid="{3A3A755B-0EE0-4C44-B1DC-340F08D2D21D}"/>
    <cellStyle name="Millares 8 15" xfId="13157" xr:uid="{AD6E57F9-EC56-4784-9BC4-BD683A2F8C6B}"/>
    <cellStyle name="Millares 8 16" xfId="13733" xr:uid="{9ECAD8E2-A00D-440F-9E3C-DEE9EF9EF660}"/>
    <cellStyle name="Millares 8 17" xfId="13944" xr:uid="{BC62A426-D07E-44F1-972A-9EE3B3EED4B7}"/>
    <cellStyle name="Millares 8 18" xfId="13774" xr:uid="{BF15670C-1844-434A-9B43-60F9E610FFA5}"/>
    <cellStyle name="Millares 8 19" xfId="12430" xr:uid="{4109CF98-41AD-40A4-82FF-C64A8B5E1713}"/>
    <cellStyle name="Millares 8 2" xfId="12291" xr:uid="{ED56ADF8-A054-4A9F-8ACD-8E3D89B5ABFC}"/>
    <cellStyle name="Millares 8 2 2" xfId="12292" xr:uid="{C6B1A10A-EDF9-4E2B-B77B-C931911781C1}"/>
    <cellStyle name="Millares 8 2 3" xfId="19795" xr:uid="{F50847E1-01C0-42FD-A96B-523B8514AA57}"/>
    <cellStyle name="Millares 8 2 4" xfId="20668" xr:uid="{9A892362-9206-4E37-90A9-C4576CF1902C}"/>
    <cellStyle name="Millares 8 20" xfId="13241" xr:uid="{5CC8D150-E9BB-4521-AB60-6E8A870A5C91}"/>
    <cellStyle name="Millares 8 21" xfId="13638" xr:uid="{562629B3-0079-42D6-9979-7FC138A5B749}"/>
    <cellStyle name="Millares 8 22" xfId="13945" xr:uid="{AF1109CB-C31D-4E98-88A2-558839791FA1}"/>
    <cellStyle name="Millares 8 23" xfId="13543" xr:uid="{545A30A2-A195-40F6-8BD3-725728C442F6}"/>
    <cellStyle name="Millares 8 24" xfId="12293" xr:uid="{0C857428-56D8-4DC3-B80D-9CD9FBB84C5C}"/>
    <cellStyle name="Millares 8 25" xfId="13413" xr:uid="{E3675B11-884B-4D17-98BB-87FB117C6BFE}"/>
    <cellStyle name="Millares 8 26" xfId="13330" xr:uid="{7F4942F8-1A87-4A77-8006-34983B72724F}"/>
    <cellStyle name="Millares 8 3" xfId="11513" xr:uid="{29227906-4D1C-47E6-BFE5-D88D53FC495E}"/>
    <cellStyle name="Millares 8 4" xfId="12294" xr:uid="{161C56DB-1053-4C0C-A75D-7DB3E597596E}"/>
    <cellStyle name="Millares 8 5" xfId="13065" xr:uid="{17913CAD-1A2D-4680-A6DB-9E70C477707B}"/>
    <cellStyle name="Millares 8 6" xfId="10982" xr:uid="{C9AA8867-3755-4D6E-81F1-6C5AB7CB16B0}"/>
    <cellStyle name="Millares 8 7" xfId="11643" xr:uid="{A6980AC1-52BA-42BE-B282-C543C241F04E}"/>
    <cellStyle name="Millares 8 8" xfId="13582" xr:uid="{45A048DC-85D1-4813-840B-BF3D21CD169D}"/>
    <cellStyle name="Millares 8 9" xfId="13816" xr:uid="{967CF65A-B102-446A-9E55-26BE23EEFD4B}"/>
    <cellStyle name="Millares 80" xfId="6435" xr:uid="{BE9B7C14-EB96-45DB-937E-29B8788E8572}"/>
    <cellStyle name="Millares 80 2" xfId="10232" xr:uid="{37FC4368-C37F-4591-886C-DED966F4B5D3}"/>
    <cellStyle name="Millares 80 3" xfId="17080" xr:uid="{58CDF3FD-B1F3-4104-8249-3C6B437763F1}"/>
    <cellStyle name="Millares 81" xfId="6436" xr:uid="{5EE250B0-A69D-41D1-A459-777069CDB797}"/>
    <cellStyle name="Millares 81 2" xfId="10912" xr:uid="{C358988D-51F7-4F62-B739-3868400F07FE}"/>
    <cellStyle name="Millares 81 3" xfId="17658" xr:uid="{47459C66-3982-47DF-BD9E-CD93F02B0545}"/>
    <cellStyle name="Millares 82" xfId="6437" xr:uid="{8BF94A62-6280-4BFF-AD26-CD74BDFDA357}"/>
    <cellStyle name="Millares 82 2" xfId="10907" xr:uid="{7FF149A6-8FA7-42C6-B957-93F27A5882A9}"/>
    <cellStyle name="Millares 82 3" xfId="17670" xr:uid="{8AE8CDC0-F292-4948-9552-AB347093D5B6}"/>
    <cellStyle name="Millares 83" xfId="6438" xr:uid="{63ED2A5C-17E7-4A86-9218-494C849B3170}"/>
    <cellStyle name="Millares 83 2" xfId="10908" xr:uid="{56C600EF-09D2-4133-995E-AB6B227A97DA}"/>
    <cellStyle name="Millares 83 3" xfId="17681" xr:uid="{905019D1-B4CB-4CD7-B9E5-31CB3754EC8B}"/>
    <cellStyle name="Millares 84" xfId="6439" xr:uid="{70F63FCB-2926-49E5-877C-98D3D07248C3}"/>
    <cellStyle name="Millares 84 2" xfId="10913" xr:uid="{D544D887-AEE6-40F1-8CDB-9300277C9028}"/>
    <cellStyle name="Millares 84 3" xfId="17081" xr:uid="{45DF1342-EDFB-48B4-8F23-0CD9DC446CFB}"/>
    <cellStyle name="Millares 85" xfId="6440" xr:uid="{033E1FCA-1FB3-40EC-A269-B2828A08E897}"/>
    <cellStyle name="Millares 85 2" xfId="10222" xr:uid="{96CEAE0F-818B-4DE2-83EF-FEFDFFCEE51F}"/>
    <cellStyle name="Millares 85 3" xfId="17662" xr:uid="{201FE7D3-3551-47DD-AA3B-E2DF2AE35032}"/>
    <cellStyle name="Millares 86" xfId="6441" xr:uid="{48242456-99F0-44B7-A34C-D91E08CBD92A}"/>
    <cellStyle name="Millares 86 2" xfId="10909" xr:uid="{E06C5DB3-0380-4337-9CAF-D52ECBE85CDE}"/>
    <cellStyle name="Millares 86 3" xfId="17669" xr:uid="{CEF1E6C8-5F15-4A3A-9058-2B78CAC50722}"/>
    <cellStyle name="Millares 87" xfId="6442" xr:uid="{C93CBDA7-2815-4803-A448-D9BAF08FCF72}"/>
    <cellStyle name="Millares 87 2" xfId="17664" xr:uid="{B1E047BC-C77C-4019-9E54-D50AF5734C22}"/>
    <cellStyle name="Millares 88" xfId="490" xr:uid="{33102D0C-AFE1-4653-8B3B-52F0B8B58E11}"/>
    <cellStyle name="Millares 88 2" xfId="6443" xr:uid="{4D6C8A0F-7E39-49D0-9154-5335CAF7E839}"/>
    <cellStyle name="Millares 88 2 2" xfId="8691" xr:uid="{2FD9B7D1-0619-4E4A-848D-2684F9338DB1}"/>
    <cellStyle name="Millares 88 2 2 2" xfId="18743" xr:uid="{9FA90BC1-3F60-4A6F-9ABF-751B7EB85BBD}"/>
    <cellStyle name="Millares 88 2 3" xfId="16329" xr:uid="{FC7639EF-6E25-4B14-A91F-DAA8E3BAF120}"/>
    <cellStyle name="Millares 88 2 4" xfId="15822" xr:uid="{16E9928A-01AB-4747-97A9-5C131EAE977E}"/>
    <cellStyle name="Millares 88 3" xfId="6444" xr:uid="{E4B67388-A38B-4551-958E-B160F6EB7F6A}"/>
    <cellStyle name="Millares 88 3 2" xfId="9139" xr:uid="{C5C30396-80B8-4C6D-900D-AB61BB7B35DB}"/>
    <cellStyle name="Millares 88 3 2 2" xfId="19191" xr:uid="{01F7CC0F-6210-48C4-BA21-459D488CDE9F}"/>
    <cellStyle name="Millares 88 3 3" xfId="16641" xr:uid="{ACEB00B6-9FFB-46E8-B70A-D9CEB829128A}"/>
    <cellStyle name="Millares 88 3 4" xfId="15006" xr:uid="{994A7ACD-E8AC-4961-BE28-D7D0651DD0D1}"/>
    <cellStyle name="Millares 88 4" xfId="8263" xr:uid="{C152F110-7F6C-49DF-A0B0-0E7615B11129}"/>
    <cellStyle name="Millares 88 4 2" xfId="18315" xr:uid="{486B6438-F600-4FDC-8D78-78371F37BD31}"/>
    <cellStyle name="Millares 88 4 3" xfId="14179" xr:uid="{BF76E892-A270-41FF-8E31-D405266E3D32}"/>
    <cellStyle name="Millares 88 5" xfId="10167" xr:uid="{8CBADBF1-7C16-42EF-9679-E3F27FC5B709}"/>
    <cellStyle name="Millares 88 5 2" xfId="16286" xr:uid="{B64ECC5D-A493-4B28-9120-67C9D9947A07}"/>
    <cellStyle name="Millares 88 6" xfId="10872" xr:uid="{A0C214B2-D3F3-4229-975C-8BFC14A34768}"/>
    <cellStyle name="Millares 88 7" xfId="12295" xr:uid="{85B20950-2E33-44A5-878D-059BF42DC1BF}"/>
    <cellStyle name="Millares 88 7 2" xfId="16193" xr:uid="{263A2E62-8A56-4572-AB5D-848029AB794F}"/>
    <cellStyle name="Millares 88 7 3" xfId="20669" xr:uid="{354952F2-2779-45E3-ADB8-9B327DF542FB}"/>
    <cellStyle name="Millares 89" xfId="6086" xr:uid="{E91DF951-7EF8-4F33-8A5A-DD43045BE772}"/>
    <cellStyle name="Millares 89 2" xfId="17677" xr:uid="{2218E47B-8BA0-4C40-B60A-1DBD3D62CFD9}"/>
    <cellStyle name="Millares 89 3" xfId="19628" xr:uid="{0B1D67F9-062E-4182-BA84-2741089A3E45}"/>
    <cellStyle name="Millares 9" xfId="2651" xr:uid="{8916ED35-0636-4915-801F-AACF74AA012F}"/>
    <cellStyle name="Millares 9 10" xfId="9599" xr:uid="{EAB69B02-554C-445F-B716-693F7F39610D}"/>
    <cellStyle name="Millares 9 10 2" xfId="12297" xr:uid="{5ECB9612-F3CD-4703-A9D9-C7EF21E96CDF}"/>
    <cellStyle name="Millares 9 11" xfId="10258" xr:uid="{D0E40BC0-F423-4506-8512-FE298B0681B5}"/>
    <cellStyle name="Millares 9 11 2" xfId="13158" xr:uid="{90DC6C3E-A489-408E-99DB-87BAC4B19ACE}"/>
    <cellStyle name="Millares 9 12" xfId="13200" xr:uid="{C3D23FF5-DEDC-44F1-A76F-91F94B3C6F70}"/>
    <cellStyle name="Millares 9 12 2" xfId="16179" xr:uid="{A02F1CBF-29CC-4EF9-ACF8-6E12EE336DB0}"/>
    <cellStyle name="Millares 9 12 3" xfId="20783" xr:uid="{BDD017DF-5F7A-438C-8C14-4E39735AF20E}"/>
    <cellStyle name="Millares 9 13" xfId="11764" xr:uid="{ED3A87AB-6A94-43BF-9CBE-4DE34211F4BF}"/>
    <cellStyle name="Millares 9 14" xfId="13734" xr:uid="{2F385829-50D6-4321-98BF-706D5C684CDE}"/>
    <cellStyle name="Millares 9 15" xfId="13946" xr:uid="{039D77FE-66AC-4665-AF07-CBC6DCB0CAF3}"/>
    <cellStyle name="Millares 9 16" xfId="13001" xr:uid="{E5F496AC-3D79-44FD-A1F5-3F1AF1E32D50}"/>
    <cellStyle name="Millares 9 17" xfId="11871" xr:uid="{869CC5AB-2C6C-48B0-B527-37B954F9CAE8}"/>
    <cellStyle name="Millares 9 18" xfId="12298" xr:uid="{FBCFC1E3-112D-4C15-8BF2-04EAA837A40D}"/>
    <cellStyle name="Millares 9 19" xfId="13331" xr:uid="{68AE016B-5297-4ED5-AE92-D085ACB20197}"/>
    <cellStyle name="Millares 9 2" xfId="3518" xr:uid="{0AE500F6-7EFC-456C-934D-40465DAA1A30}"/>
    <cellStyle name="Millares 9 2 10" xfId="10259" xr:uid="{8C8D64FC-96BE-4988-96DB-3DA5FBB53D28}"/>
    <cellStyle name="Millares 9 2 11" xfId="12431" xr:uid="{469359A0-F1CA-4482-890D-BF3B6FA8D019}"/>
    <cellStyle name="Millares 9 2 11 2" xfId="16069" xr:uid="{C795AB07-137E-49F8-977F-C735A079D5D1}"/>
    <cellStyle name="Millares 9 2 11 3" xfId="20685" xr:uid="{F11A583F-A156-4115-B1BE-DBDDC603CC74}"/>
    <cellStyle name="Millares 9 2 2" xfId="4427" xr:uid="{2D0734B7-AB05-4B12-BA32-FF2A0BD9E5B2}"/>
    <cellStyle name="Millares 9 2 2 2" xfId="6445" xr:uid="{EC63434C-0FA6-44DE-B5B5-6138D52852C4}"/>
    <cellStyle name="Millares 9 2 2 2 2" xfId="8862" xr:uid="{8A175E08-6D73-4D08-B451-EE99AC1FAB3E}"/>
    <cellStyle name="Millares 9 2 2 2 2 2" xfId="18914" xr:uid="{1A249DF3-99F9-49C2-B745-2657C0816A3D}"/>
    <cellStyle name="Millares 9 2 2 2 3" xfId="16370" xr:uid="{ECA38F3F-7759-4D24-99E2-D407E277E179}"/>
    <cellStyle name="Millares 9 2 2 2 4" xfId="15255" xr:uid="{CCAA8570-5333-4654-AB10-515A5367A0CA}"/>
    <cellStyle name="Millares 9 2 2 3" xfId="6446" xr:uid="{47269CAD-0D59-4647-9461-E41B64B57D48}"/>
    <cellStyle name="Millares 9 2 2 3 2" xfId="9310" xr:uid="{B7972CB3-4FA1-47EB-90A8-8A95FD7D08E6}"/>
    <cellStyle name="Millares 9 2 2 3 2 2" xfId="19362" xr:uid="{02368897-759C-4EDE-AE5D-196E05558B56}"/>
    <cellStyle name="Millares 9 2 2 3 3" xfId="16813" xr:uid="{82F0DCC6-A187-4FC9-8B34-8ABB3F41440A}"/>
    <cellStyle name="Millares 9 2 2 3 4" xfId="14859" xr:uid="{08D432C5-EA89-4116-AE78-79E9FFEA38C8}"/>
    <cellStyle name="Millares 9 2 2 4" xfId="6447" xr:uid="{A4C8B69B-03CB-4DF2-92FC-CD6D1A0F6F2C}"/>
    <cellStyle name="Millares 9 2 2 4 2" xfId="17416" xr:uid="{622D12AF-A9F5-4D47-B897-A022A99D3C03}"/>
    <cellStyle name="Millares 9 2 2 4 3" xfId="14767" xr:uid="{309767AF-3BC9-44AB-8D6C-87F9412B69DB}"/>
    <cellStyle name="Millares 9 2 2 5" xfId="6448" xr:uid="{BF43346C-D197-4B31-90CF-FAC341E94980}"/>
    <cellStyle name="Millares 9 2 2 5 2" xfId="18027" xr:uid="{CF5F04DC-B063-46D5-83E5-B129C69BD867}"/>
    <cellStyle name="Millares 9 2 2 5 3" xfId="14406" xr:uid="{52DDCAFF-3E92-42B2-92D7-D9D58EF4C286}"/>
    <cellStyle name="Millares 9 2 2 6" xfId="8434" xr:uid="{64217A4C-BC62-401D-B101-B7C16AC0E772}"/>
    <cellStyle name="Millares 9 2 2 6 2" xfId="18486" xr:uid="{0274A172-FBAB-43F1-8D6D-A6CBF1C61709}"/>
    <cellStyle name="Millares 9 2 2 7" xfId="9902" xr:uid="{08063A3B-BC56-476C-80B6-891E698E017F}"/>
    <cellStyle name="Millares 9 2 2 8" xfId="10453" xr:uid="{F3620773-6E0B-4EDB-8A58-6CE6D7949E11}"/>
    <cellStyle name="Millares 9 2 2 9" xfId="16036" xr:uid="{60C74C1F-5854-490B-982D-D33101B52B52}"/>
    <cellStyle name="Millares 9 2 3" xfId="4428" xr:uid="{7A3CAFB3-EF46-416E-BFCD-603C752D88C0}"/>
    <cellStyle name="Millares 9 2 3 2" xfId="6449" xr:uid="{99F43341-8ECB-4168-85F5-FE9948103DBB}"/>
    <cellStyle name="Millares 9 2 3 2 2" xfId="8863" xr:uid="{01E6D3B1-45C4-441F-B740-74CE53951178}"/>
    <cellStyle name="Millares 9 2 3 2 2 2" xfId="18915" xr:uid="{BEB48555-A2F6-450C-ADC6-4AC6DC2F9864}"/>
    <cellStyle name="Millares 9 2 3 2 3" xfId="16371" xr:uid="{3BDB6816-3833-442B-B9F0-B31068BBDD31}"/>
    <cellStyle name="Millares 9 2 3 2 4" xfId="15254" xr:uid="{BC9CBB90-F3AC-4FBD-8ACB-D03D862ACA3B}"/>
    <cellStyle name="Millares 9 2 3 3" xfId="6450" xr:uid="{B0F3D6AE-5543-431B-A90F-794401F70C15}"/>
    <cellStyle name="Millares 9 2 3 3 2" xfId="9311" xr:uid="{A6003D8C-9E6E-4E52-87AD-80F55F68064B}"/>
    <cellStyle name="Millares 9 2 3 3 2 2" xfId="19363" xr:uid="{A2C5E37A-7C9B-42E0-A83D-9509496CCF08}"/>
    <cellStyle name="Millares 9 2 3 3 3" xfId="16814" xr:uid="{98571280-D168-4110-8297-600AB5C32019}"/>
    <cellStyle name="Millares 9 2 3 3 4" xfId="14858" xr:uid="{63EB7677-1773-49B9-B066-A11111EF6F4D}"/>
    <cellStyle name="Millares 9 2 3 4" xfId="6451" xr:uid="{83A1D83F-D754-4CD0-BC96-FBF041B82B7E}"/>
    <cellStyle name="Millares 9 2 3 4 2" xfId="17417" xr:uid="{F058C0CF-FD94-437C-B3E0-33C27323B9E6}"/>
    <cellStyle name="Millares 9 2 3 4 3" xfId="14766" xr:uid="{B1E38443-0CF8-411D-939C-D0D60CF840AA}"/>
    <cellStyle name="Millares 9 2 3 5" xfId="6452" xr:uid="{88ED83F3-A9E8-4BD1-A20A-260F7E3BCEFF}"/>
    <cellStyle name="Millares 9 2 3 5 2" xfId="18028" xr:uid="{69638BA6-8EAF-45EE-8DF5-4D77C0D52258}"/>
    <cellStyle name="Millares 9 2 3 5 3" xfId="14405" xr:uid="{0C7151B9-5406-4099-B47F-04F3613E2764}"/>
    <cellStyle name="Millares 9 2 3 6" xfId="8435" xr:uid="{4055EABB-8DED-4FD5-A6F8-1E952E810CD3}"/>
    <cellStyle name="Millares 9 2 3 6 2" xfId="18487" xr:uid="{F865FA14-E445-47A1-9AF8-26696EFEFFBA}"/>
    <cellStyle name="Millares 9 2 3 7" xfId="9903" xr:uid="{238BE363-A87D-449C-AA17-039B1F702B20}"/>
    <cellStyle name="Millares 9 2 3 8" xfId="10454" xr:uid="{60026FA8-A498-40A6-B738-036E5321FF10}"/>
    <cellStyle name="Millares 9 2 3 9" xfId="15423" xr:uid="{362C5A4C-64FE-4FE1-BD65-B22FAC5D44C1}"/>
    <cellStyle name="Millares 9 2 4" xfId="6453" xr:uid="{2FC42E48-4125-40BB-82B1-CA3C2F618C45}"/>
    <cellStyle name="Millares 9 2 4 2" xfId="6454" xr:uid="{180834EA-8EDA-4037-B372-53A654D1478F}"/>
    <cellStyle name="Millares 9 2 4 2 2" xfId="17257" xr:uid="{84A6A350-E293-4BBE-AA9D-32A485F8791A}"/>
    <cellStyle name="Millares 9 2 4 3" xfId="6455" xr:uid="{BAE86527-3861-4E15-9C22-1A473E9C34D1}"/>
    <cellStyle name="Millares 9 2 4 3 2" xfId="17871" xr:uid="{49D9DB06-D6E6-440B-BFAB-EFF043A828D8}"/>
    <cellStyle name="Millares 9 2 4 4" xfId="8823" xr:uid="{AD410FF9-CE19-4ED1-972D-C3DB85D178D0}"/>
    <cellStyle name="Millares 9 2 4 4 2" xfId="18875" xr:uid="{342A2560-942D-435C-8776-432634F8F674}"/>
    <cellStyle name="Millares 9 2 4 5" xfId="9747" xr:uid="{E5629C7E-47A1-428C-A689-614D5337607D}"/>
    <cellStyle name="Millares 9 2 4 6" xfId="10455" xr:uid="{FF6BECCC-56C1-43DC-BCB5-22B1345D4D5D}"/>
    <cellStyle name="Millares 9 2 4 7" xfId="15290" xr:uid="{9CF712FE-1093-43DB-B433-292A38E9E64E}"/>
    <cellStyle name="Millares 9 2 5" xfId="6456" xr:uid="{8915CC9C-7E8A-4291-8DD5-412992A58BCC}"/>
    <cellStyle name="Millares 9 2 5 2" xfId="9271" xr:uid="{7CFD91A9-3F3B-4C46-9FC2-A87CA70D7AF1}"/>
    <cellStyle name="Millares 9 2 5 2 2" xfId="19323" xr:uid="{2BCA324C-5712-48BE-9D32-3141140F6030}"/>
    <cellStyle name="Millares 9 2 5 3" xfId="16774" xr:uid="{750846CE-88A2-439C-AFD2-2860D5E960D0}"/>
    <cellStyle name="Millares 9 2 5 4" xfId="14895" xr:uid="{5E2A2D48-77CF-436B-9CE6-FB33D13E5F66}"/>
    <cellStyle name="Millares 9 2 6" xfId="6457" xr:uid="{D166DFDF-EC0B-4F3A-BD95-5D9F9074F7B4}"/>
    <cellStyle name="Millares 9 2 6 2" xfId="17110" xr:uid="{4476FF45-619D-4AB7-8393-12ABD28A45B2}"/>
    <cellStyle name="Millares 9 2 6 3" xfId="15585" xr:uid="{AD20C3F0-3DBE-48C2-8D77-26351684C196}"/>
    <cellStyle name="Millares 9 2 7" xfId="6458" xr:uid="{E8E17990-EE0E-497C-A3FB-A33A3AE49749}"/>
    <cellStyle name="Millares 9 2 7 2" xfId="17717" xr:uid="{0DE87783-D426-446E-8663-160C293BDB7F}"/>
    <cellStyle name="Millares 9 2 7 3" xfId="14535" xr:uid="{0F17C2FA-5A2F-4BBB-8AA3-C8F5A2B64939}"/>
    <cellStyle name="Millares 9 2 8" xfId="8395" xr:uid="{8C4B3709-D09B-4E8E-82B6-AF374B8B8C04}"/>
    <cellStyle name="Millares 9 2 8 2" xfId="18447" xr:uid="{D2FC1115-0163-4ED6-B058-AF47015CF416}"/>
    <cellStyle name="Millares 9 2 9" xfId="9600" xr:uid="{EA4E5B6F-707D-4920-9F5F-4AD9D00241FC}"/>
    <cellStyle name="Millares 9 20" xfId="13502" xr:uid="{9A955E35-2C41-4B4A-851E-5D5F0132BE60}"/>
    <cellStyle name="Millares 9 21" xfId="11514" xr:uid="{3634BD34-32DD-4375-A446-60DA578D53C2}"/>
    <cellStyle name="Millares 9 22" xfId="14008" xr:uid="{45AAF8D4-9E79-4271-AED8-066804203D70}"/>
    <cellStyle name="Millares 9 23" xfId="12299" xr:uid="{2BF30015-3836-4312-A170-59144B6F5E82}"/>
    <cellStyle name="Millares 9 24" xfId="13159" xr:uid="{77AFD73E-F617-4B06-AE0D-B3398BC0B2A5}"/>
    <cellStyle name="Millares 9 25" xfId="13735" xr:uid="{4D439AA3-BA82-4253-9183-D098B06F68AD}"/>
    <cellStyle name="Millares 9 26" xfId="12296" xr:uid="{0EE3119B-720D-4A2E-A2AA-8B9B2A3D4AD6}"/>
    <cellStyle name="Millares 9 3" xfId="4429" xr:uid="{F8D4D730-9191-456B-88FE-080053D71A00}"/>
    <cellStyle name="Millares 9 3 2" xfId="6459" xr:uid="{E79B9BE6-DC1E-4CDE-918F-73B7327C1BF3}"/>
    <cellStyle name="Millares 9 3 2 2" xfId="8864" xr:uid="{4DD6F8A3-8CDF-40F9-9D2A-A42F9B22A48E}"/>
    <cellStyle name="Millares 9 3 2 2 2" xfId="18916" xr:uid="{F795FEE3-E463-4094-80A5-2E703DBE5A0D}"/>
    <cellStyle name="Millares 9 3 2 3" xfId="16372" xr:uid="{4184D77F-54BC-4310-931A-9F2AB618C7D2}"/>
    <cellStyle name="Millares 9 3 2 4" xfId="15253" xr:uid="{E4B0BB5E-9DC0-4508-BEED-7B1938555D6C}"/>
    <cellStyle name="Millares 9 3 3" xfId="6460" xr:uid="{8FA1220B-CEA1-499F-AD45-977FBD0AEB9C}"/>
    <cellStyle name="Millares 9 3 3 2" xfId="9312" xr:uid="{970C898E-7EF1-4518-8475-A176BF651CC1}"/>
    <cellStyle name="Millares 9 3 3 2 2" xfId="19364" xr:uid="{815FB33A-FD3C-41DA-97C3-C7B287F6F833}"/>
    <cellStyle name="Millares 9 3 3 3" xfId="16815" xr:uid="{68C4DF26-4F3A-4BBF-BF44-3CF83B72CD27}"/>
    <cellStyle name="Millares 9 3 3 4" xfId="14857" xr:uid="{53FABDA1-DB2F-4548-B319-9448FE86E4EE}"/>
    <cellStyle name="Millares 9 3 4" xfId="6461" xr:uid="{7122E75A-FA9D-420D-B4E6-02D12F35653A}"/>
    <cellStyle name="Millares 9 3 4 2" xfId="17418" xr:uid="{03B7A3EC-B68F-4989-818A-5C253BF7D097}"/>
    <cellStyle name="Millares 9 3 4 3" xfId="14119" xr:uid="{32DA7C4C-58AE-40F1-966B-4FD0317DDE88}"/>
    <cellStyle name="Millares 9 3 5" xfId="6462" xr:uid="{AD3BEC54-016B-4C9A-9B97-4151A5186A2B}"/>
    <cellStyle name="Millares 9 3 5 2" xfId="18029" xr:uid="{C95D133F-4154-40D4-900A-F643AF0A2553}"/>
    <cellStyle name="Millares 9 3 5 3" xfId="14404" xr:uid="{292E57FF-06E2-43C3-BF24-70CAE6988831}"/>
    <cellStyle name="Millares 9 3 6" xfId="8436" xr:uid="{CE3C76EC-AD07-4925-BA20-42963D2857C6}"/>
    <cellStyle name="Millares 9 3 6 2" xfId="18488" xr:uid="{EFF6EF56-4FD9-4E61-B973-6DFCCB93CC55}"/>
    <cellStyle name="Millares 9 3 7" xfId="9904" xr:uid="{8B17C5C2-919B-4483-9A76-1FAFE79E5A07}"/>
    <cellStyle name="Millares 9 3 8" xfId="10456" xr:uid="{183787C7-11EC-4CCB-B8A9-BD68447AF077}"/>
    <cellStyle name="Millares 9 3 9" xfId="13947" xr:uid="{B09148F8-633C-4AAE-90AB-046868C4B32D}"/>
    <cellStyle name="Millares 9 3 9 2" xfId="16035" xr:uid="{443AB409-2BBE-4DBE-A9C7-546CF82A9993}"/>
    <cellStyle name="Millares 9 3 9 3" xfId="20829" xr:uid="{205A5822-D76D-43F0-91C8-E2B7CDB6D877}"/>
    <cellStyle name="Millares 9 4" xfId="4430" xr:uid="{5285E50A-928F-4080-96CB-CD456B723B79}"/>
    <cellStyle name="Millares 9 4 2" xfId="6463" xr:uid="{1D2F44F0-32FE-4968-865D-CC993E01F5FE}"/>
    <cellStyle name="Millares 9 4 2 2" xfId="8865" xr:uid="{9F9AE05D-E480-41D8-BDF9-5DF0E58FA605}"/>
    <cellStyle name="Millares 9 4 2 2 2" xfId="18917" xr:uid="{79B2B1FA-947C-4199-A0F4-95831AE7A5AA}"/>
    <cellStyle name="Millares 9 4 2 3" xfId="16373" xr:uid="{4FCEAC9E-B5B6-4E80-A1EA-7A918AF1E190}"/>
    <cellStyle name="Millares 9 4 2 4" xfId="15252" xr:uid="{523766A1-B98B-4310-8CC5-41B2B01CAE7E}"/>
    <cellStyle name="Millares 9 4 3" xfId="6464" xr:uid="{45389DC2-FA38-42FC-8FCC-7FA59640ACE2}"/>
    <cellStyle name="Millares 9 4 3 2" xfId="9313" xr:uid="{0A30783D-7D96-4F92-AD31-67E8A57F39A0}"/>
    <cellStyle name="Millares 9 4 3 2 2" xfId="19365" xr:uid="{357F4A0D-62BD-45CF-9283-1BADA1AEE99B}"/>
    <cellStyle name="Millares 9 4 3 3" xfId="16816" xr:uid="{5AD13CD5-2D5A-4CEF-BACF-A936950A6A6A}"/>
    <cellStyle name="Millares 9 4 3 4" xfId="14856" xr:uid="{8F7FE06B-8711-4345-A1D9-404659C81EB2}"/>
    <cellStyle name="Millares 9 4 4" xfId="6465" xr:uid="{D910E5C7-5C49-4A48-9A12-E90717CFB949}"/>
    <cellStyle name="Millares 9 4 4 2" xfId="17419" xr:uid="{D9FC3023-4386-4019-BC5B-2F0EC688FCA8}"/>
    <cellStyle name="Millares 9 4 4 3" xfId="14765" xr:uid="{405F496C-EFBD-4F9D-B9C4-1081BAD72E7E}"/>
    <cellStyle name="Millares 9 4 5" xfId="6466" xr:uid="{43BFCFF4-F5EB-420C-AA80-8DE89DFFA14B}"/>
    <cellStyle name="Millares 9 4 5 2" xfId="18030" xr:uid="{C248B96E-82D3-4645-93A3-5A40FBDE539E}"/>
    <cellStyle name="Millares 9 4 5 3" xfId="14403" xr:uid="{634524A0-0309-4EA9-907A-347F5FFB4EE6}"/>
    <cellStyle name="Millares 9 4 6" xfId="8437" xr:uid="{6DF63706-06A3-43DF-9A21-E10B68CABDAE}"/>
    <cellStyle name="Millares 9 4 6 2" xfId="18489" xr:uid="{96B70543-BA49-401A-88BC-F3941A87BD4C}"/>
    <cellStyle name="Millares 9 4 7" xfId="9905" xr:uid="{16AE29A1-9EC0-4E3F-896A-4DB630E431F2}"/>
    <cellStyle name="Millares 9 4 8" xfId="10457" xr:uid="{749FC88D-186A-4337-818F-02BFF662DA45}"/>
    <cellStyle name="Millares 9 4 9" xfId="12300" xr:uid="{754FA9B9-643F-40A4-894D-3BE35BBDE134}"/>
    <cellStyle name="Millares 9 4 9 2" xfId="16034" xr:uid="{729BC7EB-8681-4540-A2CC-01236D0953B2}"/>
    <cellStyle name="Millares 9 4 9 3" xfId="20670" xr:uid="{01D3156B-7047-4030-8102-D0059E637F39}"/>
    <cellStyle name="Millares 9 5" xfId="6467" xr:uid="{22E0EAD8-9F2B-4422-AE5F-59E2A59256B8}"/>
    <cellStyle name="Millares 9 5 2" xfId="6468" xr:uid="{621FFB46-137C-4254-85BE-E3AF5980C1E7}"/>
    <cellStyle name="Millares 9 5 2 2" xfId="17256" xr:uid="{6992E8A3-F8BD-45DB-B8F8-C0E72105A11C}"/>
    <cellStyle name="Millares 9 5 3" xfId="6469" xr:uid="{EF125BF2-BBC6-4D58-9222-E1B10905918F}"/>
    <cellStyle name="Millares 9 5 3 2" xfId="17870" xr:uid="{87A45DC7-9550-4970-A700-34BF19F4B465}"/>
    <cellStyle name="Millares 9 5 4" xfId="8707" xr:uid="{4D00FC42-E4A9-422D-9E69-656C5C6B27FB}"/>
    <cellStyle name="Millares 9 5 4 2" xfId="18759" xr:uid="{0A139EB1-D7CC-49EB-8EE8-F53180BBB778}"/>
    <cellStyle name="Millares 9 5 5" xfId="9746" xr:uid="{785BFA50-3CDB-4271-8BC3-B8D1185CA292}"/>
    <cellStyle name="Millares 9 5 6" xfId="10458" xr:uid="{F93DA0A6-B14A-4972-86E1-E3F564D4C491}"/>
    <cellStyle name="Millares 9 5 7" xfId="12301" xr:uid="{3B66997F-A174-4D8E-A1EE-210FC497821A}"/>
    <cellStyle name="Millares 9 5 7 2" xfId="15808" xr:uid="{819E7C3A-12EB-4852-AE26-6269C63857F5}"/>
    <cellStyle name="Millares 9 5 7 3" xfId="20671" xr:uid="{4334BF2F-6CCE-4858-8577-EF4C63C78B33}"/>
    <cellStyle name="Millares 9 6" xfId="6470" xr:uid="{869621EB-B902-4E8A-ACDF-0B32D3DCB5DB}"/>
    <cellStyle name="Millares 9 6 2" xfId="9155" xr:uid="{D1ECFFB5-6716-4F02-B9C6-D7772D5FF9B7}"/>
    <cellStyle name="Millares 9 6 2 2" xfId="19207" xr:uid="{94FAC2D2-8C0F-438F-83CD-A666BACC5DC1}"/>
    <cellStyle name="Millares 9 6 3" xfId="12401" xr:uid="{5714D870-ECDF-4878-BFBA-53F34601ADA4}"/>
    <cellStyle name="Millares 9 6 3 2" xfId="16657" xr:uid="{E561DC41-737F-4277-A8B0-C42BCC19AA57}"/>
    <cellStyle name="Millares 9 6 3 3" xfId="20681" xr:uid="{EEEE5F07-41A5-45CA-B62A-EC3342043956}"/>
    <cellStyle name="Millares 9 6 4" xfId="14991" xr:uid="{1ED4D1C0-E36F-4845-9C3C-91FB27F458C1}"/>
    <cellStyle name="Millares 9 7" xfId="6471" xr:uid="{9180E11F-250C-446F-A5EB-82538855DF0D}"/>
    <cellStyle name="Millares 9 7 2" xfId="12302" xr:uid="{D12023C0-2E89-4C66-BAE3-D5217D1FB657}"/>
    <cellStyle name="Millares 9 7 2 2" xfId="17109" xr:uid="{F306EE78-E29A-4693-9FA8-15863E2153A5}"/>
    <cellStyle name="Millares 9 7 2 3" xfId="20672" xr:uid="{6F2B7659-FAA3-4079-B81F-3342CA4B2221}"/>
    <cellStyle name="Millares 9 7 3" xfId="15586" xr:uid="{D7617032-8D5E-4DBB-B3DE-91456B2DD149}"/>
    <cellStyle name="Millares 9 8" xfId="6472" xr:uid="{1508F5FD-5288-420F-AA6E-FB8C31A21493}"/>
    <cellStyle name="Millares 9 8 2" xfId="13244" xr:uid="{6707532A-DA79-4B15-AF5D-16B0ADCF59A3}"/>
    <cellStyle name="Millares 9 8 2 2" xfId="17716" xr:uid="{6C25FAB3-814D-4EBB-8418-E7567D8306E4}"/>
    <cellStyle name="Millares 9 8 2 3" xfId="20787" xr:uid="{F9012F31-8747-4417-90DC-FF638340DDAC}"/>
    <cellStyle name="Millares 9 8 3" xfId="14536" xr:uid="{97222F7B-7FE4-4A16-86DE-AA41CBE7C6FC}"/>
    <cellStyle name="Millares 9 9" xfId="8279" xr:uid="{29716DD4-29AD-453B-91AB-234D38FA53D1}"/>
    <cellStyle name="Millares 9 9 2" xfId="13641" xr:uid="{BBEE9DA5-0754-4783-8874-7963FD177DA2}"/>
    <cellStyle name="Millares 9 9 2 2" xfId="18331" xr:uid="{C33024FF-5579-4CDE-A807-65C160613775}"/>
    <cellStyle name="Millares 9 9 2 3" xfId="20805" xr:uid="{11187F32-3FFA-40BB-85E9-ECF61DD9FEE6}"/>
    <cellStyle name="Millares 90" xfId="6473" xr:uid="{F21E0512-DB2B-45AE-A395-3694254891E9}"/>
    <cellStyle name="Millares 90 2" xfId="17680" xr:uid="{D84BA586-ED9F-475E-8E49-A5B39EC373E8}"/>
    <cellStyle name="Millares 90 3" xfId="19669" xr:uid="{AE76A87E-D12D-47A0-A19A-7B46D5372DC5}"/>
    <cellStyle name="Millares 91" xfId="6474" xr:uid="{72DCFE89-1392-4B4E-8111-2E98715F64A0}"/>
    <cellStyle name="Millares 91 2" xfId="17383" xr:uid="{CFB8D9F1-D135-45E0-9DCA-6F77AEF827BC}"/>
    <cellStyle name="Millares 92" xfId="6475" xr:uid="{2864C3D9-7DBD-4901-8C1D-019F6654C0BA}"/>
    <cellStyle name="Millares 92 2" xfId="17235" xr:uid="{DF759244-85B2-46C1-99DE-875138019383}"/>
    <cellStyle name="Millares 93" xfId="6476" xr:uid="{D77CB1D4-B591-490E-847A-6791E0C4C0C8}"/>
    <cellStyle name="Millares 93 2" xfId="17668" xr:uid="{D73E1929-7CF6-455A-825B-DB49C1F5222A}"/>
    <cellStyle name="Millares 94" xfId="6477" xr:uid="{8B73E56A-276D-4640-8A3B-F3A871A52C7B}"/>
    <cellStyle name="Millares 94 2" xfId="17238" xr:uid="{56958B1D-1651-48FA-B002-5112F648C7B8}"/>
    <cellStyle name="Millares 95" xfId="6478" xr:uid="{670E7717-0D63-4512-A3C1-60CAA154D57B}"/>
    <cellStyle name="Millares 95 2" xfId="17682" xr:uid="{1F9B6814-0109-41C3-8E81-D7287B1A7AF5}"/>
    <cellStyle name="Millares 96" xfId="6479" xr:uid="{6E3548F1-DE9D-4C79-B647-26229526BC51}"/>
    <cellStyle name="Millares 96 2" xfId="17659" xr:uid="{7B05F44D-6EBD-4A8D-A1B7-13BBE8C3A3F1}"/>
    <cellStyle name="Millares 97" xfId="6480" xr:uid="{7889307F-8AA6-4291-A15C-6506AC8E2ACC}"/>
    <cellStyle name="Millares 97 2" xfId="17237" xr:uid="{C4B5F08A-DBF0-4E0E-9785-FE46106FB720}"/>
    <cellStyle name="Millares 98" xfId="6088" xr:uid="{8847B2F6-7EB3-4898-9A74-15A5516229C0}"/>
    <cellStyle name="Millares 98 2" xfId="17665" xr:uid="{2410A844-7B7E-4803-B089-EB95E065E223}"/>
    <cellStyle name="Millares 99" xfId="6481" xr:uid="{9E285CC4-9029-4D4B-BD12-B7085A78E56D}"/>
    <cellStyle name="Millares 99 2" xfId="17085" xr:uid="{862DBB95-04D1-46BF-9CAC-1D78DFB6F0E9}"/>
    <cellStyle name="Moneda 2" xfId="70" xr:uid="{A67CA809-FC0B-4FD9-8977-363388FE620B}"/>
    <cellStyle name="Moneda 2 10" xfId="13332" xr:uid="{1DFC68A9-F799-46B4-806F-B0206C79D585}"/>
    <cellStyle name="Moneda 2 11" xfId="12303" xr:uid="{0DFB1B7A-DE8C-4957-8009-67BE13B559F3}"/>
    <cellStyle name="Moneda 2 12" xfId="13503" xr:uid="{CDA1A073-B1D2-4246-9718-20933B710066}"/>
    <cellStyle name="Moneda 2 13" xfId="12304" xr:uid="{79130C04-D0A2-46DB-BDA3-BAB4E268DF00}"/>
    <cellStyle name="Moneda 2 14" xfId="12305" xr:uid="{1CCAE242-59C3-4533-BB2B-52AC6B4F251A}"/>
    <cellStyle name="Moneda 2 15" xfId="13160" xr:uid="{2DAF9319-03A3-471C-B79F-6F7DD6DDBBA1}"/>
    <cellStyle name="Moneda 2 16" xfId="11644" xr:uid="{1EA08D89-1A41-4A96-A827-D32D30AFA819}"/>
    <cellStyle name="Moneda 2 17" xfId="13736" xr:uid="{F5926172-0CD5-433A-BE4D-D6E8D6F72A54}"/>
    <cellStyle name="Moneda 2 18" xfId="13948" xr:uid="{76794904-08D4-4F2C-9D7E-4F949545129C}"/>
    <cellStyle name="Moneda 2 19" xfId="11872" xr:uid="{A2DAC4B1-9D83-47DE-BF2D-76C6AB93FD97}"/>
    <cellStyle name="Moneda 2 2" xfId="476" xr:uid="{9E41C3FC-2D7D-49A0-AFEB-69CA6C3E9CEE}"/>
    <cellStyle name="Moneda 2 2 10" xfId="13333" xr:uid="{0F2E2B2D-0612-4579-BEB1-EC216D04FC78}"/>
    <cellStyle name="Moneda 2 2 11" xfId="12307" xr:uid="{CD52CF4F-D004-413A-BD53-0D92746EA294}"/>
    <cellStyle name="Moneda 2 2 12" xfId="13544" xr:uid="{ACBAA8B1-6981-413D-AF87-FA5D2D6F66F6}"/>
    <cellStyle name="Moneda 2 2 13" xfId="13504" xr:uid="{DC6CC9FB-170F-47B6-B49D-AB7BC5219F81}"/>
    <cellStyle name="Moneda 2 2 14" xfId="12514" xr:uid="{B9240D25-8D2C-4A86-84C4-3CA23518A8E9}"/>
    <cellStyle name="Moneda 2 2 15" xfId="11515" xr:uid="{2123D986-28D4-4918-86C4-6A1ACC84024A}"/>
    <cellStyle name="Moneda 2 2 16" xfId="13161" xr:uid="{8E3E555F-2FAC-4244-88A9-165A3A8ACA9E}"/>
    <cellStyle name="Moneda 2 2 17" xfId="13737" xr:uid="{05741AD4-1F74-44B8-8217-22BBE9975757}"/>
    <cellStyle name="Moneda 2 2 18" xfId="13949" xr:uid="{3C4D9206-3303-4874-8275-F5FB699F3BCD}"/>
    <cellStyle name="Moneda 2 2 19" xfId="11645" xr:uid="{EE28D1B2-E81D-4B93-B739-A053DD3283EC}"/>
    <cellStyle name="Moneda 2 2 2" xfId="12308" xr:uid="{B452CAF7-413C-4488-BFE5-826236C79185}"/>
    <cellStyle name="Moneda 2 2 2 2" xfId="19964" xr:uid="{4E65EE93-2AEC-419E-BF5F-D4626AA2B463}"/>
    <cellStyle name="Moneda 2 2 2 3" xfId="20673" xr:uid="{0EB26680-CB5F-4CE2-AF53-64E2AF88A08A}"/>
    <cellStyle name="Moneda 2 2 20" xfId="12309" xr:uid="{CD093B4B-064D-44EA-9AA9-F85DFFF4CD44}"/>
    <cellStyle name="Moneda 2 2 21" xfId="12310" xr:uid="{9315C1B0-FC04-4416-AF4D-FC0854902BED}"/>
    <cellStyle name="Moneda 2 2 22" xfId="13243" xr:uid="{184CC722-0C72-4C93-ACA6-49F96D33E881}"/>
    <cellStyle name="Moneda 2 2 23" xfId="13640" xr:uid="{9B932A88-FC65-482A-9E16-8EE764BD1FDC}"/>
    <cellStyle name="Moneda 2 2 24" xfId="12306" xr:uid="{3EB61E9B-C38B-42BA-B371-A4D63B6DE64A}"/>
    <cellStyle name="Moneda 2 2 3" xfId="13950" xr:uid="{7D1646DE-2BC0-4DFC-AE43-F65340C0A294}"/>
    <cellStyle name="Moneda 2 2 4" xfId="11646" xr:uid="{1DD4E25C-D75F-41C8-9AAD-F5C470C28E71}"/>
    <cellStyle name="Moneda 2 2 5" xfId="12311" xr:uid="{50203A45-98AE-4CC7-8500-73C0FA36F432}"/>
    <cellStyle name="Moneda 2 2 6" xfId="13415" xr:uid="{9CC318C8-A219-4292-AC1B-45EC64D26B54}"/>
    <cellStyle name="Moneda 2 2 7" xfId="12312" xr:uid="{9963E7E8-2F22-41CA-AA7D-DA2B92A02766}"/>
    <cellStyle name="Moneda 2 2 8" xfId="12313" xr:uid="{15AA651F-E08D-404D-95AA-A8350BB26EC3}"/>
    <cellStyle name="Moneda 2 2 9" xfId="13067" xr:uid="{16D427E6-BC0D-47A9-8BE5-6CB17D8AEA0C}"/>
    <cellStyle name="Moneda 2 20" xfId="10983" xr:uid="{7D4D5624-4BC4-440A-A7DE-B5927F81A6B0}"/>
    <cellStyle name="Moneda 2 21" xfId="13201" xr:uid="{41E7D79C-91E6-482C-B164-0CE8284DAD20}"/>
    <cellStyle name="Moneda 2 22" xfId="13583" xr:uid="{E4674164-6819-42D4-91B8-DC2D6F3EF12C}"/>
    <cellStyle name="Moneda 2 23" xfId="13817" xr:uid="{77CB62EC-0D07-45C0-B395-822489E97530}"/>
    <cellStyle name="Moneda 2 24" xfId="11195" xr:uid="{CDA30F5E-1364-465E-A6C8-7DD88FB916A1}"/>
    <cellStyle name="Moneda 2 25" xfId="13818" xr:uid="{960DCC1D-8788-4243-A258-FF247F0277E6}"/>
    <cellStyle name="Moneda 2 26" xfId="11873" xr:uid="{A1294C01-08A2-46BE-B8B1-AC2437B38C01}"/>
    <cellStyle name="Moneda 2 27" xfId="11516" xr:uid="{0A4300BF-0D9A-4D1A-B178-0E903DBEDCBE}"/>
    <cellStyle name="Moneda 2 28" xfId="13775" xr:uid="{E5A75768-33A4-43D4-8B3D-52FAFC5D088A}"/>
    <cellStyle name="Moneda 2 29" xfId="11283" xr:uid="{B5D043C8-394A-42A9-9A2D-E12BC27434DC}"/>
    <cellStyle name="Moneda 2 3" xfId="2652" xr:uid="{7741C55F-A3DA-4504-A1CF-59C8F66C6A4D}"/>
    <cellStyle name="Moneda 2 3 2" xfId="6482" xr:uid="{45008460-A485-4587-BAF4-7041F1F986E0}"/>
    <cellStyle name="Moneda 2 3 3" xfId="13088" xr:uid="{E0B3562D-4C61-473B-851A-2674D3D54A58}"/>
    <cellStyle name="Moneda 2 4" xfId="406" xr:uid="{55B39B84-19D7-4F4F-9DD3-9D5F3DBE4C82}"/>
    <cellStyle name="Moneda 2 4 2" xfId="11765" xr:uid="{04DD9BE3-6C17-4053-8836-660D356FA46C}"/>
    <cellStyle name="Moneda 2 4 2 2" xfId="19796" xr:uid="{8B7D8E76-73D8-44CC-B36F-5A92702A6E2E}"/>
    <cellStyle name="Moneda 2 4 2 3" xfId="20605" xr:uid="{7B10E9C3-483A-43DC-AB41-3860F0C3C5B0}"/>
    <cellStyle name="Moneda 2 5" xfId="6059" xr:uid="{CB6EB029-DAE1-464D-AC2B-F91C4B6F7A05}"/>
    <cellStyle name="Moneda 2 5 2" xfId="9565" xr:uid="{559AA708-EA05-4FBF-A756-033E1FDC72BB}"/>
    <cellStyle name="Moneda 2 5 2 2" xfId="19617" xr:uid="{84381DA5-D85E-47B2-81D6-820C40F5625D}"/>
    <cellStyle name="Moneda 2 5 2 3" xfId="16277" xr:uid="{38384220-3F01-4E41-8358-C222AFC8BBB8}"/>
    <cellStyle name="Moneda 2 5 3" xfId="12950" xr:uid="{797F901C-A962-4C99-9020-A64EA1DCDFCB}"/>
    <cellStyle name="Moneda 2 5 3 2" xfId="17066" xr:uid="{83506BB5-CB6A-491F-A258-756321096997}"/>
    <cellStyle name="Moneda 2 5 3 3" xfId="16208" xr:uid="{34809548-ED29-483A-9583-4B4AB55D0112}"/>
    <cellStyle name="Moneda 2 5 3 4" xfId="20756" xr:uid="{F5D1BB51-FC91-4AE4-A269-36E5C0DA2C00}"/>
    <cellStyle name="Moneda 2 5 4" xfId="15609" xr:uid="{F09CFD77-8FE1-43F0-864B-CA9DFCE2C798}"/>
    <cellStyle name="Moneda 2 6" xfId="143" xr:uid="{99B98AF5-0109-4899-8903-734777144EB3}"/>
    <cellStyle name="Moneda 2 6 2" xfId="13265" xr:uid="{14FB3610-67C0-43FD-90BE-12A0215D164E}"/>
    <cellStyle name="Moneda 2 7" xfId="6483" xr:uid="{C2215626-D0EF-42A5-917E-E848F8ED6F0A}"/>
    <cellStyle name="Moneda 2 7 2" xfId="9118" xr:uid="{83E488BD-6324-4492-AFB7-54DED12C80F2}"/>
    <cellStyle name="Moneda 2 7 2 2" xfId="19170" xr:uid="{138B8BF7-A340-4029-BD20-62F1A6275D4A}"/>
    <cellStyle name="Moneda 2 7 3" xfId="14009" xr:uid="{BF43EB42-1831-4C70-B3D0-B7ADA7E48057}"/>
    <cellStyle name="Moneda 2 7 3 2" xfId="16622" xr:uid="{B1D68B6E-36FB-43A9-8779-F7F54D3B532B}"/>
    <cellStyle name="Moneda 2 7 3 3" xfId="20831" xr:uid="{F9C9534A-91E7-40F9-A528-94F2A935CAAA}"/>
    <cellStyle name="Moneda 2 7 4" xfId="15024" xr:uid="{9BFB9DC9-65D7-4F0E-8D9C-BD81354F8F73}"/>
    <cellStyle name="Moneda 2 8" xfId="12533" xr:uid="{09DA04BA-24DE-4CD9-93A2-3ABEB373F675}"/>
    <cellStyle name="Moneda 2 8 2" xfId="16241" xr:uid="{C2CB8C2F-07B7-4510-B192-8C614BA40E06}"/>
    <cellStyle name="Moneda 2 8 3" xfId="20702" xr:uid="{F503DFC1-75F4-41C2-A72C-6DD94A6A8F8F}"/>
    <cellStyle name="Moneda 2 9" xfId="11078" xr:uid="{F9AAD669-F470-42D3-B502-A06C0112A33E}"/>
    <cellStyle name="Moneda 2_HMSA-0010P-COR-IT-001-0A, Itemizado Metro Arenales(1)(1)" xfId="12821" xr:uid="{A419B4A0-4B9A-48E6-9F32-9A344C2CBB96}"/>
    <cellStyle name="Moneda 3" xfId="68" xr:uid="{F95E837A-F770-4D9F-827F-87BDA41FE361}"/>
    <cellStyle name="Moneda 3 10" xfId="11229" xr:uid="{02D90BC1-2D99-4CE7-B0FB-9B1513945976}"/>
    <cellStyle name="Moneda 3 11" xfId="12607" xr:uid="{2918E8AE-5585-433C-B5A1-D6A5F126776C}"/>
    <cellStyle name="Moneda 3 12" xfId="12736" xr:uid="{7F7F4767-AB3B-4BB4-8090-2E8A96B1A648}"/>
    <cellStyle name="Moneda 3 13" xfId="12712" xr:uid="{C347BB99-FA47-4D0F-98FD-05E17F4D546C}"/>
    <cellStyle name="Moneda 3 14" xfId="11968" xr:uid="{9B66897C-EAD5-412E-9EC6-FC7BEF80A7C0}"/>
    <cellStyle name="Moneda 3 15" xfId="11687" xr:uid="{72E03A5B-F41E-4637-A25C-83B65FED18B1}"/>
    <cellStyle name="Moneda 3 16" xfId="11767" xr:uid="{3491CA94-51F2-447D-9D42-A1615573985C}"/>
    <cellStyle name="Moneda 3 17" xfId="11241" xr:uid="{49CFEE4D-77C5-4C36-B129-7D290E756A21}"/>
    <cellStyle name="Moneda 3 18" xfId="12737" xr:uid="{0B6B807B-CFBD-413D-8650-4C5E50752FB6}"/>
    <cellStyle name="Moneda 3 19" xfId="11917" xr:uid="{8C44A00C-3143-469A-ADE7-4CCB939F89F5}"/>
    <cellStyle name="Moneda 3 2" xfId="2653" xr:uid="{449376A6-5FC8-485C-88E0-DD7C19B44C05}"/>
    <cellStyle name="Moneda 3 2 2" xfId="10954" xr:uid="{B9AE6639-54DE-4F7C-B61B-7DD492E65C10}"/>
    <cellStyle name="Moneda 3 20" xfId="11768" xr:uid="{B09F0A13-FC8E-435D-BB7C-9007B452F5FC}"/>
    <cellStyle name="Moneda 3 21" xfId="12822" xr:uid="{B63A6A2B-7E73-4DF9-AA96-0DA88608855A}"/>
    <cellStyle name="Moneda 3 22" xfId="11400" xr:uid="{F52D8F00-63C3-438F-8975-0893B166769B}"/>
    <cellStyle name="Moneda 3 23" xfId="11769" xr:uid="{9A0E1D67-D715-4CDB-88CA-17005FB9D073}"/>
    <cellStyle name="Moneda 3 24" xfId="11766" xr:uid="{46BC2A90-2176-4139-B92B-59A07432306A}"/>
    <cellStyle name="Moneda 3 3" xfId="473" xr:uid="{3A57181A-74D3-493D-BBDF-FF375CBDCF41}"/>
    <cellStyle name="Moneda 3 3 2" xfId="11974" xr:uid="{B52E75D3-9F35-4D88-B4B7-6F296984FFA3}"/>
    <cellStyle name="Moneda 3 4" xfId="6049" xr:uid="{21120A42-E8E0-431A-A2CC-E8882A1F81A2}"/>
    <cellStyle name="Moneda 3 4 2" xfId="11770" xr:uid="{DF81EB01-35CF-41E3-9230-1FC6E4B6C321}"/>
    <cellStyle name="Moneda 3 5" xfId="148" xr:uid="{06ACDA00-B3E2-4891-886F-2867ADD94C45}"/>
    <cellStyle name="Moneda 3 5 2" xfId="13334" xr:uid="{6F11AA5D-02CF-4EF2-AC29-E1E8F4DDB108}"/>
    <cellStyle name="Moneda 3 6" xfId="6484" xr:uid="{B18961E0-3FD2-4A2F-83CE-E9730935FFBE}"/>
    <cellStyle name="Moneda 3 6 2" xfId="12506" xr:uid="{76808029-0FE8-4E3F-923F-C51C67392013}"/>
    <cellStyle name="Moneda 3 7" xfId="11918" xr:uid="{92174738-368B-49E0-95BF-7EB8D4242E6D}"/>
    <cellStyle name="Moneda 3 8" xfId="11044" xr:uid="{A76B41A3-14AF-4573-9CAF-C4DC031B16EF}"/>
    <cellStyle name="Moneda 3 9" xfId="12920" xr:uid="{76AA42A1-D297-427B-9025-983EFA30690C}"/>
    <cellStyle name="Moneda 4" xfId="83" xr:uid="{87FA8640-0AD3-4866-8087-096B903DF9F9}"/>
    <cellStyle name="Moneda 4 2" xfId="6046" xr:uid="{F0E0F981-D991-40D8-BBC6-F155C13836B0}"/>
    <cellStyle name="Moneda 4 2 2" xfId="9562" xr:uid="{7CEC8E16-16D8-4525-A21C-91608B0884F6}"/>
    <cellStyle name="Moneda 4 2 2 2" xfId="19614" xr:uid="{6E9C4C8B-7A13-4A21-8B42-E98B7FA0F147}"/>
    <cellStyle name="Moneda 4 2 2 3" xfId="16274" xr:uid="{4098B8A9-A3D0-4D9F-8E0F-D541BED8188A}"/>
    <cellStyle name="Moneda 4 2 3" xfId="16211" xr:uid="{D9A330F1-6C70-4544-8EB7-D524D177B6A2}"/>
    <cellStyle name="Moneda 4 2 3 2" xfId="17063" xr:uid="{5AD57552-4DDE-40E5-8182-8EC69644293C}"/>
    <cellStyle name="Moneda 4 2 4" xfId="19797" xr:uid="{11821420-6EE6-4D01-BB2B-C8EB6B3C19A1}"/>
    <cellStyle name="Moneda 4 2 5" xfId="15613" xr:uid="{8BF40D4C-2AC0-43B1-9874-156C1C86A727}"/>
    <cellStyle name="Moneda 4 3" xfId="2654" xr:uid="{CAF61B8A-A07F-4ED8-AC9D-130B1FFB790C}"/>
    <cellStyle name="Moneda 4 4" xfId="6485" xr:uid="{8B1DA225-66AB-45F1-A905-F30ECE670EE2}"/>
    <cellStyle name="Moneda 4 4 2" xfId="9122" xr:uid="{AA409564-A5DD-428A-841A-B64A94CA2609}"/>
    <cellStyle name="Moneda 4 4 2 2" xfId="19174" xr:uid="{72DBA5A6-8E2A-4832-9E37-5EB36960B3AA}"/>
    <cellStyle name="Moneda 4 4 3" xfId="16626" xr:uid="{B69CC29E-F675-41C7-85F6-B28E74981B7E}"/>
    <cellStyle name="Moneda 4 4 4" xfId="14029" xr:uid="{FF122D84-B6D6-4AF9-A1FF-01BACACA4136}"/>
    <cellStyle name="Moneda 4 5" xfId="12385" xr:uid="{CF99F388-AA3F-4EA3-8642-4DB6D50D696F}"/>
    <cellStyle name="Moneda 4 5 2" xfId="16221" xr:uid="{E1F4B534-2537-46F9-867B-E4CF621AC61D}"/>
    <cellStyle name="Moneda 4 5 3" xfId="20680" xr:uid="{C09ED07E-065E-495F-8627-50C09B1D447B}"/>
    <cellStyle name="Moneda 5" xfId="6016" xr:uid="{38DD3F0C-A952-4265-B182-9B89C510EBB2}"/>
    <cellStyle name="Moneda 5 2" xfId="6486" xr:uid="{08BD8060-69D2-472B-92AF-B337DE6B3FC4}"/>
    <cellStyle name="Moneda 5 2 2" xfId="9104" xr:uid="{33D8AE30-C303-4F0F-BD02-4E00A2EBB3FB}"/>
    <cellStyle name="Moneda 5 2 2 2" xfId="19156" xr:uid="{D3B19D68-7C58-4B84-AB47-8134472F9EF7}"/>
    <cellStyle name="Moneda 5 2 3" xfId="16609" xr:uid="{7C7BBEFB-02E9-446E-84A3-91178C964432}"/>
    <cellStyle name="Moneda 5 2 4" xfId="15036" xr:uid="{1811FE63-EDFF-4350-AF65-93F6D480E7C3}"/>
    <cellStyle name="Moneda 5 3" xfId="6487" xr:uid="{8E3FA5F9-7909-4B3B-A89B-7DC4C6F48CE9}"/>
    <cellStyle name="Moneda 5 3 2" xfId="9553" xr:uid="{1D031E6B-5C64-4ED3-92E7-E72EC51DD75C}"/>
    <cellStyle name="Moneda 5 3 2 2" xfId="19605" xr:uid="{597865BA-88A9-4112-9D00-F827AD1E637F}"/>
    <cellStyle name="Moneda 5 3 3" xfId="17056" xr:uid="{220C9BBF-54CB-4463-8272-9D76F826F1B1}"/>
    <cellStyle name="Moneda 5 3 4" xfId="15625" xr:uid="{5515A400-36D1-4506-B1C6-1CA2E5C81AC3}"/>
    <cellStyle name="Moneda 5 4" xfId="6488" xr:uid="{DD984FDF-1678-4B5D-923F-3335293EF231}"/>
    <cellStyle name="Moneda 5 4 2" xfId="17675" xr:uid="{D8FE4315-438C-48CD-8C1B-195C9E460332}"/>
    <cellStyle name="Moneda 5 4 3" xfId="14551" xr:uid="{62756B94-DB83-4EE3-B47C-D40D08A3B688}"/>
    <cellStyle name="Moneda 5 5" xfId="6489" xr:uid="{7C315994-3E31-4588-83C6-EB2105018596}"/>
    <cellStyle name="Moneda 5 5 2" xfId="18291" xr:uid="{9A4A78E8-0C11-4AF1-B728-09AFCF3C8C34}"/>
    <cellStyle name="Moneda 5 5 3" xfId="14210" xr:uid="{D67C67B5-ED02-4E62-A39C-403151D33536}"/>
    <cellStyle name="Moneda 5 6" xfId="8676" xr:uid="{6B83FA7E-57CF-469B-90B9-4241877BE110}"/>
    <cellStyle name="Moneda 5 6 2" xfId="18728" xr:uid="{9A6FACCE-9243-4B54-84CC-E7AEBAEEF2DC}"/>
    <cellStyle name="Moneda 5 7" xfId="10153" xr:uid="{96E35988-590C-44EB-BE5C-5473840CD4F5}"/>
    <cellStyle name="Moneda 5 8" xfId="10391" xr:uid="{B62D8693-6D9D-4B0B-8AC0-9403CCDA3493}"/>
    <cellStyle name="Moneda 5 9" xfId="15835" xr:uid="{F0BFCCCF-BD00-48E9-86DA-381629A3A3E9}"/>
    <cellStyle name="Moneda 6" xfId="470" xr:uid="{1FB50A1D-8653-4B0E-B1CB-FE922A4196C1}"/>
    <cellStyle name="Moneda 6 2" xfId="16243" xr:uid="{CC29B677-9E06-41F1-A25D-9E7B3F3648A7}"/>
    <cellStyle name="Moneda 7" xfId="6490" xr:uid="{D54EC765-C30B-4812-BFC7-E79DAC296132}"/>
    <cellStyle name="Moneda 7 2" xfId="9114" xr:uid="{0F939FA8-30F7-4084-AC49-23A0E01A9E2D}"/>
    <cellStyle name="Moneda 7 2 2" xfId="19166" xr:uid="{E34D3FF5-74B5-45BA-B629-02955B3CDB7C}"/>
    <cellStyle name="Moneda 7 3" xfId="16618" xr:uid="{C487D323-41C0-4E1A-BBBA-723A66D49E53}"/>
    <cellStyle name="Moneda 7 4" xfId="15027" xr:uid="{9E7C7101-569E-49A0-8C03-80EDF71E8DA4}"/>
    <cellStyle name="Moneda 8" xfId="15456" xr:uid="{C5E257EB-CC23-4043-89CC-E7C82161555B}"/>
    <cellStyle name="Moneda 8 2" xfId="20832" xr:uid="{5F453F27-66B7-43E4-A646-88C745ABB2A2}"/>
    <cellStyle name="Moneda 94" xfId="4431" xr:uid="{FB553EEA-BAA3-407A-85C2-732A9DAB9EEB}"/>
    <cellStyle name="Moneda 94 2" xfId="19965" xr:uid="{06327121-D172-4A4D-8E91-354FE40ED0B6}"/>
    <cellStyle name="moneda(" xfId="11955" xr:uid="{BC4DCF33-60AE-4D4E-982B-7843F9F07855}"/>
    <cellStyle name="Moneda0" xfId="137" xr:uid="{20A20DCF-5A7B-4171-8C67-D94EA135C178}"/>
    <cellStyle name="Moneda0 2" xfId="11953" xr:uid="{956C72B6-ADA2-4255-9958-8235C282DF44}"/>
    <cellStyle name="MONETARIO" xfId="138" xr:uid="{CC087CE5-5325-463B-8538-A2E2AA0F98B7}"/>
    <cellStyle name="Monetario 2" xfId="11771" xr:uid="{23DDF7F4-7617-44BB-B638-67315FCFA310}"/>
    <cellStyle name="Monetario0" xfId="12314" xr:uid="{55BC1984-7E26-4CF5-9532-DC3ED7166724}"/>
    <cellStyle name="Neutral 10" xfId="2655" xr:uid="{193248AF-217F-4DAE-B7D7-7C24F3D9DAFC}"/>
    <cellStyle name="Neutral 11" xfId="2656" xr:uid="{9B4DB2CC-C319-4D70-9CDA-E6BBB938EEED}"/>
    <cellStyle name="Neutral 12" xfId="2657" xr:uid="{0D524A56-FD9D-453F-85C0-BB82F4967449}"/>
    <cellStyle name="Neutral 13" xfId="2658" xr:uid="{84D16F9C-4445-4F94-90B1-BD5A69D5EBE7}"/>
    <cellStyle name="Neutral 14" xfId="2659" xr:uid="{0F23015C-8A7D-4DA0-B6BA-63062F7913E4}"/>
    <cellStyle name="Neutral 15" xfId="2660" xr:uid="{3E2F721B-7AC1-49CC-BC68-22E70F677AD1}"/>
    <cellStyle name="Neutral 16" xfId="2661" xr:uid="{208E459D-5E9E-4326-9BFF-52E071D192CE}"/>
    <cellStyle name="Neutral 17" xfId="2662" xr:uid="{0FA20614-5B26-4B71-802A-8003FFA83081}"/>
    <cellStyle name="Neutral 18" xfId="2663" xr:uid="{83E46229-7D79-4648-9C66-CD31A05C7F42}"/>
    <cellStyle name="Neutral 19" xfId="2664" xr:uid="{CAAE2165-CFFA-4180-A4C2-1D54553DD19E}"/>
    <cellStyle name="Neutral 2" xfId="43" xr:uid="{74B75F6C-96FE-4BB0-B319-06CF8BA104D8}"/>
    <cellStyle name="Neutral 2 2" xfId="2665" xr:uid="{BA5943C8-F1E3-45B1-B926-E7190209E017}"/>
    <cellStyle name="Neutral 2 3" xfId="2666" xr:uid="{1AA22483-5F18-441E-9F8D-A9D4DF644B07}"/>
    <cellStyle name="Neutral 2 4" xfId="2667" xr:uid="{F27AB04C-B0F5-4FDB-834D-5D4CBFF3CCB0}"/>
    <cellStyle name="Neutral 2 5" xfId="2668" xr:uid="{3F4911D0-30C4-4107-8B7F-D83D27642C9B}"/>
    <cellStyle name="Neutral 2 6" xfId="11369" xr:uid="{9877F7F1-EAD3-4A36-B127-C17F42146F38}"/>
    <cellStyle name="Neutral 20" xfId="2669" xr:uid="{BD3CF4DB-DCE2-42D0-94F8-E27E39CC02A9}"/>
    <cellStyle name="Neutral 21" xfId="2670" xr:uid="{0C5E32E1-960B-4F12-9FD7-770000CD3027}"/>
    <cellStyle name="Neutral 22" xfId="2671" xr:uid="{4B1112DD-2BF0-4460-86E5-C8F35DAF8C88}"/>
    <cellStyle name="Neutral 23" xfId="2672" xr:uid="{2EADF9C8-8E78-4C19-BF58-9A03AFC4DC34}"/>
    <cellStyle name="Neutral 24" xfId="2673" xr:uid="{D6B74555-34EB-447A-BA19-62DC980E8C75}"/>
    <cellStyle name="Neutral 25" xfId="2674" xr:uid="{87363142-E16E-4535-A763-5C24A3AA0A11}"/>
    <cellStyle name="Neutral 26" xfId="2675" xr:uid="{F0EA6A44-4598-46B2-BDF7-083B01625CD7}"/>
    <cellStyle name="Neutral 27" xfId="2676" xr:uid="{87DE5E15-9ED2-495A-BD58-61E9D9DBEB76}"/>
    <cellStyle name="Neutral 28" xfId="2677" xr:uid="{7569C4E5-002F-4012-855D-4A2CC1BD514F}"/>
    <cellStyle name="Neutral 29" xfId="2678" xr:uid="{AD239B1B-1FE6-4996-A4F6-9C908043AA59}"/>
    <cellStyle name="Neutral 3" xfId="407" xr:uid="{46A7E409-BBB3-4FFF-9777-79CB86748469}"/>
    <cellStyle name="Neutral 3 2" xfId="13246" xr:uid="{AABFD396-4664-4F38-B831-11ECF1F03514}"/>
    <cellStyle name="Neutral 30" xfId="2679" xr:uid="{BF0AC5A8-D3B5-48B4-B07F-2C43E51EC46E}"/>
    <cellStyle name="Neutral 31" xfId="2680" xr:uid="{F16CAE9B-3F1F-469E-9B6E-283994D6B109}"/>
    <cellStyle name="Neutral 32" xfId="2681" xr:uid="{396F0D88-8580-4168-A439-9829032C2201}"/>
    <cellStyle name="Neutral 33" xfId="2682" xr:uid="{73678C4C-5E1C-4634-AC80-889C9EDCDCFF}"/>
    <cellStyle name="Neutral 34" xfId="2683" xr:uid="{F12B0D9C-5C85-4F45-994C-6F884724FCEF}"/>
    <cellStyle name="Neutral 35" xfId="2684" xr:uid="{34E4A587-16C5-4F6E-9DC5-EB79C8F1ACA7}"/>
    <cellStyle name="Neutral 36" xfId="2685" xr:uid="{F8FF71EB-B19A-49B2-9F3E-B436A042325D}"/>
    <cellStyle name="Neutral 37" xfId="2686" xr:uid="{78529CF5-25BD-42A3-B7C1-3559F700BEE0}"/>
    <cellStyle name="Neutral 38" xfId="2687" xr:uid="{0EA234CD-9521-4504-853A-3F5D84EB7786}"/>
    <cellStyle name="Neutral 39" xfId="2688" xr:uid="{F4ABF942-94C8-4F78-BD86-E52ADBBEC1D8}"/>
    <cellStyle name="Neutral 4" xfId="408" xr:uid="{BE2ED92F-65C6-4965-885E-4B9B4EEAE17A}"/>
    <cellStyle name="Neutral 4 2" xfId="12717" xr:uid="{8826BCB1-90E4-4500-AAD2-1ACCFE6BAA2F}"/>
    <cellStyle name="Neutral 40" xfId="2689" xr:uid="{B5FF3887-84BC-454B-B112-6480ABBB04E3}"/>
    <cellStyle name="Neutral 41" xfId="2690" xr:uid="{63B15254-5D8A-4F38-A454-849FA29EEF5F}"/>
    <cellStyle name="Neutral 42" xfId="2691" xr:uid="{419F5B59-7E39-482E-8A4D-2E91D313109A}"/>
    <cellStyle name="Neutral 43" xfId="2692" xr:uid="{250F90B8-1D0A-4B54-9479-640E4AE3FC4C}"/>
    <cellStyle name="Neutral 44" xfId="2693" xr:uid="{353C44CC-2D98-4F28-BD72-2488249E2B9E}"/>
    <cellStyle name="Neutral 45" xfId="2694" xr:uid="{A1CFF267-E28E-4077-A136-004AD1DCE937}"/>
    <cellStyle name="Neutral 46" xfId="2695" xr:uid="{B65F5999-92F8-4C2B-86C8-0F8463499E01}"/>
    <cellStyle name="Neutral 47" xfId="2696" xr:uid="{E3DB11F8-E69B-434E-B1E9-F3C860D5A980}"/>
    <cellStyle name="Neutral 48" xfId="2697" xr:uid="{4C89B450-2366-4E55-A0F7-A88015C98005}"/>
    <cellStyle name="Neutral 49" xfId="2698" xr:uid="{77F90863-0B36-487B-8BAB-8171C89E4800}"/>
    <cellStyle name="Neutral 5" xfId="409" xr:uid="{907D6AF3-50A6-48E3-BF45-F743AFB043AC}"/>
    <cellStyle name="Neutral 5 2" xfId="12836" xr:uid="{0EBE68FC-0189-419A-8E97-EA5D7DAA661B}"/>
    <cellStyle name="Neutral 50" xfId="2699" xr:uid="{F16B8113-3912-4551-944E-1BD861EC5A16}"/>
    <cellStyle name="Neutral 51" xfId="2700" xr:uid="{B6B59CCA-0764-4E11-8952-B2D5D68D06E4}"/>
    <cellStyle name="Neutral 52" xfId="2701" xr:uid="{101580F9-B584-471D-A6B8-552D7CAEB851}"/>
    <cellStyle name="Neutral 53" xfId="2702" xr:uid="{211996C7-2711-43CA-BD5B-7FBD6AA86B01}"/>
    <cellStyle name="Neutral 54" xfId="2703" xr:uid="{F72DDAA3-AC41-40A3-8174-DD53E3DB74F6}"/>
    <cellStyle name="Neutral 55" xfId="2704" xr:uid="{2F680D00-2DD4-4EE2-A72A-970200D6E0F8}"/>
    <cellStyle name="Neutral 56" xfId="2705" xr:uid="{4ECEF5C6-74C3-4665-9BD4-7D0BD876C88D}"/>
    <cellStyle name="Neutral 57" xfId="2706" xr:uid="{EE0B85F0-B067-4BBC-AC9D-44BC60AFE74F}"/>
    <cellStyle name="Neutral 58" xfId="2707" xr:uid="{54A43365-22F7-4461-A537-9D0607DA34CC}"/>
    <cellStyle name="Neutral 59" xfId="2708" xr:uid="{35A9D19B-C35D-4396-8AEB-0CA540DDF2E8}"/>
    <cellStyle name="Neutral 6" xfId="410" xr:uid="{2E407EB7-0D3E-4288-86C1-E495E686448C}"/>
    <cellStyle name="Neutral 6 2" xfId="11101" xr:uid="{30FC13A8-5550-4F69-A5FC-B21FB7F9CC1C}"/>
    <cellStyle name="Neutral 60" xfId="2709" xr:uid="{CA3221D0-1EA7-407C-9D0E-2D58FE4AA1F2}"/>
    <cellStyle name="Neutral 61" xfId="2710" xr:uid="{B09D5F6D-3656-40F7-8CA4-19142EF61BAB}"/>
    <cellStyle name="Neutral 62" xfId="2711" xr:uid="{5A2E9E63-6B11-4DB1-A1AC-A2E02E0C6C75}"/>
    <cellStyle name="Neutral 63" xfId="2712" xr:uid="{6905ED7A-EE2F-4956-B92E-5A097C11B32A}"/>
    <cellStyle name="Neutral 64" xfId="2713" xr:uid="{EEE83C98-9435-4DE7-AE6B-38298511C4ED}"/>
    <cellStyle name="Neutral 65" xfId="2714" xr:uid="{8A1C67F4-E605-40A8-A6D5-F7C82E89A2A3}"/>
    <cellStyle name="Neutral 66" xfId="2715" xr:uid="{4089BA9C-EDD7-4A21-8CE3-6EF9EE97D2F2}"/>
    <cellStyle name="Neutral 67" xfId="2716" xr:uid="{506333F0-00BC-4B38-A69E-514A86784026}"/>
    <cellStyle name="Neutral 68" xfId="537" xr:uid="{0A7B6CEC-619A-43BE-AFD0-605916AEA0B0}"/>
    <cellStyle name="Neutral 7" xfId="411" xr:uid="{FE3A6C35-C9C5-497C-8F48-70A71073C28C}"/>
    <cellStyle name="Neutral 8" xfId="2717" xr:uid="{9742E241-007F-4715-BCF9-00ACDDE08AF4}"/>
    <cellStyle name="Neutral 9" xfId="2718" xr:uid="{BE6E5F6F-B6B3-476A-8107-72146E87DAE9}"/>
    <cellStyle name="No-definido" xfId="11720" xr:uid="{85B9C2A5-D90B-4AF7-91E3-91662225556B}"/>
    <cellStyle name="Normal" xfId="0" builtinId="0"/>
    <cellStyle name="Normal - Style1" xfId="10938" xr:uid="{51553367-1A96-499A-977C-6FF8514BDC52}"/>
    <cellStyle name="Normal 10" xfId="81" xr:uid="{19DE3498-E551-40A2-82E0-F5E4C400C609}"/>
    <cellStyle name="Normal 10 10" xfId="9601" xr:uid="{72F70403-3271-4667-B943-7EAB93B717FA}"/>
    <cellStyle name="Normal 10 11" xfId="10260" xr:uid="{B8EABEE0-355E-4734-997B-BD03F37D5A30}"/>
    <cellStyle name="Normal 10 12" xfId="16068" xr:uid="{5AC45062-A653-400C-B6EB-DFD36E2346B4}"/>
    <cellStyle name="Normal 10 2" xfId="4432" xr:uid="{4D7FCC07-DAAD-4B78-B3EB-7039BF5F3A20}"/>
    <cellStyle name="Normal 10 2 2" xfId="6491" xr:uid="{8943AD7F-FF53-4661-B887-0100A5555010}"/>
    <cellStyle name="Normal 10 2 2 2" xfId="8866" xr:uid="{B41B5C24-A7F4-4B24-AFBE-6DBD1B65E189}"/>
    <cellStyle name="Normal 10 2 2 2 2" xfId="18918" xr:uid="{E1850100-7EB3-47EA-9ED6-2EF40400DBA6}"/>
    <cellStyle name="Normal 10 2 2 3" xfId="16374" xr:uid="{60520CF1-8EDC-44D9-994E-9E696405510B}"/>
    <cellStyle name="Normal 10 2 2 4" xfId="15251" xr:uid="{076580F4-38F4-43CB-9D29-3D1D3B322C4A}"/>
    <cellStyle name="Normal 10 2 3" xfId="6492" xr:uid="{76E09D64-BF3B-475F-9974-DD87663DC315}"/>
    <cellStyle name="Normal 10 2 3 2" xfId="9314" xr:uid="{7C684B62-C5CD-43E7-8483-654C696AAB19}"/>
    <cellStyle name="Normal 10 2 3 2 2" xfId="19366" xr:uid="{BB428A4E-F2CB-4110-884E-54CD4F89FCB2}"/>
    <cellStyle name="Normal 10 2 3 3" xfId="16817" xr:uid="{E2404130-B4C9-4764-8441-703368269BE3}"/>
    <cellStyle name="Normal 10 2 3 4" xfId="14026" xr:uid="{9AD97F27-2945-4875-B579-7527E8F94F08}"/>
    <cellStyle name="Normal 10 2 4" xfId="6087" xr:uid="{998D3BC1-4841-44CA-928F-F6F42A0F5F93}"/>
    <cellStyle name="Normal 10 2 4 2" xfId="17420" xr:uid="{BEB68182-F01D-40E7-A7A6-D74EADC71A2D}"/>
    <cellStyle name="Normal 10 2 4 3" xfId="14764" xr:uid="{CBEBCF4D-54FF-450D-9670-C87563C917CF}"/>
    <cellStyle name="Normal 10 2 5" xfId="6083" xr:uid="{C37F4BBD-C4A8-4313-A7C1-DEAE662386AA}"/>
    <cellStyle name="Normal 10 2 5 2" xfId="18031" xr:uid="{46F4904E-4D89-4B46-AA64-47F8ED8E7616}"/>
    <cellStyle name="Normal 10 2 5 3" xfId="14402" xr:uid="{84C5875D-1D2F-4A70-967C-9BA562EDFA43}"/>
    <cellStyle name="Normal 10 2 6" xfId="8438" xr:uid="{FA4DC1BC-9E1D-4D42-8441-BAA1165F574A}"/>
    <cellStyle name="Normal 10 2 6 2" xfId="18490" xr:uid="{90977716-590A-4FC9-A488-736FB62A1565}"/>
    <cellStyle name="Normal 10 2 7" xfId="9906" xr:uid="{F6A42551-20D7-49CD-8A34-8813B6E5525A}"/>
    <cellStyle name="Normal 10 2 8" xfId="10459" xr:uid="{B19CD3B1-7CB7-4ADD-B80B-86D41891D0E4}"/>
    <cellStyle name="Normal 10 2 9" xfId="16033" xr:uid="{DE5DAE5B-1844-4ADA-93EB-382CE508E355}"/>
    <cellStyle name="Normal 10 3" xfId="4433" xr:uid="{31DBA9C5-07C4-4227-865F-847CB2AA5C25}"/>
    <cellStyle name="Normal 10 3 2" xfId="6493" xr:uid="{12289482-8DFF-4309-BA29-BB8B528529F6}"/>
    <cellStyle name="Normal 10 3 2 2" xfId="8867" xr:uid="{F974F37C-B4F7-4B1C-8EC8-13641014949C}"/>
    <cellStyle name="Normal 10 3 2 2 2" xfId="18919" xr:uid="{A00031AC-7DCC-4EDC-884E-F62E235F1C15}"/>
    <cellStyle name="Normal 10 3 2 3" xfId="16375" xr:uid="{7C8D329C-55F6-41E4-A2E4-72B397EC4BA9}"/>
    <cellStyle name="Normal 10 3 2 4" xfId="15250" xr:uid="{3BA3A8F4-0650-4AC0-A82D-14C3110CCAA3}"/>
    <cellStyle name="Normal 10 3 3" xfId="6494" xr:uid="{59974407-06CE-4204-A9B5-006EA46648BD}"/>
    <cellStyle name="Normal 10 3 3 2" xfId="9315" xr:uid="{FD1ADA89-430B-418B-A3DE-8357B867D02E}"/>
    <cellStyle name="Normal 10 3 3 2 2" xfId="19367" xr:uid="{98774312-F547-4C40-93AF-9901F567A5FF}"/>
    <cellStyle name="Normal 10 3 3 3" xfId="16818" xr:uid="{8D49675A-C939-4D12-835B-6F1E2C7B31A8}"/>
    <cellStyle name="Normal 10 3 3 4" xfId="14855" xr:uid="{BA6EE8C7-0906-425E-9004-91772787A73C}"/>
    <cellStyle name="Normal 10 3 4" xfId="6495" xr:uid="{3ED9427D-7543-4130-A2A0-D5E0BC79FAC2}"/>
    <cellStyle name="Normal 10 3 4 2" xfId="17421" xr:uid="{6CEDEBC5-14D5-45D8-AE49-D188C71423A1}"/>
    <cellStyle name="Normal 10 3 4 3" xfId="14763" xr:uid="{48D6A27A-F5F3-40F7-B82B-AED4D899EC63}"/>
    <cellStyle name="Normal 10 3 5" xfId="6496" xr:uid="{36EE3C63-13CB-4B37-B83C-7B934A106DCF}"/>
    <cellStyle name="Normal 10 3 5 2" xfId="18032" xr:uid="{6E0D1999-5D3A-4D8D-B8A9-9F1FB5D6874E}"/>
    <cellStyle name="Normal 10 3 5 3" xfId="14084" xr:uid="{9F31BA27-BF41-4991-AFA6-CD09E06D4E12}"/>
    <cellStyle name="Normal 10 3 6" xfId="8439" xr:uid="{D2AE2586-B13D-4FF3-B5CD-63AA043432B9}"/>
    <cellStyle name="Normal 10 3 6 2" xfId="18491" xr:uid="{8BB5AF3B-447B-4EF1-9C0E-547192F2D052}"/>
    <cellStyle name="Normal 10 3 7" xfId="9907" xr:uid="{39584370-67FF-42AB-82D5-918620C4325A}"/>
    <cellStyle name="Normal 10 3 8" xfId="10460" xr:uid="{540281D3-177F-403B-BF56-DE3BB85584D9}"/>
    <cellStyle name="Normal 10 3 9" xfId="11772" xr:uid="{59B9D6E7-333E-4B26-87CD-C26C2F352CAC}"/>
    <cellStyle name="Normal 10 3 9 2" xfId="16032" xr:uid="{F1EFE5D9-A6CD-4ED3-B038-0B5965140D49}"/>
    <cellStyle name="Normal 10 3 9 3" xfId="20606" xr:uid="{865928A6-BFED-4C63-9581-24F89E03B0F3}"/>
    <cellStyle name="Normal 10 4" xfId="6060" xr:uid="{109D1C4C-0D02-4D52-8C62-C3690371A447}"/>
    <cellStyle name="Normal 10 4 2" xfId="6497" xr:uid="{7F10CF10-CDAE-48FE-8CCB-886ADAC140FE}"/>
    <cellStyle name="Normal 10 4 2 2" xfId="19645" xr:uid="{4A2913C8-70DE-444A-AD48-7590A027F1BF}"/>
    <cellStyle name="Normal 10 4 2 3" xfId="15608" xr:uid="{4A9A8EAB-D148-4079-94A6-2A115C397999}"/>
    <cellStyle name="Normal 10 4 2 4" xfId="16235" xr:uid="{1213C62E-FABB-4273-973A-A6FCDD3D686B}"/>
    <cellStyle name="Normal 10 4 3" xfId="6498" xr:uid="{C4DD5A6E-0736-4BEF-8898-23AFAD1A5A40}"/>
    <cellStyle name="Normal 10 4 3 2" xfId="17258" xr:uid="{75EC2756-D298-429D-89BF-7BDE13D2EE01}"/>
    <cellStyle name="Normal 10 4 4" xfId="6499" xr:uid="{10C040E8-0FC3-44AB-BDCC-04B6443208AB}"/>
    <cellStyle name="Normal 10 4 4 2" xfId="17872" xr:uid="{E53246EA-53BE-4DA1-A539-11B21459CD13}"/>
    <cellStyle name="Normal 10 4 5" xfId="8824" xr:uid="{16BFCC1E-1FEC-4838-8CE0-322DD37772B8}"/>
    <cellStyle name="Normal 10 4 5 2" xfId="18876" xr:uid="{951ADC86-DF42-4857-AA4C-1D21F9541DCC}"/>
    <cellStyle name="Normal 10 4 6" xfId="9748" xr:uid="{1C1E0B85-0384-49FC-93EC-09BEDA8FC1DD}"/>
    <cellStyle name="Normal 10 4 7" xfId="10461" xr:uid="{1B08C362-9FAF-4C15-A2BE-C4492DA82D2E}"/>
    <cellStyle name="Normal 10 4 8" xfId="15289" xr:uid="{8A8ED642-7454-4B77-8772-83580A6167D2}"/>
    <cellStyle name="Normal 10 5" xfId="3519" xr:uid="{536FD4BC-7404-40B8-B7BE-370D6F561623}"/>
    <cellStyle name="Normal 10 5 2" xfId="9272" xr:uid="{B20C4193-7BE6-4097-9DB0-8C69AF0847FC}"/>
    <cellStyle name="Normal 10 5 2 2" xfId="19324" xr:uid="{45C8F311-EED3-4EBC-A187-0ADCD1AFCFE2}"/>
    <cellStyle name="Normal 10 5 2 3" xfId="16266" xr:uid="{153DAECC-E73D-443D-AB1D-C43D4B44AAF1}"/>
    <cellStyle name="Normal 10 5 3" xfId="16228" xr:uid="{83713453-98C8-487F-9561-756696BD197F}"/>
    <cellStyle name="Normal 10 5 3 2" xfId="16775" xr:uid="{E43B5AB2-A83D-4A9A-A5FA-838FA12BD714}"/>
    <cellStyle name="Normal 10 5 4" xfId="14894" xr:uid="{C7C90A58-62B7-4D8E-924F-E894AB14A898}"/>
    <cellStyle name="Normal 10 6" xfId="6500" xr:uid="{AFA14D3B-BBA3-4453-BB7A-F81F6EA38A60}"/>
    <cellStyle name="Normal 10 7" xfId="6501" xr:uid="{365699B5-E5BE-44CA-AB6C-9176FA42C890}"/>
    <cellStyle name="Normal 10 7 2" xfId="17111" xr:uid="{80EE4DCB-D30F-4124-8D4A-EBFBB17C7600}"/>
    <cellStyle name="Normal 10 8" xfId="6502" xr:uid="{39F469C2-EA2C-4974-AAC8-6465594BC7E9}"/>
    <cellStyle name="Normal 10 8 2" xfId="17719" xr:uid="{D87DCB13-9DC7-4F14-A5C1-23B747A45B48}"/>
    <cellStyle name="Normal 10 9" xfId="8396" xr:uid="{FECA0F03-CE60-4326-A452-28FCC7C9F3B7}"/>
    <cellStyle name="Normal 10 9 2" xfId="18448" xr:uid="{34AE4B01-07AE-4322-9842-820DEFB5BC0C}"/>
    <cellStyle name="Normal 11" xfId="103" xr:uid="{808708CF-D952-4D4C-A84E-2985C31EF93A}"/>
    <cellStyle name="Normal 11 10" xfId="11647" xr:uid="{99A80693-2447-4415-AF44-1898736D6262}"/>
    <cellStyle name="Normal 11 11" xfId="12025" xr:uid="{E93EC09E-4FEE-4A72-959F-85AA2C81CB31}"/>
    <cellStyle name="Normal 11 12" xfId="12531" xr:uid="{43A5B457-6D62-4052-BBB7-B4DD6E36787D}"/>
    <cellStyle name="Normal 11 13" xfId="11309" xr:uid="{3D212D49-FBB6-4240-9200-7097409CB085}"/>
    <cellStyle name="Normal 11 14" xfId="12482" xr:uid="{A8256497-6E00-4F05-92CA-32E247B80DE0}"/>
    <cellStyle name="Normal 11 15" xfId="11035" xr:uid="{B483A84A-EFE1-4BC9-83AD-068FB0779D52}"/>
    <cellStyle name="Normal 11 16" xfId="12738" xr:uid="{EB8FE517-82D5-4966-953F-3F1570766B2C}"/>
    <cellStyle name="Normal 11 17" xfId="11378" xr:uid="{FB9A4AFA-D7C7-47EA-A1E8-F06BC6ADFC0D}"/>
    <cellStyle name="Normal 11 18" xfId="11242" xr:uid="{71E596F7-A00D-45C3-A954-A32832B6003E}"/>
    <cellStyle name="Normal 11 19" xfId="11227" xr:uid="{49685A53-B8B6-460A-B623-01A17DD8EF91}"/>
    <cellStyle name="Normal 11 2" xfId="109" xr:uid="{3B0A6AFD-8ED1-45D6-AA21-6260EA02E063}"/>
    <cellStyle name="Normal 11 2 2" xfId="12739" xr:uid="{A1F32836-7493-4753-B43A-AF3462B0A9A8}"/>
    <cellStyle name="Normal 11 2 3" xfId="13779" xr:uid="{D420B7AB-39FF-43FD-A5EC-9AB7F04AF4FD}"/>
    <cellStyle name="Normal 11 20" xfId="11919" xr:uid="{0842DA72-CA74-4C7F-A056-63A7CAD28C0D}"/>
    <cellStyle name="Normal 11 21" xfId="11045" xr:uid="{65BE2895-CB54-4DA5-BEC0-2F3A6770A732}"/>
    <cellStyle name="Normal 11 22" xfId="11459" xr:uid="{652F9486-B540-48B8-95D2-9DC77E8B8AFB}"/>
    <cellStyle name="Normal 11 23" xfId="11102" xr:uid="{1C96EB00-5E78-4B9E-A24D-8ADDD5065326}"/>
    <cellStyle name="Normal 11 24" xfId="11003" xr:uid="{35B4D1CC-FF35-4B86-ACB2-A0BAB39FD327}"/>
    <cellStyle name="Normal 11 25" xfId="12616" xr:uid="{5BF5FBD4-6C26-416D-9982-A2D22FA8EBFA}"/>
    <cellStyle name="Normal 11 3" xfId="6027" xr:uid="{FC5E989F-08A0-4EF2-ACD8-14838C76FDDA}"/>
    <cellStyle name="Normal 11 3 2" xfId="11316" xr:uid="{84550819-549F-4C9F-9FE2-B077AF6F0658}"/>
    <cellStyle name="Normal 11 4" xfId="3526" xr:uid="{71C3798F-AB27-477A-9EB8-BE9FFB687EFD}"/>
    <cellStyle name="Normal 11 4 2" xfId="11961" xr:uid="{C93F8A18-1FBD-46FF-8C1E-C1F5E7FB73C0}"/>
    <cellStyle name="Normal 11 5" xfId="6503" xr:uid="{949070EE-6FCA-4BFC-9D8D-445B54447B3A}"/>
    <cellStyle name="Normal 11 5 2" xfId="12487" xr:uid="{AAA9FD84-34DF-41DF-AFCD-152EA2CDD16F}"/>
    <cellStyle name="Normal 11 6" xfId="13505" xr:uid="{5F401E09-3587-450C-AF83-0500620D8571}"/>
    <cellStyle name="Normal 11 7" xfId="12740" xr:uid="{4ED39E13-F8FD-4CF9-B38C-718DEA8A2550}"/>
    <cellStyle name="Normal 11 8" xfId="11920" xr:uid="{55CCFC5F-0C03-4042-8350-4A1546179136}"/>
    <cellStyle name="Normal 11 9" xfId="11080" xr:uid="{1741A8BE-9C78-4DE8-921B-6042647DBAC5}"/>
    <cellStyle name="Normal 12" xfId="104" xr:uid="{971B4406-44DF-4B7D-91B5-B2E08C3EC84C}"/>
    <cellStyle name="Normal 12 10" xfId="9602" xr:uid="{2045289A-26E8-42BA-BF61-AAA0BEB267C1}"/>
    <cellStyle name="Normal 12 11" xfId="10261" xr:uid="{F535900A-E58C-4288-AFC2-CB38DBC91DBA}"/>
    <cellStyle name="Normal 12 12" xfId="11773" xr:uid="{4208263C-5B53-4242-8D42-F142A0BACCC1}"/>
    <cellStyle name="Normal 12 12 2" xfId="15428" xr:uid="{5367E7CD-CC1B-4B09-94B5-41CA42B94BEA}"/>
    <cellStyle name="Normal 12 12 3" xfId="20607" xr:uid="{C73076E0-6254-4AA3-B682-1B2B97D918B9}"/>
    <cellStyle name="Normal 12 2" xfId="110" xr:uid="{36580D01-900F-40B9-B64C-46F1E270CF2D}"/>
    <cellStyle name="Normal 12 2 10" xfId="16031" xr:uid="{D5D42F07-7237-4152-A817-C046CB40F2F2}"/>
    <cellStyle name="Normal 12 2 2" xfId="6036" xr:uid="{60220CC7-FEC7-400F-B214-45CD68BA86C6}"/>
    <cellStyle name="Normal 12 2 2 2" xfId="6504" xr:uid="{0468DE87-E590-494D-BB43-C923FDF0E652}"/>
    <cellStyle name="Normal 12 2 2 2 2" xfId="14816" xr:uid="{31035EB6-9C76-4690-AA34-7514D98D4394}"/>
    <cellStyle name="Normal 12 2 2 2 3" xfId="16247" xr:uid="{F4E1E540-C617-454E-826E-523411D6A775}"/>
    <cellStyle name="Normal 12 2 2 3" xfId="8868" xr:uid="{8A9976DD-229D-4CDE-9FA9-2789C5BCC797}"/>
    <cellStyle name="Normal 12 2 2 3 2" xfId="18920" xr:uid="{3C7DC7C8-4AB8-42EC-AB1B-49C52EC952E7}"/>
    <cellStyle name="Normal 12 2 2 4" xfId="8246" xr:uid="{5EF33501-5613-4D7A-933F-BAF9718C243C}"/>
    <cellStyle name="Normal 12 2 2 5" xfId="15249" xr:uid="{7FDD7D17-8099-4E67-B689-AA83147238F7}"/>
    <cellStyle name="Normal 12 2 3" xfId="4434" xr:uid="{7E6221C1-6472-4033-B69A-3DE1C6FB0B92}"/>
    <cellStyle name="Normal 12 2 3 2" xfId="9316" xr:uid="{33A03C91-B87B-4567-8A56-A7FDBA77B2A6}"/>
    <cellStyle name="Normal 12 2 3 2 2" xfId="19368" xr:uid="{DD3A6A0C-E4AA-4452-A5B3-78D7FB983387}"/>
    <cellStyle name="Normal 12 2 3 2 3" xfId="16268" xr:uid="{3ABB095A-1FA6-430D-A59D-4FD4A286A602}"/>
    <cellStyle name="Normal 12 2 3 3" xfId="16249" xr:uid="{1F4B60B8-C111-452C-99FB-B7EB77322C73}"/>
    <cellStyle name="Normal 12 2 3 3 2" xfId="16819" xr:uid="{DC7FC745-C641-47E4-9843-A881A5104E2F}"/>
    <cellStyle name="Normal 12 2 3 4" xfId="14854" xr:uid="{0F2E3DE3-9416-474A-97C2-FFC15CCA154F}"/>
    <cellStyle name="Normal 12 2 4" xfId="6505" xr:uid="{C51E520F-B569-46D4-897B-DA7BDC30D439}"/>
    <cellStyle name="Normal 12 2 5" xfId="6506" xr:uid="{38670CB4-FB92-4037-BC9D-F24F72782B08}"/>
    <cellStyle name="Normal 12 2 5 2" xfId="17422" xr:uid="{7666D468-6463-4270-98DA-EC255F8F603C}"/>
    <cellStyle name="Normal 12 2 6" xfId="6507" xr:uid="{58F2C42F-FF12-47FF-AAB1-B4046B2368B6}"/>
    <cellStyle name="Normal 12 2 6 2" xfId="18033" xr:uid="{053298C0-8174-41C0-AA02-1B3E652A825F}"/>
    <cellStyle name="Normal 12 2 7" xfId="8440" xr:uid="{BCB304D1-25CB-4954-BA01-3AACEA97BC39}"/>
    <cellStyle name="Normal 12 2 7 2" xfId="18492" xr:uid="{7D21E384-B887-4727-9284-D347F3B20356}"/>
    <cellStyle name="Normal 12 2 8" xfId="9908" xr:uid="{AC1B12D7-302F-451B-94B2-B6AE2EA3DB18}"/>
    <cellStyle name="Normal 12 2 9" xfId="10462" xr:uid="{28766869-BB8D-44B7-9CB9-1B9B9A500CBD}"/>
    <cellStyle name="Normal 12 3" xfId="4435" xr:uid="{C406A2C2-0ECD-42A3-B17A-1CD3622C3504}"/>
    <cellStyle name="Normal 12 3 2" xfId="6508" xr:uid="{D26EB397-8E14-4D58-8575-42D9B3821AE6}"/>
    <cellStyle name="Normal 12 3 2 2" xfId="8869" xr:uid="{6A299A2C-DFA6-483A-A0E9-EB3BC1778167}"/>
    <cellStyle name="Normal 12 3 2 2 2" xfId="18921" xr:uid="{365089FC-DC32-425F-BABB-2AD81CC06F1A}"/>
    <cellStyle name="Normal 12 3 2 3" xfId="16376" xr:uid="{D70A7F5C-82F8-4BB1-B888-C86179F46330}"/>
    <cellStyle name="Normal 12 3 2 4" xfId="15248" xr:uid="{AF776852-1A0E-4D91-BF1D-ECC72B142657}"/>
    <cellStyle name="Normal 12 3 3" xfId="6509" xr:uid="{2CB57142-AEAF-46C2-8A67-CABE16BEA7E9}"/>
    <cellStyle name="Normal 12 3 3 2" xfId="9317" xr:uid="{609A9E8A-DD06-4307-9901-D382B2D43940}"/>
    <cellStyle name="Normal 12 3 3 2 2" xfId="19369" xr:uid="{C193C9A5-DD23-45A5-9A34-F592D63C34A9}"/>
    <cellStyle name="Normal 12 3 3 3" xfId="16820" xr:uid="{6117CB05-11EF-460B-A388-6EDF2D95C8FC}"/>
    <cellStyle name="Normal 12 3 3 4" xfId="14853" xr:uid="{D4EB0B49-0975-43D6-8C8D-95B895657F44}"/>
    <cellStyle name="Normal 12 3 4" xfId="6510" xr:uid="{F822126B-F2CA-45EB-B7F3-ED74B8CC25CC}"/>
    <cellStyle name="Normal 12 3 4 2" xfId="17423" xr:uid="{32642B22-57C5-4D19-A086-095FCC69A113}"/>
    <cellStyle name="Normal 12 3 4 3" xfId="14762" xr:uid="{A0DB62C5-510B-43C6-8A92-E1A87891EBD6}"/>
    <cellStyle name="Normal 12 3 5" xfId="6511" xr:uid="{1432BD42-1C4F-4DB2-8EBF-F7E8998F7F24}"/>
    <cellStyle name="Normal 12 3 5 2" xfId="18034" xr:uid="{AA7E3897-1D06-45EB-BB20-D38AC1812D0E}"/>
    <cellStyle name="Normal 12 3 5 3" xfId="14401" xr:uid="{938EFB1A-667E-405A-BE2E-131695567DE5}"/>
    <cellStyle name="Normal 12 3 6" xfId="8441" xr:uid="{D0A4452A-3457-4C13-8A91-2F27636F2A61}"/>
    <cellStyle name="Normal 12 3 6 2" xfId="18493" xr:uid="{CB5FCCF3-1754-4338-AF69-AFEFA138C448}"/>
    <cellStyle name="Normal 12 3 7" xfId="9909" xr:uid="{C31AF1EE-224B-46CC-AAA9-787056A36FBC}"/>
    <cellStyle name="Normal 12 3 8" xfId="10463" xr:uid="{D3A686D2-E8E9-429A-8371-B3388D490FCC}"/>
    <cellStyle name="Normal 12 3 9" xfId="16030" xr:uid="{4D70341D-6602-49E9-9A34-A651394FE60C}"/>
    <cellStyle name="Normal 12 4" xfId="6056" xr:uid="{25E636E3-E099-4456-8512-63DCC6803F91}"/>
    <cellStyle name="Normal 12 4 2" xfId="6512" xr:uid="{6E80F0F3-4CEB-49A4-B175-8F11752ACAF0}"/>
    <cellStyle name="Normal 12 4 2 2" xfId="19646" xr:uid="{C619F362-BD0F-4B7C-984B-B806BD1136C3}"/>
    <cellStyle name="Normal 12 4 2 3" xfId="15610" xr:uid="{CC91BA0D-F491-42FE-B626-212D2A41E4D4}"/>
    <cellStyle name="Normal 12 4 2 4" xfId="16234" xr:uid="{BF7695A8-6146-41FD-8379-39C7A75E4EDF}"/>
    <cellStyle name="Normal 12 4 3" xfId="6513" xr:uid="{946CDCC3-44DC-4C69-B7BC-A8AB29624EC6}"/>
    <cellStyle name="Normal 12 4 3 2" xfId="17259" xr:uid="{EF395E79-6CA2-4580-A428-878CD1BCF8E7}"/>
    <cellStyle name="Normal 12 4 4" xfId="6514" xr:uid="{2C4A5BAD-0DFD-4CA4-BAE5-47EF0B155346}"/>
    <cellStyle name="Normal 12 4 4 2" xfId="17873" xr:uid="{05E655BF-2156-489C-93FD-A9226B19F60F}"/>
    <cellStyle name="Normal 12 4 5" xfId="8828" xr:uid="{308D6040-0E30-40D2-BF77-6546C43143E7}"/>
    <cellStyle name="Normal 12 4 5 2" xfId="18880" xr:uid="{4C3B54A7-1693-4D10-8774-D08EC132AA84}"/>
    <cellStyle name="Normal 12 4 6" xfId="9749" xr:uid="{81120636-C326-4E27-B9BE-7A49B8074F20}"/>
    <cellStyle name="Normal 12 4 7" xfId="10464" xr:uid="{9B694E9A-FDBA-42B5-A5B9-FF8C8D421933}"/>
    <cellStyle name="Normal 12 4 8" xfId="15285" xr:uid="{373A9CAD-4573-47FE-9A39-D2C9567A8823}"/>
    <cellStyle name="Normal 12 5" xfId="3527" xr:uid="{F3C82941-15FD-4C40-ABD4-18176084AFBB}"/>
    <cellStyle name="Normal 12 5 2" xfId="9276" xr:uid="{D90AF7AB-B419-4E18-92B4-226F08DDD3AB}"/>
    <cellStyle name="Normal 12 5 2 2" xfId="19328" xr:uid="{0A4FC9E1-2BAD-4500-B478-C5673CCB14B8}"/>
    <cellStyle name="Normal 12 5 2 3" xfId="16267" xr:uid="{7673C148-41D3-4340-B5CC-A7A08C4040A7}"/>
    <cellStyle name="Normal 12 5 3" xfId="16226" xr:uid="{06C28C8D-3978-4C52-9560-84C8018A3890}"/>
    <cellStyle name="Normal 12 5 3 2" xfId="16779" xr:uid="{C9003FFB-D35F-4DC1-B6C2-B1A68F751A9B}"/>
    <cellStyle name="Normal 12 5 4" xfId="14890" xr:uid="{33A6ABD1-D59A-49FA-B486-28BCF861314A}"/>
    <cellStyle name="Normal 12 6" xfId="6515" xr:uid="{F1A13A5F-28BF-4AFC-8DA1-3DF83DB3E5DD}"/>
    <cellStyle name="Normal 12 7" xfId="6516" xr:uid="{DA422E80-246F-439D-AB64-B61D57E473EA}"/>
    <cellStyle name="Normal 12 7 2" xfId="17112" xr:uid="{432A86BA-3140-4B34-9B0D-3F37B5264216}"/>
    <cellStyle name="Normal 12 8" xfId="6517" xr:uid="{F5E13825-DA36-42B9-8569-8049DDCF8484}"/>
    <cellStyle name="Normal 12 8 2" xfId="17720" xr:uid="{A9739EC5-52AD-45DD-AF6A-CB555CD396BB}"/>
    <cellStyle name="Normal 12 9" xfId="8400" xr:uid="{BAAE89EA-1A59-43DA-9AD8-9C296C70EA07}"/>
    <cellStyle name="Normal 12 9 2" xfId="18452" xr:uid="{DCF3615C-2916-4DC8-AA20-EBBD16E20DD4}"/>
    <cellStyle name="Normal 13" xfId="105" xr:uid="{833E06BC-2954-4D32-A763-67B0F0F54B5F}"/>
    <cellStyle name="Normal 13 2" xfId="111" xr:uid="{553EEF3E-C767-4816-9DC6-AF9C58CE82A0}"/>
    <cellStyle name="Normal 13 2 2" xfId="19953" xr:uid="{BEC1FF70-A338-4642-AE54-D282FF464CD2}"/>
    <cellStyle name="Normal 13 3" xfId="6074" xr:uid="{44F99501-3EC6-4E28-94B9-0F85F7B5478D}"/>
    <cellStyle name="Normal 13 4" xfId="3524" xr:uid="{1095C4A0-068B-4328-AD3F-305D1272BD77}"/>
    <cellStyle name="Normal 13 5" xfId="6518" xr:uid="{07F218A3-14A4-41F8-9BF3-12CFC1347303}"/>
    <cellStyle name="Normal 14" xfId="95" xr:uid="{55FA9DFB-6B31-4B4B-A2EE-589DC289BF2E}"/>
    <cellStyle name="Normal 14 2" xfId="6042" xr:uid="{8260ED33-F23A-410A-8F40-00DB6AC2A9C0}"/>
    <cellStyle name="Normal 14 2 2" xfId="19798" xr:uid="{E2B07634-A588-4E7E-9C78-0EED1C507572}"/>
    <cellStyle name="Normal 14 3" xfId="2719" xr:uid="{E8B6EA70-A41F-4020-BDD0-43626BF6862C}"/>
    <cellStyle name="Normal 14 4" xfId="6519" xr:uid="{1C63664D-44AD-437D-9F0A-24497A67AF90}"/>
    <cellStyle name="Normal 15" xfId="96" xr:uid="{1A2C6CB0-C59F-4E98-90ED-21C5C2E90BD4}"/>
    <cellStyle name="Normal 15 2" xfId="6041" xr:uid="{C9BC3309-671E-455E-B95D-A5CB8415F53C}"/>
    <cellStyle name="Normal 15 2 2" xfId="19799" xr:uid="{726216F1-EE4F-40E3-8AE1-060C216AFDF3}"/>
    <cellStyle name="Normal 15 3" xfId="2720" xr:uid="{74B2F654-106D-47EC-98FE-A18C883E4A40}"/>
    <cellStyle name="Normal 15 4" xfId="6520" xr:uid="{B96F371C-A52C-4D21-9D97-A88D7FC30522}"/>
    <cellStyle name="Normal 16" xfId="98" xr:uid="{33B1B1E7-AEA6-45DF-BECD-0F02FB4FD3DF}"/>
    <cellStyle name="Normal 16 2" xfId="4436" xr:uid="{649D6231-E379-4166-9B3E-DA1EE0481A27}"/>
    <cellStyle name="Normal 16 2 2" xfId="6521" xr:uid="{01FCFEAF-D1FC-4848-8E55-59783C6B16CC}"/>
    <cellStyle name="Normal 16 3" xfId="6070" xr:uid="{7651C6D8-2A35-4DE2-B1E3-835841EB32D0}"/>
    <cellStyle name="Normal 16 3 2" xfId="9873" xr:uid="{C04FF0B9-31DE-4135-9C99-51A65676935F}"/>
    <cellStyle name="Normal 16 3 2 2" xfId="19662" xr:uid="{B5344D3D-DA76-4147-8826-19C5D0335FB2}"/>
    <cellStyle name="Normal 16 3 3" xfId="10221" xr:uid="{B69079B2-4408-4C63-AA49-CC9E01EF38AF}"/>
    <cellStyle name="Normal 16 4" xfId="497" xr:uid="{73FBC49D-82E9-4A9C-8099-B19B32F40F3E}"/>
    <cellStyle name="Normal 16 4 2" xfId="19633" xr:uid="{41DAB0C1-D973-4A10-B511-9EE866991EBD}"/>
    <cellStyle name="Normal 16 5" xfId="6522" xr:uid="{06AF5975-9E7A-4DE4-A0D2-064C4A801F33}"/>
    <cellStyle name="Normal 17" xfId="106" xr:uid="{22208DB2-826E-45C9-99BB-BBA95EFD64A1}"/>
    <cellStyle name="Normal 17 10" xfId="10465" xr:uid="{CD188E2F-9580-4F68-8A4E-989AAACC5A51}"/>
    <cellStyle name="Normal 17 11" xfId="11688" xr:uid="{B92CEF7C-DD43-4CF2-BC9A-F8B6A327AC01}"/>
    <cellStyle name="Normal 17 11 2" xfId="16195" xr:uid="{AF59F00B-C6E9-4989-A3CC-7D48605CE1AB}"/>
    <cellStyle name="Normal 17 11 3" xfId="20586" xr:uid="{23E8F57B-DF85-4D89-88DE-F56DF63E1E93}"/>
    <cellStyle name="Normal 17 2" xfId="112" xr:uid="{C4D4AABE-AE53-4050-B89D-CE7A222FC454}"/>
    <cellStyle name="Normal 17 2 10" xfId="15422" xr:uid="{732C7A7F-CDE3-473D-9382-03A764E6F0C1}"/>
    <cellStyle name="Normal 17 2 2" xfId="6058" xr:uid="{7B28413F-E8FA-41A9-9B34-AA1AD4B4559B}"/>
    <cellStyle name="Normal 17 2 2 2" xfId="6523" xr:uid="{F63E8DE0-452F-4144-A834-C6B1855333B4}"/>
    <cellStyle name="Normal 17 2 2 2 2" xfId="14124" xr:uid="{CC42147B-96F1-4244-9EA0-FF7EC7653F9E}"/>
    <cellStyle name="Normal 17 2 2 2 3" xfId="16251" xr:uid="{D47B6264-E81B-4D0D-B34A-5A561B529343}"/>
    <cellStyle name="Normal 17 2 2 3" xfId="8870" xr:uid="{F50BCBBF-3EF9-462C-8439-49224F657F06}"/>
    <cellStyle name="Normal 17 2 2 3 2" xfId="18922" xr:uid="{16A11E9A-57D0-4C2D-BD20-ABE956670F09}"/>
    <cellStyle name="Normal 17 2 2 4" xfId="8247" xr:uid="{62E3BE85-8ADC-4A04-ACCE-189E428E67F2}"/>
    <cellStyle name="Normal 17 2 2 5" xfId="14159" xr:uid="{E3912F2A-CFDA-4483-83B1-42B8D9009992}"/>
    <cellStyle name="Normal 17 2 3" xfId="4437" xr:uid="{A8FE7AFB-AE3D-42E5-B55E-37666CDBAC15}"/>
    <cellStyle name="Normal 17 2 3 2" xfId="9318" xr:uid="{B6F40854-48DF-481A-BD25-100E66E30FC8}"/>
    <cellStyle name="Normal 17 2 3 2 2" xfId="19370" xr:uid="{48A6C7E3-948E-4255-83B4-153754783BC8}"/>
    <cellStyle name="Normal 17 2 3 2 3" xfId="16269" xr:uid="{8388C7ED-A0F0-4012-A9F4-575F4030EABF}"/>
    <cellStyle name="Normal 17 2 3 3" xfId="16223" xr:uid="{C35E6568-2460-44F7-BB02-FEC90D1DADB6}"/>
    <cellStyle name="Normal 17 2 3 3 2" xfId="16821" xr:uid="{F05B0B2F-102F-48B5-9A59-8B4E429C1B70}"/>
    <cellStyle name="Normal 17 2 3 4" xfId="14852" xr:uid="{D42B96E0-0DC4-448E-8417-777B3062C55D}"/>
    <cellStyle name="Normal 17 2 4" xfId="6524" xr:uid="{0590C970-78AD-4CDD-A219-2081D2DEF524}"/>
    <cellStyle name="Normal 17 2 5" xfId="6525" xr:uid="{80E5E0FD-427E-4A7F-993C-69335756C297}"/>
    <cellStyle name="Normal 17 2 5 2" xfId="17424" xr:uid="{2A457B3B-F132-417C-BE06-1E2FE3606C37}"/>
    <cellStyle name="Normal 17 2 6" xfId="6526" xr:uid="{47CEC4BF-6BC9-4FB2-A332-25E21B63839A}"/>
    <cellStyle name="Normal 17 2 6 2" xfId="18035" xr:uid="{731B0C53-A6E3-46D1-9299-A957DECD2B40}"/>
    <cellStyle name="Normal 17 2 7" xfId="8442" xr:uid="{C9887FC7-462D-43BF-8137-6D73E33A2997}"/>
    <cellStyle name="Normal 17 2 7 2" xfId="18494" xr:uid="{AA2C5671-AEE3-4C1F-8E13-AAE60B1CD8A3}"/>
    <cellStyle name="Normal 17 2 8" xfId="9910" xr:uid="{7799832D-C3B4-46D6-A3A6-B6A65E3B6AC9}"/>
    <cellStyle name="Normal 17 2 9" xfId="10466" xr:uid="{58E2C515-FE0F-4EF1-AC9B-DA09B7BF1311}"/>
    <cellStyle name="Normal 17 3" xfId="6023" xr:uid="{B5A7BD9C-1AE5-4F4D-A5A6-D9BFF59DA36C}"/>
    <cellStyle name="Normal 17 3 2" xfId="6527" xr:uid="{7955C8EE-29B1-46CC-9697-067369B8E79B}"/>
    <cellStyle name="Normal 17 3 2 2" xfId="19647" xr:uid="{3952468F-87C3-4380-856F-27CCE2FE5269}"/>
    <cellStyle name="Normal 17 3 2 3" xfId="15619" xr:uid="{A6294E91-B03B-4CE1-938E-7A86CE064653}"/>
    <cellStyle name="Normal 17 3 2 4" xfId="15462" xr:uid="{5555A454-7A8B-482D-9421-A44CE615E845}"/>
    <cellStyle name="Normal 17 3 3" xfId="6528" xr:uid="{DEEBCE5C-D72B-4B76-8B4D-CA171CC34848}"/>
    <cellStyle name="Normal 17 3 3 2" xfId="17260" xr:uid="{867CCA6A-6E80-48E4-9685-E1169FA85A9C}"/>
    <cellStyle name="Normal 17 3 4" xfId="6529" xr:uid="{20B2E27E-9B9F-496C-8470-0217BB67C5B5}"/>
    <cellStyle name="Normal 17 3 4 2" xfId="17874" xr:uid="{8852E076-479A-4DC4-A1A5-814558E763C4}"/>
    <cellStyle name="Normal 17 3 5" xfId="8689" xr:uid="{E2290FA1-C8BB-4B1E-9980-1A1AF914A25F}"/>
    <cellStyle name="Normal 17 3 5 2" xfId="18741" xr:uid="{2D420F9A-7D71-4990-9B93-20FF000ADB4F}"/>
    <cellStyle name="Normal 17 3 6" xfId="9750" xr:uid="{4278F54F-6F63-484E-BFE2-D3C2E43E8253}"/>
    <cellStyle name="Normal 17 3 7" xfId="10467" xr:uid="{525A0129-8F5C-408F-920D-5C7D6FEAB605}"/>
    <cellStyle name="Normal 17 3 8" xfId="15824" xr:uid="{896BDDE7-3BE3-484C-BE6A-B0B22FCE6438}"/>
    <cellStyle name="Normal 17 4" xfId="485" xr:uid="{69BC597E-AFA8-41F6-A1DE-4AFDDEA7BAD8}"/>
    <cellStyle name="Normal 17 4 2" xfId="9137" xr:uid="{C498522C-6DA0-4890-BA90-8A49BBCB42B8}"/>
    <cellStyle name="Normal 17 4 2 2" xfId="19189" xr:uid="{0243ABF4-2640-47A6-B569-68366F561E18}"/>
    <cellStyle name="Normal 17 4 2 3" xfId="16263" xr:uid="{FEEA036A-8C96-4407-B549-4393842D378E}"/>
    <cellStyle name="Normal 17 4 3" xfId="14176" xr:uid="{5CCF1573-9151-4F93-A281-C67B795536CA}"/>
    <cellStyle name="Normal 17 4 3 2" xfId="16639" xr:uid="{D3C08B94-FD6F-4204-9984-F65DF2FE026A}"/>
    <cellStyle name="Normal 17 4 4" xfId="14139" xr:uid="{A3AE50D5-B7B6-4F18-83AB-67F41774F5EC}"/>
    <cellStyle name="Normal 17 5" xfId="6530" xr:uid="{7B86A21C-9EAB-4433-A497-CB02800D2E7B}"/>
    <cellStyle name="Normal 17 6" xfId="6531" xr:uid="{29A46A29-74F7-47C0-AF0E-BA3FB20FFED8}"/>
    <cellStyle name="Normal 17 6 2" xfId="17113" xr:uid="{B5EE656A-46B7-4A25-BBCF-45629F2BC665}"/>
    <cellStyle name="Normal 17 7" xfId="6532" xr:uid="{3D46DF36-7E89-4168-AC38-FACDB28FFB6C}"/>
    <cellStyle name="Normal 17 7 2" xfId="17721" xr:uid="{5B38D1E4-11E0-43F3-AE67-4D03BC4902BA}"/>
    <cellStyle name="Normal 17 8" xfId="8261" xr:uid="{B5CAC90E-81FE-4EE5-B822-E8C10195FCC3}"/>
    <cellStyle name="Normal 17 8 2" xfId="18313" xr:uid="{7945D994-5E6D-483E-B1D7-A8E07ADD01CE}"/>
    <cellStyle name="Normal 17 9" xfId="9603" xr:uid="{841727DC-575E-4EC4-B73E-BEEC3DCD7E9F}"/>
    <cellStyle name="Normal 18" xfId="97" xr:uid="{57539815-97B6-4E63-9FF2-700934A9D184}"/>
    <cellStyle name="Normal 18 2" xfId="4438" xr:uid="{C01885F9-F763-4D48-A5B1-8B4625BF5CDC}"/>
    <cellStyle name="Normal 18 2 2" xfId="6533" xr:uid="{7CB32502-D75B-4E74-A56F-B207D2416159}"/>
    <cellStyle name="Normal 18 2 2 2" xfId="8871" xr:uid="{15F6A2D1-3C20-4908-A038-FCD22C882035}"/>
    <cellStyle name="Normal 18 2 2 2 2" xfId="18923" xr:uid="{40405C2A-AD1E-4567-9737-A3C92DFC0490}"/>
    <cellStyle name="Normal 18 2 2 3" xfId="16377" xr:uid="{CA95180C-B60A-485E-8310-99234FC61A4F}"/>
    <cellStyle name="Normal 18 2 2 4" xfId="15247" xr:uid="{79AAAE88-F4CE-4F43-9618-C6EF196CBAFB}"/>
    <cellStyle name="Normal 18 2 3" xfId="6534" xr:uid="{2208D10C-964D-4D77-92F2-026DD1F28CEA}"/>
    <cellStyle name="Normal 18 2 3 2" xfId="9319" xr:uid="{E737921E-32DB-4AC3-A7DD-1A412F3CD14C}"/>
    <cellStyle name="Normal 18 2 3 2 2" xfId="19371" xr:uid="{6798DA29-18ED-43AB-9A46-A1533DBE07E1}"/>
    <cellStyle name="Normal 18 2 3 3" xfId="16822" xr:uid="{DCA9671B-651A-42DB-923C-6E62D73F248F}"/>
    <cellStyle name="Normal 18 2 3 4" xfId="14851" xr:uid="{95D288C5-6866-432C-B7FB-06622D9812DD}"/>
    <cellStyle name="Normal 18 2 4" xfId="6535" xr:uid="{A97CE979-5029-4901-8CF6-BE0928ED9173}"/>
    <cellStyle name="Normal 18 2 4 2" xfId="17261" xr:uid="{72245977-005D-46AA-80C0-6B6D70AD6DE6}"/>
    <cellStyle name="Normal 18 2 4 3" xfId="15489" xr:uid="{C967B681-BBD1-4BC9-8454-F00D50AB77E6}"/>
    <cellStyle name="Normal 18 2 5" xfId="6536" xr:uid="{A6C1E85D-090A-4913-91CB-93764B5B911C}"/>
    <cellStyle name="Normal 18 2 5 2" xfId="17875" xr:uid="{EC41A62B-7A83-48F2-9DC7-C5BAF7DF0613}"/>
    <cellStyle name="Normal 18 2 5 3" xfId="14437" xr:uid="{AB54C02C-1424-4FB5-8F22-64CD23D975B4}"/>
    <cellStyle name="Normal 18 2 6" xfId="8443" xr:uid="{F4A654FF-7C87-49BD-BF72-313285930E71}"/>
    <cellStyle name="Normal 18 2 6 2" xfId="18495" xr:uid="{6C89B71E-057C-4AAD-AE66-5BED4736C97F}"/>
    <cellStyle name="Normal 18 2 7" xfId="9751" xr:uid="{FEA34ED8-597C-4286-A652-4630E2054713}"/>
    <cellStyle name="Normal 18 2 8" xfId="10469" xr:uid="{0E6316AB-04AF-4844-9EB0-38290C917240}"/>
    <cellStyle name="Normal 18 2 9" xfId="16029" xr:uid="{96180F78-B0CC-4729-8A35-45C739E4964B}"/>
    <cellStyle name="Normal 18 3" xfId="6537" xr:uid="{B19F5EA9-A08D-4D96-A635-6E1BE492F4E9}"/>
    <cellStyle name="Normal 18 3 2" xfId="10199" xr:uid="{8094DAD6-A441-46AF-92B5-A6F65619551E}"/>
    <cellStyle name="Normal 18 3 2 2" xfId="19665" xr:uid="{5F21D643-114A-4760-BD70-E1611F4003E8}"/>
    <cellStyle name="Normal 18 3 3" xfId="10888" xr:uid="{B6DA4E0D-58E4-4B08-A7D8-30FACA79514E}"/>
    <cellStyle name="Normal 18 4" xfId="6538" xr:uid="{1A66B1C6-C91D-427C-98AA-8A87445F2049}"/>
    <cellStyle name="Normal 18 4 2" xfId="10165" xr:uid="{6FD0E593-814A-4513-B008-90D1B92ACEEE}"/>
    <cellStyle name="Normal 18 4 3" xfId="17722" xr:uid="{0D1FA0BF-D216-4290-BBEC-58B05FD59960}"/>
    <cellStyle name="Normal 18 5" xfId="9604" xr:uid="{61A4FEEB-0CA0-4188-8D1A-DF8D3B2AC774}"/>
    <cellStyle name="Normal 18 5 2" xfId="19634" xr:uid="{5BBFACD9-4D0C-4896-8E97-B582C7A4D827}"/>
    <cellStyle name="Normal 18 6" xfId="10468" xr:uid="{AA46F923-37DB-411D-838E-D04777E9E09D}"/>
    <cellStyle name="Normal 18 7" xfId="11648" xr:uid="{829C3B57-3E73-49C3-8A0D-CB6FB689B34A}"/>
    <cellStyle name="Normal 19" xfId="100" xr:uid="{7FA993DA-2EAE-4CC8-B0E6-B62BED869513}"/>
    <cellStyle name="Normal 19 2" xfId="6040" xr:uid="{EAE29DB3-7D47-4F36-888E-47E3F1B56104}"/>
    <cellStyle name="Normal 19 2 2" xfId="19800" xr:uid="{FA6B1445-329C-46EE-8841-A3C1206D57F1}"/>
    <cellStyle name="Normal 19 3" xfId="2721" xr:uid="{AE6D9963-5446-4D48-8050-1AD039A34D4C}"/>
    <cellStyle name="Normal 19 4" xfId="6539" xr:uid="{86B21BB0-0178-450C-BCA3-BD7B7E3EEA82}"/>
    <cellStyle name="Normal 2" xfId="5" xr:uid="{3AF59E9F-BD9C-48B6-8DB4-789AE31178CF}"/>
    <cellStyle name="Normal 2 10" xfId="492" xr:uid="{923A00A6-D43C-4B83-ADD4-C33E86950DD3}"/>
    <cellStyle name="Normal 2 10 2" xfId="19676" xr:uid="{2DB677FF-B449-427B-8357-A91F75B15EDE}"/>
    <cellStyle name="Normal 2 11" xfId="2722" xr:uid="{E6528560-8F52-4007-869C-1459EAECCF98}"/>
    <cellStyle name="Normal 2 11 2" xfId="19801" xr:uid="{F7BC9E98-469F-4276-B31E-D8EA2D76DD37}"/>
    <cellStyle name="Normal 2 12" xfId="2723" xr:uid="{A8C1782A-1FB5-4B77-A093-B056283FCAAC}"/>
    <cellStyle name="Normal 2 12 2" xfId="12024" xr:uid="{57200A23-293E-47AB-B7E6-654948FF0907}"/>
    <cellStyle name="Normal 2 12 2 2" xfId="19802" xr:uid="{E6BD2897-2602-44E1-AD48-DAF0A49C65C8}"/>
    <cellStyle name="Normal 2 12 2 3" xfId="20647" xr:uid="{94A45644-DB71-4E57-90A4-DD87960A45ED}"/>
    <cellStyle name="Normal 2 13" xfId="2724" xr:uid="{BED51538-FC9B-49D1-A282-D27B9E2471D0}"/>
    <cellStyle name="Normal 2 13 2" xfId="12741" xr:uid="{B0BC35BA-61BB-403B-8B83-1B963A830AB9}"/>
    <cellStyle name="Normal 2 13 2 2" xfId="19803" xr:uid="{EDDA8CC8-A7EA-44C9-8582-B7CB65E377FD}"/>
    <cellStyle name="Normal 2 13 2 3" xfId="20714" xr:uid="{4AB4F69C-B1EB-44C0-AD5E-1BBDF1D52936}"/>
    <cellStyle name="Normal 2 14" xfId="2725" xr:uid="{C75CDF01-36B3-444A-A6BC-9042D7ECD39E}"/>
    <cellStyle name="Normal 2 14 2" xfId="11377" xr:uid="{9A3A3A2C-5F26-42F2-8122-D1C097C333C0}"/>
    <cellStyle name="Normal 2 14 2 2" xfId="19804" xr:uid="{5E333AA6-8B37-4837-9118-08EF92A6DFA8}"/>
    <cellStyle name="Normal 2 14 2 3" xfId="20557" xr:uid="{E2CC234C-4F9B-40DB-91DE-64609B16C341}"/>
    <cellStyle name="Normal 2 15" xfId="2726" xr:uid="{8631CB5F-BE0E-4838-9EF2-68FFDD558AD2}"/>
    <cellStyle name="Normal 2 15 2" xfId="12406" xr:uid="{23D0B169-FC77-4F76-A7F6-045F6607C364}"/>
    <cellStyle name="Normal 2 15 2 2" xfId="19805" xr:uid="{653942DD-E383-4375-8A4D-0ADA66359D69}"/>
    <cellStyle name="Normal 2 15 2 3" xfId="20683" xr:uid="{2E260D2D-CF14-4830-912C-DFB108130EBC}"/>
    <cellStyle name="Normal 2 16" xfId="2727" xr:uid="{64E48E54-246B-47ED-9B1B-9DF88C700C86}"/>
    <cellStyle name="Normal 2 16 2" xfId="12489" xr:uid="{90F597E6-C0AF-4A4C-B434-AA42518E6BA4}"/>
    <cellStyle name="Normal 2 16 2 2" xfId="19806" xr:uid="{BC6AD75F-1947-497E-BD01-991E0669A9EF}"/>
    <cellStyle name="Normal 2 16 2 3" xfId="20693" xr:uid="{A963D93E-4025-4945-ADEE-4C6BCEF70012}"/>
    <cellStyle name="Normal 2 17" xfId="2728" xr:uid="{757EF417-0DE9-4304-8F50-2E9F50DD5134}"/>
    <cellStyle name="Normal 2 17 2" xfId="11291" xr:uid="{2E0C9F0F-F289-4854-82E0-FEB52C5A5060}"/>
    <cellStyle name="Normal 2 17 2 2" xfId="19807" xr:uid="{91A5AA0D-804E-4349-AD0B-15E74BBA7AD3}"/>
    <cellStyle name="Normal 2 17 2 3" xfId="20530" xr:uid="{282AD807-F395-495A-B865-7990808A0498}"/>
    <cellStyle name="Normal 2 18" xfId="2729" xr:uid="{4299EBF4-EBFC-4516-814C-76592377807C}"/>
    <cellStyle name="Normal 2 18 2" xfId="12742" xr:uid="{6D717161-2D17-4AFA-A229-45FAA287D49C}"/>
    <cellStyle name="Normal 2 18 2 2" xfId="19808" xr:uid="{A5DFCD79-A679-4E61-8D04-E0346CC73744}"/>
    <cellStyle name="Normal 2 18 2 3" xfId="20715" xr:uid="{30F05AD3-03E0-431A-865F-433189EDCAA0}"/>
    <cellStyle name="Normal 2 19" xfId="2730" xr:uid="{5840DB26-D0F0-4FCD-BB95-2835F397A975}"/>
    <cellStyle name="Normal 2 19 2" xfId="11372" xr:uid="{B6A48AD7-FD8B-4FB9-A975-755EAD4ABC20}"/>
    <cellStyle name="Normal 2 19 2 2" xfId="19809" xr:uid="{DA4B1F98-A9EF-4DB3-ABEC-C89D54CC94F5}"/>
    <cellStyle name="Normal 2 19 2 3" xfId="20554" xr:uid="{FA36F556-16FC-4AC9-AAD5-A4CDFB3DF419}"/>
    <cellStyle name="Normal 2 2" xfId="44" xr:uid="{0D947C1C-88F1-4A7F-9EE8-BFBC2698F1CC}"/>
    <cellStyle name="Normal 2 2 2" xfId="86" xr:uid="{92AD94D8-6FEE-4EDA-8371-F42DBE45094B}"/>
    <cellStyle name="Normal 2 2 2 2" xfId="3528" xr:uid="{3683E2CE-76D8-497B-AE79-0C8E5638E0DF}"/>
    <cellStyle name="Normal 2 2 2 2 2" xfId="12840" xr:uid="{848A43DE-4D52-49E8-B29F-56B1F1FAF5C1}"/>
    <cellStyle name="Normal 2 2 2 3" xfId="12839" xr:uid="{683BAE91-6E48-471E-8CB4-CABCB79AF7FB}"/>
    <cellStyle name="Normal 2 2 3" xfId="2731" xr:uid="{A5C2B47B-8EF6-4F2F-BE5C-11F0C0594AA9}"/>
    <cellStyle name="Normal 2 2 3 10" xfId="11103" xr:uid="{7EADE3BC-63D2-47B2-A3C6-0843CAC3EDA8}"/>
    <cellStyle name="Normal 2 2 3 11" xfId="11723" xr:uid="{E47D0AA2-48A2-4E57-9032-0AA05006B14E}"/>
    <cellStyle name="Normal 2 2 3 12" xfId="12841" xr:uid="{6D9432AC-D927-4877-AA35-211F419BC271}"/>
    <cellStyle name="Normal 2 2 3 13" xfId="12315" xr:uid="{E5AE9F91-6C75-4032-9805-DA36931BAB62}"/>
    <cellStyle name="Normal 2 2 3 14" xfId="12743" xr:uid="{50AF34DC-A3C6-4294-8EC4-5E0F3A095C82}"/>
    <cellStyle name="Normal 2 2 3 15" xfId="11921" xr:uid="{EE3EC34E-6FED-4727-871F-47B430A45694}"/>
    <cellStyle name="Normal 2 2 3 16" xfId="12579" xr:uid="{00557FD9-28E7-41FA-98D7-7FC37222DFE5}"/>
    <cellStyle name="Normal 2 2 3 17" xfId="11774" xr:uid="{EB9CA491-DE6F-41D6-BF54-BE9DEA7CDB76}"/>
    <cellStyle name="Normal 2 2 3 18" xfId="12382" xr:uid="{47FCB56B-0FEA-41C6-85D0-C9E81BA08DD5}"/>
    <cellStyle name="Normal 2 2 3 19" xfId="11230" xr:uid="{A785680C-A66B-493A-900D-18ED6AD79D93}"/>
    <cellStyle name="Normal 2 2 3 2" xfId="4439" xr:uid="{EB1DA355-E7A0-4FFE-ADAA-4C70C8917A5E}"/>
    <cellStyle name="Normal 2 2 3 2 2" xfId="6540" xr:uid="{2E3ED810-9B67-4965-90B2-5ECA82E87908}"/>
    <cellStyle name="Normal 2 2 3 2 2 2" xfId="8872" xr:uid="{4E4F6A8E-9A9C-4CE7-BE17-97F5CAEA9109}"/>
    <cellStyle name="Normal 2 2 3 2 2 2 2" xfId="18924" xr:uid="{07AEE214-6BA1-4890-BBC1-69C22ED3E3A4}"/>
    <cellStyle name="Normal 2 2 3 2 2 3" xfId="16378" xr:uid="{BB446913-5205-4E17-97A2-215D05623F38}"/>
    <cellStyle name="Normal 2 2 3 2 2 4" xfId="15246" xr:uid="{E96A5D12-6A4C-4ADB-8E70-C867AD8DA60C}"/>
    <cellStyle name="Normal 2 2 3 2 3" xfId="6541" xr:uid="{325FBE6A-93AA-4A13-99A9-ADA33FC7575E}"/>
    <cellStyle name="Normal 2 2 3 2 3 2" xfId="9320" xr:uid="{6DB904ED-B36E-47F3-AACB-8CC8E8FCC253}"/>
    <cellStyle name="Normal 2 2 3 2 3 2 2" xfId="19372" xr:uid="{F60A5068-077C-4095-B647-07226630E552}"/>
    <cellStyle name="Normal 2 2 3 2 3 3" xfId="16823" xr:uid="{F7B89F57-F50A-4C4C-87E4-20FE3E20226F}"/>
    <cellStyle name="Normal 2 2 3 2 3 4" xfId="14850" xr:uid="{00F00E0D-EF6A-44FF-8212-37E554B1DCC4}"/>
    <cellStyle name="Normal 2 2 3 2 4" xfId="6542" xr:uid="{CD0B71D1-47AD-468E-8AC9-C53E8635E5AC}"/>
    <cellStyle name="Normal 2 2 3 2 4 2" xfId="17262" xr:uid="{EE454D85-1533-4E96-AACE-562F18D5CA9B}"/>
    <cellStyle name="Normal 2 2 3 2 4 3" xfId="15488" xr:uid="{7006553E-FDC3-4F82-A5A4-312FF2959B63}"/>
    <cellStyle name="Normal 2 2 3 2 5" xfId="6543" xr:uid="{32ECBE7B-129B-4E7F-87BD-0B20E023E79E}"/>
    <cellStyle name="Normal 2 2 3 2 5 2" xfId="17876" xr:uid="{9C661A96-7FC4-4190-AC0F-44B734F0B08C}"/>
    <cellStyle name="Normal 2 2 3 2 5 3" xfId="14436" xr:uid="{7EF941A0-FF65-42EC-8E09-FC697B3857B7}"/>
    <cellStyle name="Normal 2 2 3 2 6" xfId="8444" xr:uid="{8FE80DAA-4495-4E90-A7DB-6CE3C0482EA1}"/>
    <cellStyle name="Normal 2 2 3 2 6 2" xfId="18496" xr:uid="{143B2831-6DA2-42A2-B2A8-E956C53EF2AB}"/>
    <cellStyle name="Normal 2 2 3 2 7" xfId="9752" xr:uid="{D81D5B19-C039-48C0-BA96-90D35D218FF2}"/>
    <cellStyle name="Normal 2 2 3 2 8" xfId="10471" xr:uid="{35B43232-5E9F-47D3-85D7-F638B045FFEC}"/>
    <cellStyle name="Normal 2 2 3 2 9" xfId="12842" xr:uid="{7D615D22-544D-467D-9756-B7F00A0FFAC1}"/>
    <cellStyle name="Normal 2 2 3 2 9 2" xfId="16155" xr:uid="{53C5578A-1042-455F-88B8-17A8E994BC50}"/>
    <cellStyle name="Normal 2 2 3 2 9 3" xfId="20734" xr:uid="{08386E7D-1394-40DE-AD6B-A6204FB828AB}"/>
    <cellStyle name="Normal 2 2 3 20" xfId="12561" xr:uid="{0F1DF17A-9060-4960-B0EE-22E9519984E4}"/>
    <cellStyle name="Normal 2 2 3 21" xfId="12006" xr:uid="{834D00D8-2D93-4055-8F36-C52F07E869C2}"/>
    <cellStyle name="Normal 2 2 3 22" xfId="12333" xr:uid="{45C329A3-54EA-4113-99F8-E9160190B5DE}"/>
    <cellStyle name="Normal 2 2 3 23" xfId="11896" xr:uid="{2CF8F012-2854-41B6-BDDA-0161CC8DC127}"/>
    <cellStyle name="Normal 2 2 3 24" xfId="11455" xr:uid="{BE56DA73-F882-43FE-AC81-BAED136B9A39}"/>
    <cellStyle name="Normal 2 2 3 3" xfId="6544" xr:uid="{9F522317-9315-4D02-9396-0CAFEF22DF86}"/>
    <cellStyle name="Normal 2 2 3 3 2" xfId="10200" xr:uid="{3ABE598F-31D5-42A7-9E42-5B0357583EBD}"/>
    <cellStyle name="Normal 2 2 3 3 2 2" xfId="19666" xr:uid="{0A6E79A0-7B78-4BF9-B86D-89FC76952F2C}"/>
    <cellStyle name="Normal 2 2 3 3 3" xfId="10889" xr:uid="{263614E7-D4E5-4E4F-B899-6546AC2E99AE}"/>
    <cellStyle name="Normal 2 2 3 3 4" xfId="12989" xr:uid="{31D714C3-E363-472D-A494-F5072270BEB3}"/>
    <cellStyle name="Normal 2 2 3 4" xfId="6545" xr:uid="{262F92C9-0A47-43CC-A5FF-24EB79C52672}"/>
    <cellStyle name="Normal 2 2 3 4 2" xfId="10177" xr:uid="{07BE6359-5B66-46E8-A4ED-DCAF9AD364B9}"/>
    <cellStyle name="Normal 2 2 3 4 3" xfId="12794" xr:uid="{716B2B90-E9AB-4810-9B77-311C1EFC62A0}"/>
    <cellStyle name="Normal 2 2 3 4 3 2" xfId="17723" xr:uid="{37BE76E3-C013-49C9-B1D5-6C0DB93889E8}"/>
    <cellStyle name="Normal 2 2 3 4 3 3" xfId="20723" xr:uid="{3980927E-C351-4CDA-8899-C256DCD28334}"/>
    <cellStyle name="Normal 2 2 3 5" xfId="9605" xr:uid="{2273F33B-CE4A-4BCE-998F-1A401FF04703}"/>
    <cellStyle name="Normal 2 2 3 5 2" xfId="12026" xr:uid="{DC068EAA-46B8-40AE-B175-9F2AA70A5EF8}"/>
    <cellStyle name="Normal 2 2 3 5 2 2" xfId="19635" xr:uid="{0A1E22C8-9006-4741-97BD-58D83CD37F72}"/>
    <cellStyle name="Normal 2 2 3 5 2 3" xfId="20648" xr:uid="{91B5769A-9342-4FBC-8747-742922C50F0A}"/>
    <cellStyle name="Normal 2 2 3 6" xfId="10470" xr:uid="{C06E88FE-7BF0-4FF0-B5FA-78F963600FEA}"/>
    <cellStyle name="Normal 2 2 3 6 2" xfId="10953" xr:uid="{0AE72447-57CA-4A80-A8E6-187B9D01DDDD}"/>
    <cellStyle name="Normal 2 2 3 7" xfId="11649" xr:uid="{958AF5C2-4848-4C11-B196-E94D500A3F9D}"/>
    <cellStyle name="Normal 2 2 3 8" xfId="12843" xr:uid="{34160689-E33D-4D98-B7F2-1E89EABCFF62}"/>
    <cellStyle name="Normal 2 2 3 9" xfId="11104" xr:uid="{EA8A1754-13DE-4493-ABC2-BD0B245282CB}"/>
    <cellStyle name="Normal 2 2 4" xfId="6546" xr:uid="{1F8C0452-972B-4482-B80A-C7569836CE6F}"/>
    <cellStyle name="Normal 2 2 4 2" xfId="12844" xr:uid="{741F0C8F-F5F7-4329-9466-1A90A8E21010}"/>
    <cellStyle name="Normal 2 2 4 2 2" xfId="19966" xr:uid="{F0F556F5-D79F-421C-87DD-D8FEF9CF34BB}"/>
    <cellStyle name="Normal 2 2 4 2 3" xfId="20735" xr:uid="{0F18AD0C-4097-4531-85D4-CA84311BC8D5}"/>
    <cellStyle name="Normal 2 2 4 3" xfId="12744" xr:uid="{9A0B747D-AC58-4F63-B953-75CD893312F3}"/>
    <cellStyle name="Normal 2 2 4 3 2" xfId="11380" xr:uid="{80A4B3F6-641F-4FFB-AE12-DC8BA675B0DE}"/>
    <cellStyle name="Normal 2 2 4 4" xfId="11722" xr:uid="{B1CD75BF-5F6D-428E-889D-515B3B503A1B}"/>
    <cellStyle name="Normal 2 2 5" xfId="19671" xr:uid="{81C806F2-561A-4560-9BFC-8E4A475126ED}"/>
    <cellStyle name="Normal 2 20" xfId="2732" xr:uid="{5CA21EC0-B6FE-4057-AFBC-325BCBC2335B}"/>
    <cellStyle name="Normal 2 20 2" xfId="12845" xr:uid="{367BCC36-1B27-4CA4-B414-BB8CD81D2E8C}"/>
    <cellStyle name="Normal 2 20 2 2" xfId="19810" xr:uid="{3BF7D202-CB58-4E07-9EF2-91656557F6AF}"/>
    <cellStyle name="Normal 2 20 2 3" xfId="20736" xr:uid="{EB5772AC-E2BB-4EC1-9E74-40E3E60D4A08}"/>
    <cellStyle name="Normal 2 21" xfId="2733" xr:uid="{B5DB3873-B608-409E-9079-C6063A78BEC1}"/>
    <cellStyle name="Normal 2 21 2" xfId="12846" xr:uid="{C38868E5-7B95-4316-91C6-B825C14DC921}"/>
    <cellStyle name="Normal 2 21 2 2" xfId="19811" xr:uid="{CE1F7E43-72E3-4F70-9EAA-4ACFDC9B7927}"/>
    <cellStyle name="Normal 2 21 2 3" xfId="20737" xr:uid="{4AC716D1-ED71-45F0-9E59-A5D4E0936E47}"/>
    <cellStyle name="Normal 2 22" xfId="2734" xr:uid="{7CAD6212-8924-416C-9E34-ACD10B72983E}"/>
    <cellStyle name="Normal 2 22 2" xfId="12982" xr:uid="{86920A51-5E6E-4EA0-8417-C4BA73562EA3}"/>
    <cellStyle name="Normal 2 22 2 2" xfId="19812" xr:uid="{1D141937-08D6-4FE5-9009-C316063C57AC}"/>
    <cellStyle name="Normal 2 22 2 3" xfId="20758" xr:uid="{8E7DE6BA-6DA7-4A19-8C1B-45871F63A4D8}"/>
    <cellStyle name="Normal 2 23" xfId="2735" xr:uid="{F8EB0AB5-058F-46D0-AAAB-4AAB9DBBA9E5}"/>
    <cellStyle name="Normal 2 23 2" xfId="11323" xr:uid="{EAFEDBFA-9177-4AFD-882E-03EC2E7CFB3C}"/>
    <cellStyle name="Normal 2 23 2 2" xfId="19813" xr:uid="{F519BF83-B814-47E5-83BE-5FA0F935BADF}"/>
    <cellStyle name="Normal 2 23 2 3" xfId="20544" xr:uid="{E2BBAB48-0A0D-4890-A291-7DCEFB1DBC84}"/>
    <cellStyle name="Normal 2 24" xfId="2736" xr:uid="{0985B716-682F-4FAE-ACCE-E23E61A95DF4}"/>
    <cellStyle name="Normal 2 24 2" xfId="12799" xr:uid="{153A39B0-3896-4FD0-8B1D-99E29DEB2AF4}"/>
    <cellStyle name="Normal 2 24 2 2" xfId="19814" xr:uid="{9E845DAA-97AB-43FF-92E3-39B8AAE92DE7}"/>
    <cellStyle name="Normal 2 24 2 3" xfId="20725" xr:uid="{EDEF64EC-5846-4ECD-AE31-CDC37AFE18D8}"/>
    <cellStyle name="Normal 2 25" xfId="2737" xr:uid="{B08519E2-CFFF-451C-8EA6-77E60C9F1DF9}"/>
    <cellStyle name="Normal 2 25 2" xfId="11046" xr:uid="{3F840239-2D65-4B17-9C94-4E8E45D4DE67}"/>
    <cellStyle name="Normal 2 25 2 2" xfId="19815" xr:uid="{1700A4BE-A594-45E0-B36B-A4A61234D85D}"/>
    <cellStyle name="Normal 2 25 2 3" xfId="20502" xr:uid="{0F6E5030-BD5D-4040-BF8A-D8DA2C86B03F}"/>
    <cellStyle name="Normal 2 26" xfId="2738" xr:uid="{2C99804C-435D-4EC1-8E9F-CB9D8F584693}"/>
    <cellStyle name="Normal 2 26 2" xfId="12847" xr:uid="{50BA95F2-D337-4CD1-9E29-5BF2F4154F32}"/>
    <cellStyle name="Normal 2 26 2 2" xfId="19816" xr:uid="{B9D98E1A-F1B7-4563-BC00-89C85FD3AB01}"/>
    <cellStyle name="Normal 2 26 2 3" xfId="20738" xr:uid="{11662236-3C7A-450F-86A3-F9745CC2BB81}"/>
    <cellStyle name="Normal 2 27" xfId="2739" xr:uid="{6E63F0C7-87C4-4037-B37E-A6E474C104EA}"/>
    <cellStyle name="Normal 2 27 2" xfId="12848" xr:uid="{E78EC87B-4653-4291-AEEA-E1231BA42876}"/>
    <cellStyle name="Normal 2 27 2 2" xfId="19817" xr:uid="{3456F29D-DCF4-4960-BC45-1221D2FBA544}"/>
    <cellStyle name="Normal 2 27 2 3" xfId="20739" xr:uid="{2C00A43F-E429-4272-A000-EB7DFA04310B}"/>
    <cellStyle name="Normal 2 28" xfId="2740" xr:uid="{5D546CCA-077F-4661-A9A6-921B839C50FE}"/>
    <cellStyle name="Normal 2 28 2" xfId="11401" xr:uid="{9D28D7EA-6CEA-4AB7-8228-983999A3DE14}"/>
    <cellStyle name="Normal 2 28 2 2" xfId="19818" xr:uid="{07EDBD0E-4FD0-4CF0-B0AF-23F589C26540}"/>
    <cellStyle name="Normal 2 28 2 3" xfId="20563" xr:uid="{746DCE4B-1098-42EA-99D3-50E427B3CC5B}"/>
    <cellStyle name="Normal 2 29" xfId="2741" xr:uid="{F5CC303B-4D57-4440-8BCE-35A661851A7D}"/>
    <cellStyle name="Normal 2 29 2" xfId="12849" xr:uid="{73D33C1A-FFB5-42C0-9A56-D1806AF0ACC9}"/>
    <cellStyle name="Normal 2 29 2 2" xfId="19819" xr:uid="{4E004591-28D3-4AD7-9D1D-6C912D01EE7C}"/>
    <cellStyle name="Normal 2 29 2 3" xfId="20740" xr:uid="{58F488B5-3898-4739-B2ED-2517A1955116}"/>
    <cellStyle name="Normal 2 3" xfId="62" xr:uid="{5A214D63-3A40-4E71-9976-86857FC312BD}"/>
    <cellStyle name="Normal 2 3 10" xfId="11105" xr:uid="{495C08A0-855F-4AC4-8B94-A21BF9B0E70A}"/>
    <cellStyle name="Normal 2 3 11" xfId="12316" xr:uid="{491DF0DC-FB08-4542-A2AC-7B7C1309524D}"/>
    <cellStyle name="Normal 2 3 12" xfId="11336" xr:uid="{F7933F3D-73AF-43EA-B514-C574F0C5F4EE}"/>
    <cellStyle name="Normal 2 3 13" xfId="11922" xr:uid="{50D31B5F-F513-47FE-9C25-1EE3A9CD7B36}"/>
    <cellStyle name="Normal 2 3 14" xfId="11047" xr:uid="{157580F0-A0A6-4B01-9098-CAEE6DB77234}"/>
    <cellStyle name="Normal 2 3 15" xfId="12850" xr:uid="{BE760FE5-2EC1-4CE0-BD5F-54F36A87DEF0}"/>
    <cellStyle name="Normal 2 3 16" xfId="12851" xr:uid="{312524A6-024E-40D7-920C-43F105CFD1AC}"/>
    <cellStyle name="Normal 2 3 17" xfId="12554" xr:uid="{B227D609-4464-4A99-8EB8-84DA54665817}"/>
    <cellStyle name="Normal 2 3 18" xfId="12852" xr:uid="{1CF903F0-D0D9-4CE2-86A8-F41E229286B2}"/>
    <cellStyle name="Normal 2 3 19" xfId="11724" xr:uid="{A4B49E84-61B8-446D-8AB7-2E1DD60BB51D}"/>
    <cellStyle name="Normal 2 3 2" xfId="87" xr:uid="{7D9FFF8E-83F9-4967-9BF2-5ECF0B884008}"/>
    <cellStyle name="Normal 2 3 2 10" xfId="13162" xr:uid="{2DAC00C7-3B8B-4BE3-AB0F-4A3815D1B299}"/>
    <cellStyle name="Normal 2 3 2 11" xfId="11451" xr:uid="{9D9C057C-C501-447A-A42D-2417C63D40C5}"/>
    <cellStyle name="Normal 2 3 2 12" xfId="12534" xr:uid="{726979D3-C032-4C19-A27C-83BA7E37405F}"/>
    <cellStyle name="Normal 2 3 2 13" xfId="11081" xr:uid="{16E1E652-6184-49E4-93D6-78F9429CD7E8}"/>
    <cellStyle name="Normal 2 3 2 14" xfId="12853" xr:uid="{A24B52BC-A226-40EB-818A-180D5A8B0F87}"/>
    <cellStyle name="Normal 2 3 2 15" xfId="12854" xr:uid="{3E7B3A6A-FCA1-41E3-8DDE-319632B689D6}"/>
    <cellStyle name="Normal 2 3 2 16" xfId="11703" xr:uid="{49AEE7F9-EBBA-4E04-B0FF-9C8B838FF377}"/>
    <cellStyle name="Normal 2 3 2 17" xfId="11885" xr:uid="{F52BD6E0-CAE7-4E96-86F8-4135E3917A4D}"/>
    <cellStyle name="Normal 2 3 2 18" xfId="12745" xr:uid="{762D8AD2-58A3-46C2-9FE5-2B8E1C344E30}"/>
    <cellStyle name="Normal 2 3 2 19" xfId="11379" xr:uid="{8FC8B9C0-AC19-469D-82C9-13175EC07917}"/>
    <cellStyle name="Normal 2 3 2 2" xfId="6065" xr:uid="{9F72AA39-A78A-4C72-89A0-D218B059B425}"/>
    <cellStyle name="Normal 2 3 2 2 2" xfId="10178" xr:uid="{71D85034-1B8C-4282-B72D-BC065A19C860}"/>
    <cellStyle name="Normal 2 3 2 2 3" xfId="11322" xr:uid="{928586C1-7D01-4B1E-AD81-42AA9A148ADC}"/>
    <cellStyle name="Normal 2 3 2 20" xfId="12855" xr:uid="{0202F531-93EB-4172-B7CA-347EB77319A6}"/>
    <cellStyle name="Normal 2 3 2 21" xfId="12856" xr:uid="{C6D5CD16-9933-4013-BDE6-B47DD876FC8F}"/>
    <cellStyle name="Normal 2 3 2 22" xfId="12008" xr:uid="{A558E612-CF90-4EB9-9EE1-28AB8CB3ACA3}"/>
    <cellStyle name="Normal 2 3 2 23" xfId="13262" xr:uid="{0E5D4731-BD20-4E25-AE77-DE1D232BEEFD}"/>
    <cellStyle name="Normal 2 3 2 24" xfId="12007" xr:uid="{864E5CA2-7836-45F4-B725-DBEAE3F79054}"/>
    <cellStyle name="Normal 2 3 2 3" xfId="2742" xr:uid="{DA3A1057-E4D5-4EFC-B929-840ECE063FC9}"/>
    <cellStyle name="Normal 2 3 2 3 2" xfId="12857" xr:uid="{26838E59-6546-4F0E-A73B-1F94865D907B}"/>
    <cellStyle name="Normal 2 3 2 3 2 2" xfId="19654" xr:uid="{A501A988-7EB1-4B74-8AA9-0D80E07A22EC}"/>
    <cellStyle name="Normal 2 3 2 3 2 3" xfId="20741" xr:uid="{B616DF37-FFE7-453A-B597-790A4718500B}"/>
    <cellStyle name="Normal 2 3 2 4" xfId="6547" xr:uid="{59B6A4D6-633E-4E24-89C4-B8E47324F031}"/>
    <cellStyle name="Normal 2 3 2 4 2" xfId="12981" xr:uid="{92E84614-587D-417B-A874-5979177504B4}"/>
    <cellStyle name="Normal 2 3 2 4 2 2" xfId="19820" xr:uid="{820C0CC1-DCF4-4383-8572-08228CC706B3}"/>
    <cellStyle name="Normal 2 3 2 4 2 3" xfId="20757" xr:uid="{E56246EE-7433-45CB-B159-2E4350B554DD}"/>
    <cellStyle name="Normal 2 3 2 5" xfId="6548" xr:uid="{69F70580-78B0-417F-9070-2922D4CCA50E}"/>
    <cellStyle name="Normal 2 3 2 5 2" xfId="12617" xr:uid="{95D0F19C-4925-467A-B3BB-437A84DE5FE6}"/>
    <cellStyle name="Normal 2 3 2 6" xfId="13738" xr:uid="{E871E666-5E6E-41B1-9D1C-8F0F08D23B2A}"/>
    <cellStyle name="Normal 2 3 2 7" xfId="12990" xr:uid="{2418D98D-56FC-4E93-9DDC-BC5EBC435D54}"/>
    <cellStyle name="Normal 2 3 2 8" xfId="11897" xr:uid="{4022DEFE-F437-4A4B-9BA0-A3A29E41C076}"/>
    <cellStyle name="Normal 2 3 2 9" xfId="12808" xr:uid="{C687550F-5FA0-4439-B298-B7D0BAC9A33F}"/>
    <cellStyle name="Normal 2 3 20" xfId="10939" xr:uid="{51ACD87E-0A6E-4358-8DE6-A6F052772DB3}"/>
    <cellStyle name="Normal 2 3 21" xfId="11960" xr:uid="{7D4B42C1-6E65-4DC1-9338-FAFDC27AF83D}"/>
    <cellStyle name="Normal 2 3 22" xfId="11916" xr:uid="{EF7E20EA-76C2-40B6-82D1-E8E8D06B0A14}"/>
    <cellStyle name="Normal 2 3 23" xfId="11661" xr:uid="{BCCA8213-B57D-4518-871D-FB11C4CDBDE6}"/>
    <cellStyle name="Normal 2 3 24" xfId="13951" xr:uid="{3F083554-1A9E-477F-BDEB-3D7CF66868D6}"/>
    <cellStyle name="Normal 2 3 25" xfId="11234" xr:uid="{8B049EA8-A902-41AC-9F4B-8F43DC2861D1}"/>
    <cellStyle name="Normal 2 3 3" xfId="146" xr:uid="{C79A729B-2E51-4A24-A648-24120F4AFD93}"/>
    <cellStyle name="Normal 2 3 3 10" xfId="11467" xr:uid="{7BBA1679-AB74-46A6-9ECA-0C80912D8C91}"/>
    <cellStyle name="Normal 2 3 3 11" xfId="13661" xr:uid="{05B1C912-2595-4564-BAE9-C8AFA7382660}"/>
    <cellStyle name="Normal 2 3 3 12" xfId="14010" xr:uid="{6336B783-ED82-44B7-BEFC-5F701E360514}"/>
    <cellStyle name="Normal 2 3 3 13" xfId="12464" xr:uid="{F8A5361A-F32C-4795-A018-3DC31E6E4212}"/>
    <cellStyle name="Normal 2 3 3 14" xfId="13432" xr:uid="{2DFEC9F3-FCE7-4A06-827C-01D2CB4D9DB4}"/>
    <cellStyle name="Normal 2 3 3 15" xfId="11082" xr:uid="{FA2842FB-D868-47DF-A3F0-EDA9D7194FC2}"/>
    <cellStyle name="Normal 2 3 3 16" xfId="12858" xr:uid="{B08E979D-67A2-4252-9930-20AB26104983}"/>
    <cellStyle name="Normal 2 3 3 17" xfId="12501" xr:uid="{1E556D2F-5698-49BF-A510-26209EA61D89}"/>
    <cellStyle name="Normal 2 3 3 18" xfId="12518" xr:uid="{1F26285F-2EB1-4827-9FCF-66EBF1DF4470}"/>
    <cellStyle name="Normal 2 3 3 19" xfId="11106" xr:uid="{93EE8738-9349-42F7-8617-B420729D184C}"/>
    <cellStyle name="Normal 2 3 3 2" xfId="11992" xr:uid="{49D06C02-55EE-4AFA-8678-E235F8E9089C}"/>
    <cellStyle name="Normal 2 3 3 20" xfId="11382" xr:uid="{709EFD6A-F482-4FB4-AE1E-DFA768156EFC}"/>
    <cellStyle name="Normal 2 3 3 21" xfId="12563" xr:uid="{6A64D599-C0C8-4E7C-82D2-1604B8A3EEDD}"/>
    <cellStyle name="Normal 2 3 3 22" xfId="12859" xr:uid="{25EA317F-1861-4C00-B0F1-A97F0FEA0804}"/>
    <cellStyle name="Normal 2 3 3 23" xfId="12860" xr:uid="{20678F6F-8243-4827-B83B-58FF153AC286}"/>
    <cellStyle name="Normal 2 3 3 24" xfId="12991" xr:uid="{1D3DD5FC-7248-4BB1-8564-2EC52C0B2E33}"/>
    <cellStyle name="Normal 2 3 3 3" xfId="12861" xr:uid="{1A44931E-1C5A-438F-9DA5-36BE15641ECB}"/>
    <cellStyle name="Normal 2 3 3 4" xfId="12746" xr:uid="{29D5ABAF-5355-4CEB-B130-2C465B77E035}"/>
    <cellStyle name="Normal 2 3 3 5" xfId="12720" xr:uid="{D7CA2D07-EE3F-4FD4-9881-1483EE6CD89F}"/>
    <cellStyle name="Normal 2 3 3 6" xfId="11048" xr:uid="{A6255004-4655-48D1-B675-748F0BF247B0}"/>
    <cellStyle name="Normal 2 3 3 7" xfId="12862" xr:uid="{8F96C746-E36F-4389-8C33-A0C274529802}"/>
    <cellStyle name="Normal 2 3 3 8" xfId="12863" xr:uid="{F20C9ACB-240E-4C72-9C39-2EC4945F45B5}"/>
    <cellStyle name="Normal 2 3 3 9" xfId="12555" xr:uid="{099FFC2B-CACD-468A-8567-1A730DD251EA}"/>
    <cellStyle name="Normal 2 3 4" xfId="12864" xr:uid="{206DE4C8-AD0F-49FC-96E4-A8DD63C36FBF}"/>
    <cellStyle name="Normal 2 3 5" xfId="11962" xr:uid="{53261222-BF31-4590-8C02-1A619291A68E}"/>
    <cellStyle name="Normal 2 3 6" xfId="11107" xr:uid="{7EA15011-CF5F-4645-9912-A476DE5631E0}"/>
    <cellStyle name="Normal 2 3 7" xfId="11699" xr:uid="{76CC7AEB-27D8-4500-99B8-AF2FF5F8F595}"/>
    <cellStyle name="Normal 2 3 8" xfId="12747" xr:uid="{42BE69F1-A93C-404D-9FB4-1C0006689074}"/>
    <cellStyle name="Normal 2 3 9" xfId="11354" xr:uid="{DFBDB229-4FCD-4FB4-AE83-69311ADA31C8}"/>
    <cellStyle name="Normal 2 30" xfId="2743" xr:uid="{5F7BEFA0-D88B-4FC7-A5E8-E3E7114A9891}"/>
    <cellStyle name="Normal 2 30 2" xfId="11049" xr:uid="{C997201A-82E4-4D12-9084-B8B01F6E9C66}"/>
    <cellStyle name="Normal 2 30 2 2" xfId="19821" xr:uid="{2D51D396-6542-4638-816F-6048BE40348B}"/>
    <cellStyle name="Normal 2 30 2 3" xfId="20503" xr:uid="{8D7D1020-6344-4208-8A25-686453A15E1A}"/>
    <cellStyle name="Normal 2 31" xfId="2744" xr:uid="{92FFAB4F-8D5A-42C2-9636-94159610065F}"/>
    <cellStyle name="Normal 2 31 2" xfId="12865" xr:uid="{D591A153-2C06-40D1-9DA7-9E2EA1118215}"/>
    <cellStyle name="Normal 2 31 2 2" xfId="19822" xr:uid="{DE027B85-CBD6-4263-A3D1-B8489BA5D6FA}"/>
    <cellStyle name="Normal 2 31 2 3" xfId="20742" xr:uid="{60AA14A4-3C2D-4FAE-A127-B8EA612CFA1E}"/>
    <cellStyle name="Normal 2 32" xfId="2745" xr:uid="{44EC82FE-C978-42B0-87A9-23D8FEF7598D}"/>
    <cellStyle name="Normal 2 32 2" xfId="19823" xr:uid="{BDF23029-4999-4EB8-A6F5-F1DD3141AC33}"/>
    <cellStyle name="Normal 2 33" xfId="2746" xr:uid="{7B8B94E4-9DD5-495A-B8B4-C7931EA26D60}"/>
    <cellStyle name="Normal 2 33 2" xfId="19824" xr:uid="{FE31B805-DA6D-45B9-91DD-4F4D914286DA}"/>
    <cellStyle name="Normal 2 34" xfId="2747" xr:uid="{18186EC7-1874-4E6A-B23B-3B4F560EA4A7}"/>
    <cellStyle name="Normal 2 34 2" xfId="19825" xr:uid="{144C7077-61FE-4005-B1A5-7B14C2CCB075}"/>
    <cellStyle name="Normal 2 35" xfId="2748" xr:uid="{8FD1B839-69C8-4D4D-80A3-8010B38FB6A7}"/>
    <cellStyle name="Normal 2 35 2" xfId="19826" xr:uid="{7757F90F-1FE2-4631-83C9-3D41C2CEED61}"/>
    <cellStyle name="Normal 2 36" xfId="2749" xr:uid="{380559B2-2E5E-4947-A15E-CF5667C029CA}"/>
    <cellStyle name="Normal 2 36 2" xfId="19827" xr:uid="{77A9FB60-6174-4C76-B6E9-A4777599BC0A}"/>
    <cellStyle name="Normal 2 37" xfId="2750" xr:uid="{3D5B2B8B-87AA-4B7F-AC2E-5907361328E2}"/>
    <cellStyle name="Normal 2 37 2" xfId="19828" xr:uid="{0542FE76-F09E-45EC-8DD6-80306A8E9CEB}"/>
    <cellStyle name="Normal 2 38" xfId="2751" xr:uid="{DC2032E3-A383-4837-A0E6-F7159170D9D1}"/>
    <cellStyle name="Normal 2 38 2" xfId="19829" xr:uid="{40449C98-8C0E-4204-94E7-887438AA1C52}"/>
    <cellStyle name="Normal 2 39" xfId="2752" xr:uid="{ECC3B521-7D65-4D28-BE4D-3479704470D0}"/>
    <cellStyle name="Normal 2 39 2" xfId="19830" xr:uid="{4B6FF1C9-80CE-40ED-9AA5-7F37F87A3D85}"/>
    <cellStyle name="Normal 2 4" xfId="45" xr:uid="{60A0D844-7C41-4822-A6CB-8E4FC25C7189}"/>
    <cellStyle name="Normal 2 4 10" xfId="11027" xr:uid="{57EAE74D-B44B-4873-9253-FC08D2482871}"/>
    <cellStyle name="Normal 2 4 11" xfId="11460" xr:uid="{7885A35C-BD30-4495-BC2E-58A03A082DBA}"/>
    <cellStyle name="Normal 2 4 12" xfId="11954" xr:uid="{C7A09A66-4C61-4DDE-AC23-66AAC647EA70}"/>
    <cellStyle name="Normal 2 4 13" xfId="11461" xr:uid="{A590191F-9207-4985-A550-7D789E4D929C}"/>
    <cellStyle name="Normal 2 4 14" xfId="12317" xr:uid="{89FD3ACF-32CA-4F32-911B-2F263676932C}"/>
    <cellStyle name="Normal 2 4 15" xfId="12535" xr:uid="{95B6E938-D411-4225-90DD-7E468EEFDF16}"/>
    <cellStyle name="Normal 2 4 16" xfId="12580" xr:uid="{03E779C6-8237-46F5-8433-A5154B822CC6}"/>
    <cellStyle name="Normal 2 4 17" xfId="12504" xr:uid="{E1D29C66-6CA9-4757-9CBC-CEF7A131F171}"/>
    <cellStyle name="Normal 2 4 18" xfId="11775" xr:uid="{7B6D4AC9-284C-4D4B-9BF9-B2B0606914F5}"/>
    <cellStyle name="Normal 2 4 19" xfId="12833" xr:uid="{62CB22D9-77C6-4562-9B43-8BF01EDA8FB7}"/>
    <cellStyle name="Normal 2 4 2" xfId="73" xr:uid="{8DC0BD94-58AD-4E9B-BEA6-388B5CCCB9F0}"/>
    <cellStyle name="Normal 2 4 2 10" xfId="12748" xr:uid="{2C589F9D-136E-4E06-9674-BD89BEDF9D86}"/>
    <cellStyle name="Normal 2 4 2 11" xfId="11381" xr:uid="{4D96053E-2618-496D-85D1-38E8D31B5E18}"/>
    <cellStyle name="Normal 2 4 2 12" xfId="12562" xr:uid="{696572C3-2E14-403E-996E-52669C5D83FA}"/>
    <cellStyle name="Normal 2 4 2 13" xfId="12009" xr:uid="{F8D1AEAD-B8EC-40A0-B57C-8ABFAD742954}"/>
    <cellStyle name="Normal 2 4 2 14" xfId="11294" xr:uid="{D5CC0C47-860A-4E2E-9A76-EFAEAF6DBC92}"/>
    <cellStyle name="Normal 2 4 2 15" xfId="11690" xr:uid="{4A86BBC8-830D-45AA-84CB-4028B45A5431}"/>
    <cellStyle name="Normal 2 4 2 16" xfId="12749" xr:uid="{B8229FA4-D160-4C17-9F1E-8A8519EFC17B}"/>
    <cellStyle name="Normal 2 4 2 17" xfId="11355" xr:uid="{16B38641-F7DD-4B6C-A4F7-4226A17B2548}"/>
    <cellStyle name="Normal 2 4 2 18" xfId="11439" xr:uid="{C7050031-8CA1-432B-BADA-1E40FDB65917}"/>
    <cellStyle name="Normal 2 4 2 19" xfId="12017" xr:uid="{E03E281B-3B5D-4BD4-B872-EC7DE38E658A}"/>
    <cellStyle name="Normal 2 4 2 2" xfId="6066" xr:uid="{6CE12748-DFC1-4CA2-A4EA-AE02892BD6EB}"/>
    <cellStyle name="Normal 2 4 2 2 2" xfId="11691" xr:uid="{5DE098C6-D9AC-4724-8F24-CCF89F33BC3C}"/>
    <cellStyle name="Normal 2 4 2 20" xfId="11327" xr:uid="{EB89ECB7-B1CC-4547-82EC-565805E870C4}"/>
    <cellStyle name="Normal 2 4 2 21" xfId="12867" xr:uid="{57F2941C-0D64-4E22-8CA3-32FA17AA8553}"/>
    <cellStyle name="Normal 2 4 2 22" xfId="11725" xr:uid="{66461B08-EFCB-4EFB-8F84-4C675DF2F1E3}"/>
    <cellStyle name="Normal 2 4 2 23" xfId="10965" xr:uid="{B9E3A5DB-0471-4720-B4A5-0665FB13CD52}"/>
    <cellStyle name="Normal 2 4 2 3" xfId="2753" xr:uid="{B1A972DC-62EA-449D-972C-4517D3271777}"/>
    <cellStyle name="Normal 2 4 2 3 2" xfId="13335" xr:uid="{3858DEBC-24D3-48B0-BD71-4C162C13171F}"/>
    <cellStyle name="Normal 2 4 2 3 2 2" xfId="20475" xr:uid="{EE321A5A-AAC1-4BE2-B35C-B764E4B02A3B}"/>
    <cellStyle name="Normal 2 4 2 3 2 3" xfId="20791" xr:uid="{E2B0F72D-4649-4278-A2C2-780413044D28}"/>
    <cellStyle name="Normal 2 4 2 4" xfId="6549" xr:uid="{BB9A2F07-8D25-4295-B9BA-994890389115}"/>
    <cellStyle name="Normal 2 4 2 4 2" xfId="11993" xr:uid="{D79E3133-02CC-4F80-ADBF-10ED67C4CC73}"/>
    <cellStyle name="Normal 2 4 2 4 2 2" xfId="19831" xr:uid="{E85CD826-001E-4031-BC35-DD855F7B910A}"/>
    <cellStyle name="Normal 2 4 2 4 2 3" xfId="20642" xr:uid="{10C41A34-E148-4140-B3CC-EFE7616025EA}"/>
    <cellStyle name="Normal 2 4 2 5" xfId="11356" xr:uid="{459DD956-74C6-4435-82EB-C3975528515D}"/>
    <cellStyle name="Normal 2 4 2 6" xfId="11050" xr:uid="{25C5BCFA-F452-4BFE-864C-C524670D3B4F}"/>
    <cellStyle name="Normal 2 4 2 7" xfId="12868" xr:uid="{2197E8CA-5132-4800-8A25-A1ED1414D496}"/>
    <cellStyle name="Normal 2 4 2 8" xfId="12869" xr:uid="{97FF1639-42F0-45D3-8884-018602822114}"/>
    <cellStyle name="Normal 2 4 2 9" xfId="11402" xr:uid="{7C296908-3EFB-4001-8116-3F039D715F08}"/>
    <cellStyle name="Normal 2 4 20" xfId="12870" xr:uid="{C96BB3E4-BF79-45A4-AFAD-DDE9C3440368}"/>
    <cellStyle name="Normal 2 4 21" xfId="11726" xr:uid="{91BD963D-989A-498D-A392-215DF94BEC95}"/>
    <cellStyle name="Normal 2 4 22" xfId="12010" xr:uid="{0F2627A0-1A1A-4FD2-9383-12EF792E2F00}"/>
    <cellStyle name="Normal 2 4 23" xfId="12432" xr:uid="{8FA12ABD-51F3-462D-B6A0-2427E37FA12B}"/>
    <cellStyle name="Normal 2 4 24" xfId="12866" xr:uid="{ED03A763-D478-4B4B-85CD-CD89FE4D0AA8}"/>
    <cellStyle name="Normal 2 4 3" xfId="63" xr:uid="{9A1A6D2B-755B-4432-A0A2-108A14E90072}"/>
    <cellStyle name="Normal 2 4 3 2" xfId="10210" xr:uid="{1F9FF49B-88B1-426A-8DB1-BA15DAE90C3E}"/>
    <cellStyle name="Normal 2 4 3 3" xfId="11898" xr:uid="{7158042E-F7A5-4BDC-A0B5-4B13111E4AC0}"/>
    <cellStyle name="Normal 2 4 4" xfId="12465" xr:uid="{CB29412F-BBA8-4AF1-BD75-ED9D488B5925}"/>
    <cellStyle name="Normal 2 4 5" xfId="11959" xr:uid="{04F0B87E-7EF1-40DB-A2BA-D3105315D8A5}"/>
    <cellStyle name="Normal 2 4 6" xfId="12536" xr:uid="{59875A1B-7795-41F4-B936-BE75F053DF6E}"/>
    <cellStyle name="Normal 2 4 7" xfId="11650" xr:uid="{2DAD7540-3F04-43D3-9AED-7AC1F8AD6D80}"/>
    <cellStyle name="Normal 2 4 8" xfId="11084" xr:uid="{3647C708-6BFA-428D-AFFA-C7062593FBCF}"/>
    <cellStyle name="Normal 2 4 9" xfId="12871" xr:uid="{66CA0C6D-E2D6-49E0-9CA0-71D249E6AAB6}"/>
    <cellStyle name="Normal 2 40" xfId="2754" xr:uid="{CF28CFE0-8566-4F75-B8A4-D01F6C33555B}"/>
    <cellStyle name="Normal 2 40 2" xfId="19832" xr:uid="{F79C8C61-E807-47C2-8543-18C428525E1F}"/>
    <cellStyle name="Normal 2 41" xfId="2755" xr:uid="{BB487638-F292-4942-85D5-588FB34F4682}"/>
    <cellStyle name="Normal 2 41 2" xfId="19833" xr:uid="{1ADB3DDD-8830-4448-A845-DE36C67A4D47}"/>
    <cellStyle name="Normal 2 42" xfId="2756" xr:uid="{EB8F519E-A7E9-48CD-B0A0-7531ED318CD0}"/>
    <cellStyle name="Normal 2 42 2" xfId="19834" xr:uid="{5B4DA230-0959-4C5F-B317-0B5C38CFBD5F}"/>
    <cellStyle name="Normal 2 43" xfId="2757" xr:uid="{B3F5A69B-C45A-48DD-8B18-919B76837CA5}"/>
    <cellStyle name="Normal 2 43 2" xfId="19835" xr:uid="{AD3D3B2D-CD51-4EAC-B433-B19CDB0D9A69}"/>
    <cellStyle name="Normal 2 44" xfId="2758" xr:uid="{1578906C-371C-465A-830D-24B61E5A40B1}"/>
    <cellStyle name="Normal 2 44 2" xfId="19836" xr:uid="{EFFD793C-47B7-4E5E-9398-D6D81B07ED69}"/>
    <cellStyle name="Normal 2 45" xfId="2759" xr:uid="{07712500-E664-49FC-86A4-C0105718C194}"/>
    <cellStyle name="Normal 2 45 2" xfId="19837" xr:uid="{16889A18-830D-4DE0-8EB0-0A2657B0A984}"/>
    <cellStyle name="Normal 2 46" xfId="2760" xr:uid="{D01A8BAD-D277-4DEB-AACD-7D625AACF2C9}"/>
    <cellStyle name="Normal 2 46 2" xfId="19838" xr:uid="{C5621688-2EB3-42AC-9CC5-07153BBE984E}"/>
    <cellStyle name="Normal 2 47" xfId="2761" xr:uid="{E611CC07-4669-4E8F-9DF3-8F8914575131}"/>
    <cellStyle name="Normal 2 47 2" xfId="19839" xr:uid="{8BF7B788-69A9-4EDF-BE67-B3B614DA327F}"/>
    <cellStyle name="Normal 2 48" xfId="2762" xr:uid="{4F16E41D-729C-493B-B6D0-1D839CA1D9F5}"/>
    <cellStyle name="Normal 2 48 2" xfId="19840" xr:uid="{CE39F77F-7B8F-4BA0-BEA6-BBA8991BB95D}"/>
    <cellStyle name="Normal 2 49" xfId="2763" xr:uid="{7B78111B-AC3F-4B61-B741-1F2CBEE45BAD}"/>
    <cellStyle name="Normal 2 49 2" xfId="19841" xr:uid="{0C73DC48-F8E7-42A1-ACA2-641556BBC652}"/>
    <cellStyle name="Normal 2 5" xfId="72" xr:uid="{0A745858-01BE-49D5-9815-EDED72C57654}"/>
    <cellStyle name="Normal 2 5 10" xfId="11434" xr:uid="{A088729D-EBE3-4F64-A73A-DE6EA48A0807}"/>
    <cellStyle name="Normal 2 5 11" xfId="11441" xr:uid="{07E51D89-38A4-4C6F-B719-85F318A00F2F}"/>
    <cellStyle name="Normal 2 5 12" xfId="12750" xr:uid="{070865F1-E549-4C3F-BEC0-59CBA2F0BE4C}"/>
    <cellStyle name="Normal 2 5 13" xfId="12805" xr:uid="{DBCE519C-6BC0-491F-8AF8-34244CD087C9}"/>
    <cellStyle name="Normal 2 5 14" xfId="12565" xr:uid="{38F001A1-80D3-424B-A57B-7243878B23EE}"/>
    <cellStyle name="Normal 2 5 15" xfId="12873" xr:uid="{BED9C5FF-9632-4166-86D7-635CB312720C}"/>
    <cellStyle name="Normal 2 5 16" xfId="12874" xr:uid="{F5DB1A8F-B9E5-4DEE-B060-3CEE81127ACC}"/>
    <cellStyle name="Normal 2 5 17" xfId="12875" xr:uid="{C82E2F23-245A-4CA1-9628-B05CC56DB530}"/>
    <cellStyle name="Normal 2 5 18" xfId="12751" xr:uid="{40B6C654-CFE2-4177-8409-B0F836339E7A}"/>
    <cellStyle name="Normal 2 5 19" xfId="11923" xr:uid="{BCF171F7-B701-4D6C-8F3B-1BC6F709B133}"/>
    <cellStyle name="Normal 2 5 2" xfId="2764" xr:uid="{CA337E4F-C8C7-421A-876C-627FC0FB383D}"/>
    <cellStyle name="Normal 2 5 20" xfId="12470" xr:uid="{49BA4496-D20B-46AE-AD23-CDE1F737FCC8}"/>
    <cellStyle name="Normal 2 5 21" xfId="11776" xr:uid="{DA287F09-93E5-4492-8320-ABD32D3064CD}"/>
    <cellStyle name="Normal 2 5 22" xfId="11403" xr:uid="{D29B53F1-3DB9-41D1-A9FF-2CBA91C8DB03}"/>
    <cellStyle name="Normal 2 5 23" xfId="11777" xr:uid="{5DA32126-8D9B-439D-BBF0-D660895E1871}"/>
    <cellStyle name="Normal 2 5 24" xfId="12872" xr:uid="{947FE777-4ECF-402E-BE26-CAB184640F8A}"/>
    <cellStyle name="Normal 2 5 3" xfId="11727" xr:uid="{EE12B6E3-F161-47E0-9951-5DD7E2054BF0}"/>
    <cellStyle name="Normal 2 5 4" xfId="10966" xr:uid="{416DF629-C1BB-44BF-B661-3474D42F537D}"/>
    <cellStyle name="Normal 2 5 5" xfId="13506" xr:uid="{44608D49-9DE8-416B-A41E-4BEF41D7A60D}"/>
    <cellStyle name="Normal 2 5 6" xfId="12752" xr:uid="{991A4ACA-482E-4090-8234-B8C1F1A57552}"/>
    <cellStyle name="Normal 2 5 7" xfId="11924" xr:uid="{BAB67994-AE15-481B-94D8-216799473315}"/>
    <cellStyle name="Normal 2 5 8" xfId="11879" xr:uid="{F050251A-989F-43CE-A2ED-A22E0FC4EB86}"/>
    <cellStyle name="Normal 2 5 9" xfId="12876" xr:uid="{ECA055FA-D4DE-4373-9CBB-0F1102FF0AA5}"/>
    <cellStyle name="Normal 2 50" xfId="2765" xr:uid="{E29FC151-6DDC-4792-A9FE-3BA375ED65EB}"/>
    <cellStyle name="Normal 2 50 2" xfId="19842" xr:uid="{101C2EFD-F2D0-46CD-885F-0FAC624ECFF0}"/>
    <cellStyle name="Normal 2 51" xfId="2766" xr:uid="{95846E31-4E84-45F2-A15F-CCCC4159B49B}"/>
    <cellStyle name="Normal 2 51 2" xfId="19843" xr:uid="{6C131369-776F-4040-8886-8ADCD706A536}"/>
    <cellStyle name="Normal 2 52" xfId="2767" xr:uid="{A2481017-EED8-4C2B-895E-5CE4FDE278F0}"/>
    <cellStyle name="Normal 2 52 2" xfId="19844" xr:uid="{2D9E07D2-B418-4DC5-903F-59F9B4B02738}"/>
    <cellStyle name="Normal 2 53" xfId="2768" xr:uid="{78535DBD-A01D-420A-B3BF-B5179731B267}"/>
    <cellStyle name="Normal 2 53 2" xfId="19845" xr:uid="{D4D03971-EE8E-4AE9-9C64-C6CE8A82653D}"/>
    <cellStyle name="Normal 2 54" xfId="2769" xr:uid="{938225D1-58F6-48FF-9A3C-A0D968037D72}"/>
    <cellStyle name="Normal 2 54 2" xfId="19846" xr:uid="{EBAF3D73-285A-49CE-957F-F3D741E9E6FA}"/>
    <cellStyle name="Normal 2 55" xfId="2770" xr:uid="{40B7B99F-9885-4CB7-A8F1-947816375E18}"/>
    <cellStyle name="Normal 2 55 2" xfId="19847" xr:uid="{D2853D3B-4BE7-4CD0-95DC-1D12E5C62A8F}"/>
    <cellStyle name="Normal 2 56" xfId="2771" xr:uid="{F54FFE94-09FD-4671-BBE7-B1A6A00ED31C}"/>
    <cellStyle name="Normal 2 56 2" xfId="19848" xr:uid="{E00ADAA5-D22B-4ED8-AAE3-CEB2A28E070B}"/>
    <cellStyle name="Normal 2 57" xfId="2772" xr:uid="{A316B61F-7C6B-4B86-856E-482D57898783}"/>
    <cellStyle name="Normal 2 57 2" xfId="19849" xr:uid="{6FB94BD7-7635-4E1D-957A-8F38CFBB2904}"/>
    <cellStyle name="Normal 2 58" xfId="2773" xr:uid="{4CE9E3D0-389C-44E5-BDBC-9015D710B3ED}"/>
    <cellStyle name="Normal 2 58 2" xfId="19850" xr:uid="{C9F1B4B5-2E2F-4954-A45D-2FA2747DB261}"/>
    <cellStyle name="Normal 2 59" xfId="2774" xr:uid="{E78DCACC-FE49-428E-A6D0-5C4626ED2D66}"/>
    <cellStyle name="Normal 2 59 2" xfId="19851" xr:uid="{A1B3E2FC-515D-4002-BAC6-579A210F38B0}"/>
    <cellStyle name="Normal 2 6" xfId="2775" xr:uid="{990719D7-501A-460B-82CF-8C66CD14C3EC}"/>
    <cellStyle name="Normal 2 6 10" xfId="11456" xr:uid="{64325E73-406D-45F7-8542-C42D9D0DA824}"/>
    <cellStyle name="Normal 2 6 11" xfId="11689" xr:uid="{A7BDE0E9-72C0-4CDC-B8F5-775121519EC0}"/>
    <cellStyle name="Normal 2 6 12" xfId="11728" xr:uid="{6617D616-6896-47E0-8EBC-C99171A93F5B}"/>
    <cellStyle name="Normal 2 6 13" xfId="12505" xr:uid="{87128A03-D9F1-457F-ADA9-C8673A1D5EA3}"/>
    <cellStyle name="Normal 2 6 14" xfId="11667" xr:uid="{B1DBA8AE-BD68-4117-BF2E-DA7E0066B991}"/>
    <cellStyle name="Normal 2 6 15" xfId="11363" xr:uid="{80DBA656-91C0-45A7-862A-6B34543622C5}"/>
    <cellStyle name="Normal 2 6 16" xfId="11083" xr:uid="{5BB1D941-BBE8-4921-BBBA-BE6E56D4B236}"/>
    <cellStyle name="Normal 2 6 17" xfId="12877" xr:uid="{8E7FB8DF-05AC-4685-9AFD-832F97E040C4}"/>
    <cellStyle name="Normal 2 6 18" xfId="12878" xr:uid="{BBC799CE-765D-4680-A10B-B550864717BF}"/>
    <cellStyle name="Normal 2 6 19" xfId="12396" xr:uid="{1459C465-1353-4F0D-9915-18373D1B05D1}"/>
    <cellStyle name="Normal 2 6 2" xfId="11108" xr:uid="{920B7129-9CE8-4A56-8C6D-170BF13427CD}"/>
    <cellStyle name="Normal 2 6 20" xfId="12753" xr:uid="{A2B07F95-6822-48A4-81A2-60084C4286A5}"/>
    <cellStyle name="Normal 2 6 21" xfId="11383" xr:uid="{2FBFEA26-167D-42CA-845E-B58DA702405D}"/>
    <cellStyle name="Normal 2 6 22" xfId="12564" xr:uid="{BE3223F9-546B-4B33-9C83-F095652741FA}"/>
    <cellStyle name="Normal 2 6 23" xfId="12879" xr:uid="{25094466-6E42-4F9C-87DF-B91C626309FE}"/>
    <cellStyle name="Normal 2 6 24" xfId="10994" xr:uid="{A15CAD6A-6FE9-4968-A5BF-1036B206A00E}"/>
    <cellStyle name="Normal 2 6 3" xfId="12880" xr:uid="{3FC1BA1B-048A-4365-9585-6737B2FCEB33}"/>
    <cellStyle name="Normal 2 6 4" xfId="12011" xr:uid="{D6F4612E-9D8F-40A0-8B79-86B4F657E8D5}"/>
    <cellStyle name="Normal 2 6 5" xfId="12754" xr:uid="{8CB46313-DB1C-4195-AA1F-581A082FCC7C}"/>
    <cellStyle name="Normal 2 6 6" xfId="11925" xr:uid="{A755F11E-D5AA-4D42-A3E6-54B6B25C370D}"/>
    <cellStyle name="Normal 2 6 7" xfId="11051" xr:uid="{D448B73F-DAAE-40F3-B294-9731FF8C8233}"/>
    <cellStyle name="Normal 2 6 8" xfId="12881" xr:uid="{EE9E3C7F-3F95-43EF-AAA4-954E255AD08F}"/>
    <cellStyle name="Normal 2 6 9" xfId="12882" xr:uid="{392235A0-F321-4518-A17B-C2D4F705F621}"/>
    <cellStyle name="Normal 2 60" xfId="2776" xr:uid="{1C06AF01-ED53-4831-ACD4-269539360A19}"/>
    <cellStyle name="Normal 2 60 2" xfId="19852" xr:uid="{7F05912F-9B3A-450D-95FF-1E1F65E2EED4}"/>
    <cellStyle name="Normal 2 61" xfId="2777" xr:uid="{38B98797-157D-431C-AF37-3CFBC008BF8F}"/>
    <cellStyle name="Normal 2 61 2" xfId="19853" xr:uid="{C0F32EF1-BAC9-48EB-BF3B-58B46BF9227C}"/>
    <cellStyle name="Normal 2 62" xfId="2778" xr:uid="{02AEEE4A-7A3F-48F2-90B2-6D5BEAEFB78D}"/>
    <cellStyle name="Normal 2 62 2" xfId="19854" xr:uid="{78A72147-6E65-4372-9D25-F5D150501410}"/>
    <cellStyle name="Normal 2 63" xfId="2779" xr:uid="{8862389E-D570-4DB5-9A27-48973D278506}"/>
    <cellStyle name="Normal 2 63 2" xfId="19855" xr:uid="{DE258CEC-34C2-4161-A12A-EAFDDBD338FB}"/>
    <cellStyle name="Normal 2 64" xfId="2780" xr:uid="{FC5F26E6-98EE-4314-A485-266EBA51F738}"/>
    <cellStyle name="Normal 2 64 2" xfId="19856" xr:uid="{2FF83609-C95A-4D75-8A9F-7CAAC5BCB04D}"/>
    <cellStyle name="Normal 2 65" xfId="2781" xr:uid="{254A23D9-041A-4A1E-AAD2-380ED7F84604}"/>
    <cellStyle name="Normal 2 65 2" xfId="19857" xr:uid="{E345E17E-4EBB-4B09-95AD-BE93E56A29D6}"/>
    <cellStyle name="Normal 2 66" xfId="2782" xr:uid="{D48BFCAD-7E75-4F70-AC63-D680ACABE5AA}"/>
    <cellStyle name="Normal 2 66 2" xfId="19858" xr:uid="{9DE79EAF-3613-43AC-B2D7-6ED3FAE3F43C}"/>
    <cellStyle name="Normal 2 67" xfId="2783" xr:uid="{69A27DE1-4EFE-4B67-B6BE-DB3251AA3989}"/>
    <cellStyle name="Normal 2 67 2" xfId="19859" xr:uid="{DF2AC5BA-7AEE-4570-84F5-920F52209F20}"/>
    <cellStyle name="Normal 2 68" xfId="491" xr:uid="{3AF60F71-7FE7-45EA-80D4-9369B3D5D665}"/>
    <cellStyle name="Normal 2 68 2" xfId="6550" xr:uid="{38DD97B1-B1AF-4009-95B0-E92B4CA6B81E}"/>
    <cellStyle name="Normal 2 68 2 2" xfId="10168" xr:uid="{650FDC3B-B729-4A2A-900F-FB5F90C4BE84}"/>
    <cellStyle name="Normal 2 68 3" xfId="19651" xr:uid="{621B9F4E-74F1-462D-85EF-81662BC2E84F}"/>
    <cellStyle name="Normal 2 68 4" xfId="19675" xr:uid="{D3635C64-0405-40B3-90DD-2E7508888A8B}"/>
    <cellStyle name="Normal 2 69" xfId="10207" xr:uid="{18AC7E8C-1EA9-4118-8224-AA6489364F73}"/>
    <cellStyle name="Normal 2 7" xfId="2784" xr:uid="{10E7A636-291C-4336-8E8D-D85C4AE950D1}"/>
    <cellStyle name="Normal 2 7 10" xfId="12883" xr:uid="{C1C7FAFF-10EF-40F8-A403-E05E3CB188BA}"/>
    <cellStyle name="Normal 2 7 11" xfId="12602" xr:uid="{58C83702-A4F6-4F33-B956-40EDF9F1307C}"/>
    <cellStyle name="Normal 2 7 12" xfId="11109" xr:uid="{A9E2AF4C-94EF-47DC-BFA0-D3BC3D6947B7}"/>
    <cellStyle name="Normal 2 7 13" xfId="12318" xr:uid="{825475DB-1285-4A75-8D84-5D02B74BD135}"/>
    <cellStyle name="Normal 2 7 14" xfId="11337" xr:uid="{25444FEB-3DD5-400A-B72F-64363B9F0684}"/>
    <cellStyle name="Normal 2 7 15" xfId="11926" xr:uid="{9DC2FD77-02C1-43ED-9DC4-A4487FBA7E22}"/>
    <cellStyle name="Normal 2 7 16" xfId="11052" xr:uid="{879BD1CA-E2F8-4781-ABCF-5E2121A7DF5D}"/>
    <cellStyle name="Normal 2 7 17" xfId="12884" xr:uid="{FD83FB2B-96A5-4504-82D8-BBE0E40EDA48}"/>
    <cellStyle name="Normal 2 7 18" xfId="12012" xr:uid="{99A451C6-6974-46CC-8DA4-0EE66497E128}"/>
    <cellStyle name="Normal 2 7 19" xfId="11405" xr:uid="{BC2ECCDC-36EC-45B5-B045-CD3CF6A5268C}"/>
    <cellStyle name="Normal 2 7 2" xfId="11243" xr:uid="{B8B3770F-7410-4D2F-A7FF-8EA32198B78A}"/>
    <cellStyle name="Normal 2 7 20" xfId="11967" xr:uid="{47DCCC50-1723-4940-A8CD-4C0E841CDDE4}"/>
    <cellStyle name="Normal 2 7 21" xfId="11778" xr:uid="{F6FE53CE-DDD7-45EE-9A77-CB4D52F6F1A5}"/>
    <cellStyle name="Normal 2 7 22" xfId="13163" xr:uid="{D159974C-C606-4FC3-A7E5-043A1A8F1AEA}"/>
    <cellStyle name="Normal 2 7 23" xfId="11346" xr:uid="{314F377F-A0D8-4AC4-BF33-DFEDDBFBF5F6}"/>
    <cellStyle name="Normal 2 7 24" xfId="11404" xr:uid="{9D3F70FC-7706-47F3-88D6-58E2DFE58E97}"/>
    <cellStyle name="Normal 2 7 3" xfId="13086" xr:uid="{4D085857-BDAF-4F3B-88AB-6D423D013B5B}"/>
    <cellStyle name="Normal 2 7 4" xfId="12709" xr:uid="{D756F57D-034B-42CE-A7CC-93398AA5BE6E}"/>
    <cellStyle name="Normal 2 7 5" xfId="12537" xr:uid="{A11B2A75-13A4-467D-8AE1-16AFEBE420E1}"/>
    <cellStyle name="Normal 2 7 6" xfId="11207" xr:uid="{92BAF1CF-D766-4299-8DB4-80B6E0A68B5B}"/>
    <cellStyle name="Normal 2 7 7" xfId="11086" xr:uid="{6F1AF69B-9B0F-460E-BAD9-D4F314B28BB8}"/>
    <cellStyle name="Normal 2 7 8" xfId="11779" xr:uid="{BB65A870-F1C2-4819-843A-75F44CDB7852}"/>
    <cellStyle name="Normal 2 7 9" xfId="11780" xr:uid="{6C2DE802-0ECB-47F6-A774-D80B45EEA886}"/>
    <cellStyle name="Normal 2 8" xfId="2785" xr:uid="{DFBD0DCA-4B1D-41F1-B169-649BC1987F68}"/>
    <cellStyle name="Normal 2 8 2" xfId="11705" xr:uid="{7D5F7D9A-6498-40B5-B284-8ED1EBB8BF2D}"/>
    <cellStyle name="Normal 2 8 2 2" xfId="19860" xr:uid="{3839EED3-9103-4D2B-934A-323BAD10C4D4}"/>
    <cellStyle name="Normal 2 8 2 3" xfId="20589" xr:uid="{43BBA770-347B-4B7C-ACDE-2552A3214412}"/>
    <cellStyle name="Normal 2 9" xfId="2786" xr:uid="{0E27B542-9992-475F-B29D-841A8C9AA437}"/>
    <cellStyle name="Normal 2 9 2" xfId="11110" xr:uid="{B118D4F0-6826-46F1-8FBC-849470B12A82}"/>
    <cellStyle name="Normal 2 9 2 2" xfId="19861" xr:uid="{6C1D91B2-2312-41B2-9ADD-27EB3C6DBC95}"/>
    <cellStyle name="Normal 2 9 2 3" xfId="20514" xr:uid="{FDB6FC6C-ACBE-4955-A15F-C962FBF6DF82}"/>
    <cellStyle name="Normal 2_Adicional N° 03 - Subbases y Bases" xfId="11338" xr:uid="{F295625D-571A-4530-92C0-4FE07CE3C616}"/>
    <cellStyle name="Normal 20" xfId="99" xr:uid="{C8861D58-9801-41C8-86A4-69E5E8133650}"/>
    <cellStyle name="Normal 20 2" xfId="345" xr:uid="{B57DABE2-09B1-4FA7-916D-9334511A88AE}"/>
    <cellStyle name="Normal 20 2 2" xfId="19862" xr:uid="{3D0A1A77-FB0D-4F6C-A146-0BC445539048}"/>
    <cellStyle name="Normal 20 3" xfId="2787" xr:uid="{CBE44F66-1582-4F7D-B1B5-C9C2E1E17ABA}"/>
    <cellStyle name="Normal 20 4" xfId="6551" xr:uid="{26A68479-E410-4729-96FA-A843F0EA1A1A}"/>
    <cellStyle name="Normal 21" xfId="101" xr:uid="{F20551AB-C973-4D38-9CCE-5E5E5D54EF9D}"/>
    <cellStyle name="Normal 21 2" xfId="6039" xr:uid="{798F3A9C-4403-40A4-A303-62C01A32A9E5}"/>
    <cellStyle name="Normal 21 2 2" xfId="19863" xr:uid="{3C357A68-2980-410D-B598-D28F7E147C76}"/>
    <cellStyle name="Normal 21 3" xfId="2788" xr:uid="{FE49FD76-819D-4B67-AB2D-7A1E89BE245A}"/>
    <cellStyle name="Normal 21 4" xfId="6552" xr:uid="{1893B94F-A97A-4003-A06A-FB95ED9EA6FB}"/>
    <cellStyle name="Normal 22" xfId="102" xr:uid="{F07E2CA9-A747-4E78-BD49-1FDFBC55979E}"/>
    <cellStyle name="Normal 22 2" xfId="6025" xr:uid="{BA94CEE9-35EC-4BAE-9078-FE762AAEA795}"/>
    <cellStyle name="Normal 22 2 2" xfId="19864" xr:uid="{84841077-F878-4CC8-8E01-F94CA96868BE}"/>
    <cellStyle name="Normal 22 3" xfId="2789" xr:uid="{18499A86-5C34-46E8-BC17-E05C1D524C65}"/>
    <cellStyle name="Normal 22 4" xfId="6553" xr:uid="{E93E99B3-ABED-448A-B4AB-C03D2536FA44}"/>
    <cellStyle name="Normal 23" xfId="107" xr:uid="{F519894B-4DDC-4BE3-B5F3-452EAAB10C18}"/>
    <cellStyle name="Normal 23 10" xfId="11781" xr:uid="{DF0B4937-1AC1-4D78-BE2A-987152049DA7}"/>
    <cellStyle name="Normal 23 10 2" xfId="16197" xr:uid="{C769A624-4C42-4435-A309-DA8B9DF342BC}"/>
    <cellStyle name="Normal 23 10 3" xfId="20608" xr:uid="{A1F978B9-CBDE-4C9C-88D2-D8CFA2BF8C78}"/>
    <cellStyle name="Normal 23 2" xfId="6038" xr:uid="{7B7E3C79-8981-4797-A210-2D27BE0076F5}"/>
    <cellStyle name="Normal 23 2 2" xfId="6554" xr:uid="{4AD9A574-0125-413E-AD83-318D6A2CED1E}"/>
    <cellStyle name="Normal 23 2 2 2" xfId="19637" xr:uid="{91E943C7-D05C-4C44-8891-ACE2FBA218BD}"/>
    <cellStyle name="Normal 23 2 2 3" xfId="15615" xr:uid="{04787065-C103-44C3-A031-F965D2C83C2D}"/>
    <cellStyle name="Normal 23 2 2 4" xfId="15463" xr:uid="{81BDCE8F-D2A9-4901-9977-65DC8C767B2E}"/>
    <cellStyle name="Normal 23 2 3" xfId="6555" xr:uid="{C8E1694A-7741-4837-8A07-B516D875CDDC}"/>
    <cellStyle name="Normal 23 2 3 2" xfId="17116" xr:uid="{C244C14E-3FCB-4C7E-8DD5-5BE24F8B40D2}"/>
    <cellStyle name="Normal 23 2 4" xfId="6556" xr:uid="{3DBB54CC-6340-4B98-AF4E-0B90DCDD5029}"/>
    <cellStyle name="Normal 23 2 4 2" xfId="17726" xr:uid="{176E850E-70FF-4C87-B60D-2AA71E1C0558}"/>
    <cellStyle name="Normal 23 2 5" xfId="8686" xr:uid="{21CCE2AC-6661-4ECC-B71A-F8CBABF04303}"/>
    <cellStyle name="Normal 23 2 5 2" xfId="18738" xr:uid="{B56A0EF7-4DA3-49F2-8F61-302E9F02B4A8}"/>
    <cellStyle name="Normal 23 2 6" xfId="9607" xr:uid="{25587686-2E9D-470F-9EF0-DF57E220F33A}"/>
    <cellStyle name="Normal 23 2 7" xfId="10473" xr:uid="{B33C64C8-F419-4FE5-8C99-B8A9FD6DB275}"/>
    <cellStyle name="Normal 23 2 8" xfId="15826" xr:uid="{021123B5-39E1-4DED-BF50-8F0B3ED0FF1F}"/>
    <cellStyle name="Normal 23 3" xfId="481" xr:uid="{34D41FBF-6569-4500-B723-06F472AACB0B}"/>
    <cellStyle name="Normal 23 3 2" xfId="6557" xr:uid="{4A721294-B0F6-4F4B-960F-948D642132E1}"/>
    <cellStyle name="Normal 23 3 2 2" xfId="17263" xr:uid="{BF7E170A-438C-4F3E-A5DB-74E594CC0D4B}"/>
    <cellStyle name="Normal 23 3 2 3" xfId="14797" xr:uid="{7E3A7FE7-2490-49CE-9F71-46EEC8F450C4}"/>
    <cellStyle name="Normal 23 3 3" xfId="6558" xr:uid="{C669E976-7879-4E2E-A124-2795AE12E9B2}"/>
    <cellStyle name="Normal 23 3 3 2" xfId="17877" xr:uid="{CA811A32-1287-44F2-A847-FDF9C63A1E2B}"/>
    <cellStyle name="Normal 23 3 3 3" xfId="14435" xr:uid="{C4CB45BB-BFAD-42B6-A42E-38EA953764C4}"/>
    <cellStyle name="Normal 23 3 4" xfId="9134" xr:uid="{F3CBB040-F759-4EE8-8C01-0C1BA59AA695}"/>
    <cellStyle name="Normal 23 3 4 2" xfId="19186" xr:uid="{58138BEE-5142-44CE-9F80-99DEC666A33B}"/>
    <cellStyle name="Normal 23 3 5" xfId="9753" xr:uid="{E5F55035-241A-4D3F-9282-BC5B5959C61B}"/>
    <cellStyle name="Normal 23 3 6" xfId="10474" xr:uid="{4584F0F4-EAA0-4F0F-8898-2F9AEF0A73A5}"/>
    <cellStyle name="Normal 23 3 7" xfId="15010" xr:uid="{663C6B07-CB1B-442D-BE68-8FF685AAECFA}"/>
    <cellStyle name="Normal 23 4" xfId="6559" xr:uid="{2F5E4CE7-9AE4-44A9-9D5C-4E924564703F}"/>
    <cellStyle name="Normal 23 4 2" xfId="19636" xr:uid="{64635B9D-1BA8-4CE0-B096-3929FF0DF716}"/>
    <cellStyle name="Normal 23 5" xfId="6560" xr:uid="{D285D135-5A8B-43E9-AB09-E6AD057DDD55}"/>
    <cellStyle name="Normal 23 5 2" xfId="17115" xr:uid="{195C0A3A-3DCB-40C1-BDA5-D9FB62D0333B}"/>
    <cellStyle name="Normal 23 6" xfId="6561" xr:uid="{C90DC1C4-A022-4AC7-9ECB-2E15A76D3AFD}"/>
    <cellStyle name="Normal 23 6 2" xfId="17725" xr:uid="{FE697F2F-4E0D-4950-9461-4397DB18962F}"/>
    <cellStyle name="Normal 23 7" xfId="8258" xr:uid="{C3F8DFF8-82E8-4C8B-83DB-5DB7AD49E46C}"/>
    <cellStyle name="Normal 23 7 2" xfId="18310" xr:uid="{E5FA3871-4039-4C24-AFD2-5DA577352244}"/>
    <cellStyle name="Normal 23 8" xfId="9606" xr:uid="{C3149EA1-F1B1-4ED9-8610-F3E36983986C}"/>
    <cellStyle name="Normal 23 9" xfId="10472" xr:uid="{1042A8BA-01C2-4D21-AB46-9DF4474A6E88}"/>
    <cellStyle name="Normal 24" xfId="108" xr:uid="{C9C7BA3D-ADB8-4682-B9E0-A3AFE1B3846F}"/>
    <cellStyle name="Normal 24 2" xfId="4440" xr:uid="{E89A1F09-C9B7-4EE8-8429-37B436F3D519}"/>
    <cellStyle name="Normal 24 2 2" xfId="6562" xr:uid="{09135647-AE68-4F85-A06E-30C1602A56F9}"/>
    <cellStyle name="Normal 24 2 2 2" xfId="8873" xr:uid="{99747836-0FE4-49D9-A938-5ADE283514F3}"/>
    <cellStyle name="Normal 24 2 2 2 2" xfId="18925" xr:uid="{7D85B8F9-094F-4CF5-804B-153317A2E6AD}"/>
    <cellStyle name="Normal 24 2 2 3" xfId="16379" xr:uid="{4531C592-7518-449C-A5EA-0166C211C4C3}"/>
    <cellStyle name="Normal 24 2 2 4" xfId="15245" xr:uid="{51158BDE-658D-4297-8A95-9F933C158083}"/>
    <cellStyle name="Normal 24 2 3" xfId="6563" xr:uid="{2D16545E-9030-45D4-A309-839F64A45C0B}"/>
    <cellStyle name="Normal 24 2 3 2" xfId="9321" xr:uid="{A639FBE9-CA0E-447E-9081-51D2D47ED7CF}"/>
    <cellStyle name="Normal 24 2 3 2 2" xfId="19373" xr:uid="{7AC86281-9E1E-4C2B-98B0-2B72D68082F3}"/>
    <cellStyle name="Normal 24 2 3 3" xfId="16824" xr:uid="{5335F2D8-A03B-4ED5-B45E-E2DAF4C6AD37}"/>
    <cellStyle name="Normal 24 2 3 4" xfId="14849" xr:uid="{6997CF6B-FF68-4EEB-826B-35F9F9C47503}"/>
    <cellStyle name="Normal 24 2 4" xfId="6564" xr:uid="{A7A6CC62-4CC7-4173-B6C6-90BC8F7C5E26}"/>
    <cellStyle name="Normal 24 2 4 2" xfId="17264" xr:uid="{047C873D-07DF-41B9-944B-8474A0F4003D}"/>
    <cellStyle name="Normal 24 2 4 3" xfId="15487" xr:uid="{18AA7DD2-BA1D-4482-84FC-020F6E5ABE05}"/>
    <cellStyle name="Normal 24 2 5" xfId="6565" xr:uid="{BD027CDE-8575-4858-8F79-124123AC26AB}"/>
    <cellStyle name="Normal 24 2 5 2" xfId="17878" xr:uid="{80C78402-1D89-47D8-B9C8-9FBD9CBA22D3}"/>
    <cellStyle name="Normal 24 2 5 3" xfId="14434" xr:uid="{1B6C20E3-7D3C-4C51-9A42-FD22A1B6C049}"/>
    <cellStyle name="Normal 24 2 6" xfId="8445" xr:uid="{10ADBA20-C6E0-4CA3-B0E1-4E7E8B95EE98}"/>
    <cellStyle name="Normal 24 2 6 2" xfId="18497" xr:uid="{97EDF63E-20B7-446F-8AF9-3CB461F3811D}"/>
    <cellStyle name="Normal 24 2 7" xfId="9754" xr:uid="{4C975C71-C874-465D-AD15-180BDD8A8A76}"/>
    <cellStyle name="Normal 24 2 8" xfId="10476" xr:uid="{931AD3CB-9A63-4EAE-993D-B4F3505AB3EB}"/>
    <cellStyle name="Normal 24 2 9" xfId="16028" xr:uid="{C63F0338-523B-43B1-A3F0-F17CE9639407}"/>
    <cellStyle name="Normal 24 3" xfId="6037" xr:uid="{AAC7E60C-0800-4ED9-86A7-02D38CFB4FA4}"/>
    <cellStyle name="Normal 24 3 2" xfId="19638" xr:uid="{CB6083C8-C22E-4E9A-BA98-3D07394255D1}"/>
    <cellStyle name="Normal 24 4" xfId="3504" xr:uid="{E4D0231C-16CA-4FC4-9299-6404E22A13FA}"/>
    <cellStyle name="Normal 24 5" xfId="6566" xr:uid="{35379BA3-C724-4AA9-9E09-EE6DC0D2F376}"/>
    <cellStyle name="Normal 24 6" xfId="6567" xr:uid="{4E605489-9310-4F9C-9237-900923E7E820}"/>
    <cellStyle name="Normal 24 6 2" xfId="17117" xr:uid="{FDA35551-1028-4FF8-AFA6-CD8D4E14B315}"/>
    <cellStyle name="Normal 24 7" xfId="6568" xr:uid="{1B2DD135-50B5-4EC4-8E02-9FEE13F4D5EB}"/>
    <cellStyle name="Normal 24 7 2" xfId="17727" xr:uid="{AC0A9E1C-CC71-4081-9EFB-71E3004F6C76}"/>
    <cellStyle name="Normal 24 8" xfId="9608" xr:uid="{42754903-F750-4E03-B951-7205FB4C69AD}"/>
    <cellStyle name="Normal 24 9" xfId="10475" xr:uid="{D6025DD7-0CDD-48B4-A967-1DBCDD1E10B6}"/>
    <cellStyle name="Normal 25" xfId="113" xr:uid="{28DC0BCB-FB96-4B7C-8ED8-C300F95A0AD5}"/>
    <cellStyle name="Normal 25 10" xfId="12755" xr:uid="{B9508C06-78A1-4CE1-9AD8-BE6931A9B52B}"/>
    <cellStyle name="Normal 25 10 2" xfId="16027" xr:uid="{26EA313B-351E-4F15-B61B-16D285D85F0D}"/>
    <cellStyle name="Normal 25 10 3" xfId="20716" xr:uid="{4786353F-2BEC-4E5C-A8E6-1BC64D0CB31D}"/>
    <cellStyle name="Normal 25 2" xfId="6035" xr:uid="{8471C5EB-6F38-42AE-96A0-F185E802D3D0}"/>
    <cellStyle name="Normal 25 2 2" xfId="6569" xr:uid="{7B5A6680-DA3E-4B11-8CE2-2F808BBC8E83}"/>
    <cellStyle name="Normal 25 2 2 2" xfId="15616" xr:uid="{5054308A-9597-4AA0-BE8D-02E8BB9E9112}"/>
    <cellStyle name="Normal 25 2 2 3" xfId="16250" xr:uid="{876B3583-324A-4A81-AF27-FE3EA0BC185C}"/>
    <cellStyle name="Normal 25 2 3" xfId="8874" xr:uid="{98B57EDC-3C1D-4F68-9ECB-26F10F559505}"/>
    <cellStyle name="Normal 25 2 3 2" xfId="18926" xr:uid="{7029C632-3654-4CFC-A3FA-5B85CE623469}"/>
    <cellStyle name="Normal 25 2 4" xfId="8248" xr:uid="{28B54B94-1755-4CB0-A4E7-493A45176945}"/>
    <cellStyle name="Normal 25 2 5" xfId="15244" xr:uid="{F8B9A4C9-50A6-4CDA-9E85-904D346933A7}"/>
    <cellStyle name="Normal 25 3" xfId="4441" xr:uid="{1A57E124-69B8-4469-892D-2B9A7CBBC945}"/>
    <cellStyle name="Normal 25 3 2" xfId="9322" xr:uid="{85B52DA1-F59B-43A9-A2ED-F78AFEFB4B8D}"/>
    <cellStyle name="Normal 25 3 2 2" xfId="19374" xr:uid="{FB643869-BB67-4B41-B66F-6769915DC2BA}"/>
    <cellStyle name="Normal 25 3 2 3" xfId="16270" xr:uid="{650B8208-E017-42AF-94AC-053C9B8A6E97}"/>
    <cellStyle name="Normal 25 3 3" xfId="16222" xr:uid="{914C6167-5BAA-4FB6-A6F8-2B342943D2E8}"/>
    <cellStyle name="Normal 25 3 3 2" xfId="16825" xr:uid="{28C04AB4-82D1-420F-AAE1-5D974E4A1BC2}"/>
    <cellStyle name="Normal 25 3 4" xfId="14848" xr:uid="{CE036209-9A7C-42B7-9753-482967ABC894}"/>
    <cellStyle name="Normal 25 4" xfId="6570" xr:uid="{FA3ED21D-D33F-484C-8270-986A0736BE93}"/>
    <cellStyle name="Normal 25 5" xfId="6571" xr:uid="{4AC84517-2A6E-405E-8D7B-160A7C46A09D}"/>
    <cellStyle name="Normal 25 5 2" xfId="17425" xr:uid="{28FDCECF-64C0-4C37-8D49-C21BF3CBB1BA}"/>
    <cellStyle name="Normal 25 6" xfId="6572" xr:uid="{ABB15B6B-22F4-4A2B-BB94-0077F8C31D4A}"/>
    <cellStyle name="Normal 25 6 2" xfId="18036" xr:uid="{34F68CC4-DFD4-4D99-B4EE-D61098D206E4}"/>
    <cellStyle name="Normal 25 7" xfId="8446" xr:uid="{1ADE94F4-D512-4153-89BE-7AF78B871001}"/>
    <cellStyle name="Normal 25 7 2" xfId="18498" xr:uid="{A63BE2D4-27B6-4AE2-8B1D-BD7A6E2846D6}"/>
    <cellStyle name="Normal 25 8" xfId="9911" xr:uid="{0FA94249-2346-4FDB-A6C3-FAF96753527D}"/>
    <cellStyle name="Normal 25 9" xfId="10477" xr:uid="{79B00DA5-833D-4393-8713-80DD23B30B0F}"/>
    <cellStyle name="Normal 26" xfId="114" xr:uid="{E4603D2B-BCB3-4CF1-9B7D-53479CD208C8}"/>
    <cellStyle name="Normal 26 2" xfId="6051" xr:uid="{A5F5DBB3-05D1-4626-8953-F6CEF3A405CB}"/>
    <cellStyle name="Normal 26 2 2" xfId="19643" xr:uid="{9FA85FA9-0B50-4086-8064-E86212503481}"/>
    <cellStyle name="Normal 26 3" xfId="158" xr:uid="{CC3C8195-5F60-47B8-8577-4A80E026C4CA}"/>
    <cellStyle name="Normal 26 4" xfId="6573" xr:uid="{02144EC1-A85B-4AD4-8D6C-ECBD68E03D0B}"/>
    <cellStyle name="Normal 26 4 2" xfId="17239" xr:uid="{635E1F01-6A9C-45EC-A6B3-0760ED21DC10}"/>
    <cellStyle name="Normal 26 5" xfId="6574" xr:uid="{0E5C6009-70D7-4364-8CB8-896DA2BBF804}"/>
    <cellStyle name="Normal 26 5 2" xfId="17851" xr:uid="{40FF96AC-C8BE-427A-981E-100029B2683A}"/>
    <cellStyle name="Normal 26 6" xfId="9727" xr:uid="{AC96F0C7-8847-44E1-B08A-1212AB3E755C}"/>
    <cellStyle name="Normal 26 7" xfId="10390" xr:uid="{3BFED8E0-9D29-4EAF-B56F-5B7829360E89}"/>
    <cellStyle name="Normal 26 8" xfId="11373" xr:uid="{ACB85931-C645-4BB5-8299-DE2057BF9134}"/>
    <cellStyle name="Normal 27" xfId="120" xr:uid="{3B55FA30-AAB1-43B3-9726-78BADA7AA829}"/>
    <cellStyle name="Normal 27 2" xfId="6064" xr:uid="{6DE31A4E-3306-4F5C-B98C-B9EEABAC6116}"/>
    <cellStyle name="Normal 27 2 2" xfId="19677" xr:uid="{A6387861-8699-4375-B9AE-933F19B443A4}"/>
    <cellStyle name="Normal 27 3" xfId="493" xr:uid="{9C579157-244F-485F-A685-6A535742EE1C}"/>
    <cellStyle name="Normal 27 4" xfId="6575" xr:uid="{AB8523A7-79E3-4049-B430-87B42279FAFB}"/>
    <cellStyle name="Normal 28" xfId="115" xr:uid="{8AF33030-DE7C-410E-96C7-3F864D4380CC}"/>
    <cellStyle name="Normal 28 2" xfId="6055" xr:uid="{EF044EF6-64D0-4F31-8458-CF32EDEB2F5F}"/>
    <cellStyle name="Normal 28 2 2" xfId="19865" xr:uid="{D144DB90-A468-41A2-8279-6119364D9E74}"/>
    <cellStyle name="Normal 28 3" xfId="2790" xr:uid="{553962E4-8450-44A8-8A23-FD8E6EB3FE2C}"/>
    <cellStyle name="Normal 28 4" xfId="6576" xr:uid="{B82AD72F-0D60-47F3-9036-54AC9CC0781B}"/>
    <cellStyle name="Normal 29" xfId="116" xr:uid="{64354D46-C424-4B81-9128-2077ABE7DB07}"/>
    <cellStyle name="Normal 29 2" xfId="6030" xr:uid="{3FFEDBF7-0A61-439D-BF9E-4B17329C894C}"/>
    <cellStyle name="Normal 29 2 2" xfId="19866" xr:uid="{FD1F3385-768C-4034-B9AA-EA2B54817679}"/>
    <cellStyle name="Normal 29 3" xfId="2791" xr:uid="{77A9A678-39D8-444E-B6CA-4C2D182F499F}"/>
    <cellStyle name="Normal 29 4" xfId="6577" xr:uid="{7CBC2919-F962-47AC-AE2C-EC0DB3BE3B15}"/>
    <cellStyle name="Normal 3" xfId="46" xr:uid="{76397C9E-7E08-4590-9EF6-1CDB4106B380}"/>
    <cellStyle name="Normal 3 10" xfId="2792" xr:uid="{599989CA-9CBE-44A7-A12D-106BC1C85588}"/>
    <cellStyle name="Normal 3 10 10" xfId="9609" xr:uid="{BCFBA5E9-3763-4471-B22C-A063E30DECB9}"/>
    <cellStyle name="Normal 3 10 11" xfId="10263" xr:uid="{4AB8398C-10F0-4F8D-A3B2-C896AD6BC36D}"/>
    <cellStyle name="Normal 3 10 12" xfId="11406" xr:uid="{D2A029B6-1001-4599-8FF6-165F41F92BCB}"/>
    <cellStyle name="Normal 3 10 12 2" xfId="16178" xr:uid="{4B113367-EC33-44D3-8FFE-41175EEA9D45}"/>
    <cellStyle name="Normal 3 10 12 3" xfId="20564" xr:uid="{4CED87AF-847B-41B6-9CDD-0CAB590A14BF}"/>
    <cellStyle name="Normal 3 10 2" xfId="2793" xr:uid="{6EE41233-8BB5-47D1-85CD-F76B60E1F0E6}"/>
    <cellStyle name="Normal 3 10 2 10" xfId="10264" xr:uid="{B60B1F11-5FB8-44E8-B5AF-2846D49F2E5E}"/>
    <cellStyle name="Normal 3 10 2 11" xfId="15443" xr:uid="{0A3722AB-C0A1-4E85-A637-FB42938E1E50}"/>
    <cellStyle name="Normal 3 10 2 2" xfId="4442" xr:uid="{657D9160-EC54-4327-9577-C6FB4ADEAD6A}"/>
    <cellStyle name="Normal 3 10 2 2 2" xfId="6578" xr:uid="{69468DCA-6C2E-4B90-A6EC-8C89C9D5A663}"/>
    <cellStyle name="Normal 3 10 2 2 2 2" xfId="8875" xr:uid="{DC6CE01A-EA7C-49CB-8BFA-51A66A62CFC6}"/>
    <cellStyle name="Normal 3 10 2 2 2 2 2" xfId="18927" xr:uid="{59CC5C8D-2DF9-4AD7-83B2-8D3C80996A0E}"/>
    <cellStyle name="Normal 3 10 2 2 2 3" xfId="16380" xr:uid="{BEB3AE12-4D2F-4E17-A156-95AB3C1D564C}"/>
    <cellStyle name="Normal 3 10 2 2 2 4" xfId="15243" xr:uid="{EACF4024-93FB-4666-95D5-0289D9209956}"/>
    <cellStyle name="Normal 3 10 2 2 3" xfId="6579" xr:uid="{F043DDE0-5D8B-4863-8D42-9EA0609A7A5F}"/>
    <cellStyle name="Normal 3 10 2 2 3 2" xfId="9323" xr:uid="{3799ABFD-AE26-4B91-9B3F-B69CF33A3EEF}"/>
    <cellStyle name="Normal 3 10 2 2 3 2 2" xfId="19375" xr:uid="{43D609F1-FBB4-4D58-AA30-957A84E28EE3}"/>
    <cellStyle name="Normal 3 10 2 2 3 3" xfId="16826" xr:uid="{E0A1C2C7-29F0-415F-AB84-2BEF4AD2EB00}"/>
    <cellStyle name="Normal 3 10 2 2 3 4" xfId="14847" xr:uid="{FBABAB05-19E2-4EF6-9B71-C6F9CA78CDCA}"/>
    <cellStyle name="Normal 3 10 2 2 4" xfId="6580" xr:uid="{8BBDF6B4-9FD2-4F74-A1DE-83A945606020}"/>
    <cellStyle name="Normal 3 10 2 2 4 2" xfId="17426" xr:uid="{EFF24AEE-1002-4342-A136-2A134912F09E}"/>
    <cellStyle name="Normal 3 10 2 2 4 3" xfId="14761" xr:uid="{A2D1481A-0D04-4FD9-82D0-121CD41F314F}"/>
    <cellStyle name="Normal 3 10 2 2 5" xfId="6581" xr:uid="{F01638C1-BFE8-4507-AF1D-66A2E6FCA1DA}"/>
    <cellStyle name="Normal 3 10 2 2 5 2" xfId="18037" xr:uid="{2729A02C-43C7-4789-9534-4A108F989E62}"/>
    <cellStyle name="Normal 3 10 2 2 5 3" xfId="14400" xr:uid="{EA7A2B63-3A89-4E35-A17C-13914FF2845F}"/>
    <cellStyle name="Normal 3 10 2 2 6" xfId="8447" xr:uid="{97ED1584-BCD1-429C-A9BD-94C7FA59DD3D}"/>
    <cellStyle name="Normal 3 10 2 2 6 2" xfId="18499" xr:uid="{A7F4AF33-B5EA-4B75-AB4A-744D386F147C}"/>
    <cellStyle name="Normal 3 10 2 2 7" xfId="9912" xr:uid="{8A6DFA1A-D4AE-4C9A-B701-BB7782A30BFB}"/>
    <cellStyle name="Normal 3 10 2 2 8" xfId="10478" xr:uid="{BB67F2B4-B6CB-4804-A8A8-F86B15FB80A3}"/>
    <cellStyle name="Normal 3 10 2 2 9" xfId="16026" xr:uid="{8A648BF0-06F1-46E0-8D47-D9F1936BCBBE}"/>
    <cellStyle name="Normal 3 10 2 3" xfId="4443" xr:uid="{FD79BE03-86B7-4E76-A7A4-28928155BAB1}"/>
    <cellStyle name="Normal 3 10 2 3 2" xfId="6582" xr:uid="{06A0B3BB-8FB4-4755-8915-3B307A7B1297}"/>
    <cellStyle name="Normal 3 10 2 3 2 2" xfId="8876" xr:uid="{46B76109-87DF-4D94-96C9-0A4D7C217116}"/>
    <cellStyle name="Normal 3 10 2 3 2 2 2" xfId="18928" xr:uid="{DAA5B724-CDE5-4D4F-AACB-2E8859E37FA6}"/>
    <cellStyle name="Normal 3 10 2 3 2 3" xfId="16381" xr:uid="{42C845FC-84D8-4CE1-9364-81B1EDBCD2AF}"/>
    <cellStyle name="Normal 3 10 2 3 2 4" xfId="15242" xr:uid="{0BD72567-F583-4387-BC9E-881ACCF6E1BD}"/>
    <cellStyle name="Normal 3 10 2 3 3" xfId="6583" xr:uid="{3F9DBD9D-4EC3-41EB-A160-0F67388CA161}"/>
    <cellStyle name="Normal 3 10 2 3 3 2" xfId="9324" xr:uid="{CC4B80C5-9027-4BE1-9732-E8BB14188E1F}"/>
    <cellStyle name="Normal 3 10 2 3 3 2 2" xfId="19376" xr:uid="{F2B099D7-387E-4781-A742-07628B96674F}"/>
    <cellStyle name="Normal 3 10 2 3 3 3" xfId="16827" xr:uid="{D3DFACAD-52A8-45A2-9E36-AA42581238A5}"/>
    <cellStyle name="Normal 3 10 2 3 3 4" xfId="14846" xr:uid="{9A203F95-D3C2-40B1-BF21-72CDF6BE7D71}"/>
    <cellStyle name="Normal 3 10 2 3 4" xfId="6584" xr:uid="{AE629E1A-BBE2-4140-8124-12EDDABBF6F9}"/>
    <cellStyle name="Normal 3 10 2 3 4 2" xfId="17427" xr:uid="{253E7654-CAA3-43ED-BC86-C2DF1CA83F09}"/>
    <cellStyle name="Normal 3 10 2 3 4 3" xfId="14760" xr:uid="{BAF1BC3A-A067-4109-9567-10B89CB83EAF}"/>
    <cellStyle name="Normal 3 10 2 3 5" xfId="6585" xr:uid="{362F3414-42E0-4D75-989E-DCAF4271C7D6}"/>
    <cellStyle name="Normal 3 10 2 3 5 2" xfId="18038" xr:uid="{8F7BB8F4-07D2-45E4-B229-4DB5F642CCBE}"/>
    <cellStyle name="Normal 3 10 2 3 5 3" xfId="14399" xr:uid="{3A874091-D4B5-4C3E-9A27-550ABB798511}"/>
    <cellStyle name="Normal 3 10 2 3 6" xfId="8448" xr:uid="{1B138D89-FD58-4A9D-995A-8A2F98E27DDF}"/>
    <cellStyle name="Normal 3 10 2 3 6 2" xfId="18500" xr:uid="{D9B3C0E3-8ABF-4FC6-A9D5-2339F32D4A71}"/>
    <cellStyle name="Normal 3 10 2 3 7" xfId="9913" xr:uid="{9F420E4B-6B40-4B24-952B-7D07CD8EEC48}"/>
    <cellStyle name="Normal 3 10 2 3 8" xfId="10479" xr:uid="{3514D16B-D59F-4FA5-BD6F-6AB01B8E573B}"/>
    <cellStyle name="Normal 3 10 2 3 9" xfId="16025" xr:uid="{0DE395E2-BC3F-4F2E-8CAA-A26EFA787815}"/>
    <cellStyle name="Normal 3 10 2 4" xfId="6586" xr:uid="{9E818FC0-AC38-4077-87A2-342F1E56A9A7}"/>
    <cellStyle name="Normal 3 10 2 4 2" xfId="6587" xr:uid="{D87C4F52-B7FF-4627-9A51-F8DFFEF0EE1E}"/>
    <cellStyle name="Normal 3 10 2 4 2 2" xfId="17266" xr:uid="{F88F1432-0E79-4556-B39A-B2553EAB9628}"/>
    <cellStyle name="Normal 3 10 2 4 3" xfId="6588" xr:uid="{38CF4485-05F2-4735-A7E8-AC6AFE102189}"/>
    <cellStyle name="Normal 3 10 2 4 3 2" xfId="17880" xr:uid="{D720F9B7-D462-4252-BDCC-8A58FA48ECD0}"/>
    <cellStyle name="Normal 3 10 2 4 4" xfId="8709" xr:uid="{A3D8F301-3FFE-43E9-8167-356342D5E13E}"/>
    <cellStyle name="Normal 3 10 2 4 4 2" xfId="18761" xr:uid="{7D5C4681-7B83-4B1A-87CD-D8AD2D958C71}"/>
    <cellStyle name="Normal 3 10 2 4 5" xfId="9756" xr:uid="{2C5904C7-881D-4ACB-A7D6-FEB16A726B6E}"/>
    <cellStyle name="Normal 3 10 2 4 6" xfId="10480" xr:uid="{5A2D02AA-CBFF-4846-A07D-97E44075587D}"/>
    <cellStyle name="Normal 3 10 2 4 7" xfId="15807" xr:uid="{CC938750-AAC8-4926-965C-7D9FD1469F62}"/>
    <cellStyle name="Normal 3 10 2 5" xfId="6589" xr:uid="{3EB76886-BE87-4746-959E-906FEB7D4560}"/>
    <cellStyle name="Normal 3 10 2 5 2" xfId="9157" xr:uid="{DD1D3ADC-BF9F-4008-81BD-41FDFF3E09D1}"/>
    <cellStyle name="Normal 3 10 2 5 2 2" xfId="19209" xr:uid="{BB42EC02-A021-4D8A-BDAF-4F5729C02DEA}"/>
    <cellStyle name="Normal 3 10 2 5 3" xfId="16660" xr:uid="{C2E093DD-E6A6-4DA6-8C2B-C9A75E94AB03}"/>
    <cellStyle name="Normal 3 10 2 5 4" xfId="14989" xr:uid="{84B21D33-FBCD-4988-9DA7-3F7E88A963B5}"/>
    <cellStyle name="Normal 3 10 2 6" xfId="6590" xr:uid="{AAA0310A-ABC8-4980-98E7-B7A3071740E3}"/>
    <cellStyle name="Normal 3 10 2 6 2" xfId="17119" xr:uid="{6139E3CC-4E40-4432-BAE1-F4C0C5D54A38}"/>
    <cellStyle name="Normal 3 10 2 6 3" xfId="14812" xr:uid="{0DBD510E-3412-4A74-8F8A-59C095BEA0A2}"/>
    <cellStyle name="Normal 3 10 2 7" xfId="6591" xr:uid="{33F5D2A9-B22B-4AB6-A97B-6FCB3BA5BDA4}"/>
    <cellStyle name="Normal 3 10 2 7 2" xfId="17729" xr:uid="{19EC2B22-D455-42A4-B6E0-2EAB29DB9533}"/>
    <cellStyle name="Normal 3 10 2 7 3" xfId="14533" xr:uid="{DCE0B6D6-CF28-4A1B-91FA-C7E255E67902}"/>
    <cellStyle name="Normal 3 10 2 8" xfId="8281" xr:uid="{37F99B94-CAE2-4969-9C28-0903AC51E269}"/>
    <cellStyle name="Normal 3 10 2 8 2" xfId="18333" xr:uid="{9468655E-67A5-4D7E-98AC-E5A11169C3D2}"/>
    <cellStyle name="Normal 3 10 2 9" xfId="9610" xr:uid="{8C72155A-91C5-427D-9CFD-49A8090E5393}"/>
    <cellStyle name="Normal 3 10 3" xfId="4444" xr:uid="{8DEF96F5-0CAF-4D2C-968A-4008C35BCE9C}"/>
    <cellStyle name="Normal 3 10 3 2" xfId="6592" xr:uid="{480CD43C-2C35-4151-A4A0-1A18132F647C}"/>
    <cellStyle name="Normal 3 10 3 2 2" xfId="8877" xr:uid="{054A5531-9DF1-4C7E-98C1-431B8E868479}"/>
    <cellStyle name="Normal 3 10 3 2 2 2" xfId="18929" xr:uid="{36C37D4B-5ACF-4324-8424-0227ED00FE79}"/>
    <cellStyle name="Normal 3 10 3 2 3" xfId="16382" xr:uid="{5C0CA71F-5DF6-4120-95AA-6FDCCE61EB04}"/>
    <cellStyle name="Normal 3 10 3 2 4" xfId="15241" xr:uid="{2B075910-4D4B-4BC5-8F81-A2D153A09A67}"/>
    <cellStyle name="Normal 3 10 3 3" xfId="6593" xr:uid="{A724E5FC-2A4E-4425-B166-571E038EAB92}"/>
    <cellStyle name="Normal 3 10 3 3 2" xfId="9325" xr:uid="{40C7BFF6-30F7-4FF8-BF55-8AED4459E55E}"/>
    <cellStyle name="Normal 3 10 3 3 2 2" xfId="19377" xr:uid="{37A7828B-99BB-4B2C-AC84-083F29876A09}"/>
    <cellStyle name="Normal 3 10 3 3 3" xfId="16828" xr:uid="{D03B38EC-B9D7-45D4-9063-3A52E6B8AA95}"/>
    <cellStyle name="Normal 3 10 3 3 4" xfId="14178" xr:uid="{9F8D07A4-73F5-4C8B-9B7C-EA0557297E5D}"/>
    <cellStyle name="Normal 3 10 3 4" xfId="6594" xr:uid="{7E518EA8-AC48-48D7-ABDE-732D0BB6DB12}"/>
    <cellStyle name="Normal 3 10 3 4 2" xfId="17428" xr:uid="{2BF042B7-3406-4A93-B189-AF9195822B6E}"/>
    <cellStyle name="Normal 3 10 3 4 3" xfId="14759" xr:uid="{37C6878F-131A-49FA-B5ED-C8ABD9DB4195}"/>
    <cellStyle name="Normal 3 10 3 5" xfId="6595" xr:uid="{7889E1D5-4516-4E5C-9B54-75B1DED2F91B}"/>
    <cellStyle name="Normal 3 10 3 5 2" xfId="18039" xr:uid="{F79ABDCB-1485-4B66-A5BF-D271C9817F0A}"/>
    <cellStyle name="Normal 3 10 3 5 3" xfId="14398" xr:uid="{53655542-673A-4C8C-88CB-ABBC1C0D90E0}"/>
    <cellStyle name="Normal 3 10 3 6" xfId="8449" xr:uid="{1909696C-2AB7-4FC0-924F-593B29423F39}"/>
    <cellStyle name="Normal 3 10 3 6 2" xfId="18501" xr:uid="{01FE077A-688E-4D06-BB49-1C220AE086F4}"/>
    <cellStyle name="Normal 3 10 3 7" xfId="9914" xr:uid="{4174D8A8-169D-4360-B969-1B8D7180DE7F}"/>
    <cellStyle name="Normal 3 10 3 8" xfId="10481" xr:uid="{847DAF48-37B8-4832-B81F-CA404B8DB51C}"/>
    <cellStyle name="Normal 3 10 3 9" xfId="15421" xr:uid="{3BEAE8D4-B4C3-47A5-BD1F-6754679EDA12}"/>
    <cellStyle name="Normal 3 10 4" xfId="4445" xr:uid="{DEDC39CC-9C07-4A6C-9056-B3B283BF4DD1}"/>
    <cellStyle name="Normal 3 10 4 2" xfId="6596" xr:uid="{6AAF84FB-43AA-458F-A575-37A406D37D23}"/>
    <cellStyle name="Normal 3 10 4 2 2" xfId="8878" xr:uid="{B41E8297-F0EB-4378-966E-39C7BFAFC9A2}"/>
    <cellStyle name="Normal 3 10 4 2 2 2" xfId="18930" xr:uid="{20DD2362-136E-4A0C-9119-D1956C9E721D}"/>
    <cellStyle name="Normal 3 10 4 2 3" xfId="16383" xr:uid="{E2E8F98F-426C-49DC-BE6C-A63F4FF419B3}"/>
    <cellStyle name="Normal 3 10 4 2 4" xfId="15240" xr:uid="{0A6628A7-8CBD-4786-A4EB-15ACC5BA28F7}"/>
    <cellStyle name="Normal 3 10 4 3" xfId="6597" xr:uid="{5C8FB9F4-F642-4DCD-940A-8D5F157C7179}"/>
    <cellStyle name="Normal 3 10 4 3 2" xfId="9326" xr:uid="{A07250D2-02F9-4427-ABF6-7C8C7440E90B}"/>
    <cellStyle name="Normal 3 10 4 3 2 2" xfId="19378" xr:uid="{6B1D49BC-3B72-403E-BAF4-1D739F51778F}"/>
    <cellStyle name="Normal 3 10 4 3 3" xfId="16829" xr:uid="{4F35FA32-627D-40E7-AA5E-AC2A3BE9ACDC}"/>
    <cellStyle name="Normal 3 10 4 3 4" xfId="16245" xr:uid="{306468D4-6998-470E-B055-A898B7297165}"/>
    <cellStyle name="Normal 3 10 4 4" xfId="6598" xr:uid="{5F990BE7-7F78-453D-BFA8-F72504B0F53C}"/>
    <cellStyle name="Normal 3 10 4 4 2" xfId="17429" xr:uid="{7F9ECB63-47B8-4553-9CB0-13FFF458EB38}"/>
    <cellStyle name="Normal 3 10 4 4 3" xfId="14758" xr:uid="{6D3D7322-3801-40F4-BE63-372999A3D00E}"/>
    <cellStyle name="Normal 3 10 4 5" xfId="6599" xr:uid="{A2B363DC-56A6-4187-AFD0-39BAC09EC362}"/>
    <cellStyle name="Normal 3 10 4 5 2" xfId="18040" xr:uid="{32082FA6-A560-45C0-901E-10AA3FDD36AF}"/>
    <cellStyle name="Normal 3 10 4 5 3" xfId="14397" xr:uid="{0D660A2B-AB44-41BF-B3EE-3DC4A76B2076}"/>
    <cellStyle name="Normal 3 10 4 6" xfId="8450" xr:uid="{8BD90D1F-E06D-43EE-9BC4-18AD301F07A8}"/>
    <cellStyle name="Normal 3 10 4 6 2" xfId="18502" xr:uid="{A8AEA47D-4B62-4195-8CB6-FAFEC6D8E730}"/>
    <cellStyle name="Normal 3 10 4 7" xfId="9915" xr:uid="{42B3AD75-9BAF-48CC-A19C-B2918C3A7C10}"/>
    <cellStyle name="Normal 3 10 4 8" xfId="10482" xr:uid="{BF21F153-2513-483A-A101-64699D0A0F78}"/>
    <cellStyle name="Normal 3 10 4 9" xfId="16024" xr:uid="{E30AA8E1-BED2-42E3-9B78-799F54B84115}"/>
    <cellStyle name="Normal 3 10 5" xfId="6600" xr:uid="{3A9840A7-C053-41B8-B331-9475D89741C6}"/>
    <cellStyle name="Normal 3 10 5 2" xfId="6601" xr:uid="{04EECD78-18C3-4DB7-8AEF-31AAF0B1E79F}"/>
    <cellStyle name="Normal 3 10 5 2 2" xfId="17265" xr:uid="{4E4766CC-7310-49B6-B816-EC6604408356}"/>
    <cellStyle name="Normal 3 10 5 3" xfId="6602" xr:uid="{0C64B7FC-5DAC-481A-ABF1-698A91BF9B26}"/>
    <cellStyle name="Normal 3 10 5 3 2" xfId="17879" xr:uid="{A35CD50F-C653-4F53-9511-4B6B09585941}"/>
    <cellStyle name="Normal 3 10 5 4" xfId="8708" xr:uid="{FDDA761E-F517-4593-8B8E-7C429ABA38E3}"/>
    <cellStyle name="Normal 3 10 5 4 2" xfId="18760" xr:uid="{1532DC11-D7FE-4D83-A547-4B05B7D6B08D}"/>
    <cellStyle name="Normal 3 10 5 5" xfId="9755" xr:uid="{8141A740-4DE2-47CD-ACC3-D521EDD122B3}"/>
    <cellStyle name="Normal 3 10 5 6" xfId="10483" xr:uid="{235DF14C-1A21-4BE1-8C1D-8BF5475C2FF0}"/>
    <cellStyle name="Normal 3 10 5 7" xfId="15387" xr:uid="{1AF3F826-6492-4DF1-BD0D-BAFE824F6CA3}"/>
    <cellStyle name="Normal 3 10 6" xfId="6603" xr:uid="{AAA5D636-7B8C-4600-A86D-653B37656E21}"/>
    <cellStyle name="Normal 3 10 6 2" xfId="9156" xr:uid="{0B9E29F7-6709-40FA-9324-B55A00CAC79B}"/>
    <cellStyle name="Normal 3 10 6 2 2" xfId="19208" xr:uid="{835D8122-1048-4EA5-BFCB-717D402699AA}"/>
    <cellStyle name="Normal 3 10 6 3" xfId="16659" xr:uid="{32697522-E219-4E2E-BC23-D4039F6C4B45}"/>
    <cellStyle name="Normal 3 10 6 4" xfId="14990" xr:uid="{661A352A-11EC-4FEB-8A92-AF3837469861}"/>
    <cellStyle name="Normal 3 10 7" xfId="6604" xr:uid="{11289D65-B025-43DB-ABE4-A495473ADB27}"/>
    <cellStyle name="Normal 3 10 7 2" xfId="17118" xr:uid="{09E67F05-2F93-4174-B29F-6B35C4921179}"/>
    <cellStyle name="Normal 3 10 7 3" xfId="15584" xr:uid="{340E6AEA-BF3A-47B0-86A2-BFD419202356}"/>
    <cellStyle name="Normal 3 10 8" xfId="6605" xr:uid="{3876B4ED-2903-407F-A9DE-7B4B96A0FB96}"/>
    <cellStyle name="Normal 3 10 8 2" xfId="17728" xr:uid="{CDEAC11E-9BB1-4A2C-9B39-AADFB0FA8195}"/>
    <cellStyle name="Normal 3 10 8 3" xfId="14534" xr:uid="{0B6B231D-B536-4824-B7E1-533FED64B9FF}"/>
    <cellStyle name="Normal 3 10 9" xfId="8280" xr:uid="{F7F83C5C-FABF-4F2C-8872-06D11C8F6F84}"/>
    <cellStyle name="Normal 3 10 9 2" xfId="18332" xr:uid="{5B17CAA1-512A-43BA-917B-273B03395086}"/>
    <cellStyle name="Normal 3 11" xfId="2794" xr:uid="{12104990-766C-42B9-BBF7-CCB7732FEFEB}"/>
    <cellStyle name="Normal 3 11 10" xfId="9611" xr:uid="{6132E467-899F-40FF-86CE-A9A3192D2964}"/>
    <cellStyle name="Normal 3 11 11" xfId="10265" xr:uid="{9BD58959-BC32-4495-AAA0-A1BF5B9D6FC2}"/>
    <cellStyle name="Normal 3 11 12" xfId="11988" xr:uid="{58F5E1EF-EF07-44BB-A3B0-8529D27E7956}"/>
    <cellStyle name="Normal 3 11 12 2" xfId="16177" xr:uid="{AB4619AF-ECE8-45EE-90DA-89F5CDCDAEF5}"/>
    <cellStyle name="Normal 3 11 12 3" xfId="20641" xr:uid="{023DA229-40FD-40BB-8060-EADB0F3B4BCD}"/>
    <cellStyle name="Normal 3 11 2" xfId="2795" xr:uid="{0E2A8E4F-5B1B-4525-A903-AA51CDB695D0}"/>
    <cellStyle name="Normal 3 11 2 10" xfId="10266" xr:uid="{C21D87E1-F2F4-4B78-B0EB-A8B3D0410F09}"/>
    <cellStyle name="Normal 3 11 2 11" xfId="16176" xr:uid="{25CCC3C1-CF21-46E9-BE06-2C24DE80A43F}"/>
    <cellStyle name="Normal 3 11 2 2" xfId="4446" xr:uid="{2D0E3BC9-51B9-4990-831C-24573919799B}"/>
    <cellStyle name="Normal 3 11 2 2 2" xfId="6606" xr:uid="{DC9EA01A-CF42-40FE-914D-47A742C698E1}"/>
    <cellStyle name="Normal 3 11 2 2 2 2" xfId="8879" xr:uid="{29D7CE4B-4622-46F9-8638-CCE3FA814521}"/>
    <cellStyle name="Normal 3 11 2 2 2 2 2" xfId="18931" xr:uid="{F9B0075E-6771-46F2-89F7-1A88DB0C0156}"/>
    <cellStyle name="Normal 3 11 2 2 2 3" xfId="16384" xr:uid="{CBBB2F51-27CF-4DC6-BCEC-86E7C9AAD955}"/>
    <cellStyle name="Normal 3 11 2 2 2 4" xfId="15239" xr:uid="{C6532A8A-D4EF-4E92-BE93-F6D2184D4B5D}"/>
    <cellStyle name="Normal 3 11 2 2 3" xfId="6607" xr:uid="{0D9430D9-68FE-4EA2-B744-5EDDDB946998}"/>
    <cellStyle name="Normal 3 11 2 2 3 2" xfId="9327" xr:uid="{35DCA4D6-C22D-4CA4-87AF-2D86D993F9EB}"/>
    <cellStyle name="Normal 3 11 2 2 3 2 2" xfId="19379" xr:uid="{90D91C4C-FDAF-4536-8B98-5873A8A80DCD}"/>
    <cellStyle name="Normal 3 11 2 2 3 3" xfId="16830" xr:uid="{73D748FE-EE58-4846-9A0B-D13253B7040F}"/>
    <cellStyle name="Normal 3 11 2 2 3 4" xfId="14190" xr:uid="{976485E5-346D-4799-8D7A-CA9AB7AF693D}"/>
    <cellStyle name="Normal 3 11 2 2 4" xfId="6608" xr:uid="{6542AB15-7193-4B65-AFE6-E3F4B071BFD3}"/>
    <cellStyle name="Normal 3 11 2 2 4 2" xfId="17430" xr:uid="{5419B053-140B-4126-AED8-BAD3DAEF5B00}"/>
    <cellStyle name="Normal 3 11 2 2 4 3" xfId="14757" xr:uid="{C4EA7331-03D2-4A70-B132-80CF369863CB}"/>
    <cellStyle name="Normal 3 11 2 2 5" xfId="6609" xr:uid="{E797CBA3-BD3A-48DE-AC56-A8E751A636BE}"/>
    <cellStyle name="Normal 3 11 2 2 5 2" xfId="18041" xr:uid="{26FF713D-650C-41C5-BF0B-8D595B497A26}"/>
    <cellStyle name="Normal 3 11 2 2 5 3" xfId="14396" xr:uid="{62CD80A1-3F5E-4122-8C17-2C4BB31FD8EE}"/>
    <cellStyle name="Normal 3 11 2 2 6" xfId="8451" xr:uid="{C8F9C3FC-9DE1-4DF4-BA0C-647EAECEAFAD}"/>
    <cellStyle name="Normal 3 11 2 2 6 2" xfId="18503" xr:uid="{E860F7D7-8B55-406D-A5AF-F196E6910637}"/>
    <cellStyle name="Normal 3 11 2 2 7" xfId="9916" xr:uid="{739AEC0F-E56B-4908-9282-EDD1E9EEA6F7}"/>
    <cellStyle name="Normal 3 11 2 2 8" xfId="10484" xr:uid="{960676A4-0651-496D-8A3A-EF1B187F610D}"/>
    <cellStyle name="Normal 3 11 2 2 9" xfId="16023" xr:uid="{234A5B7B-50D6-497C-B824-F4545A0A5E79}"/>
    <cellStyle name="Normal 3 11 2 3" xfId="4447" xr:uid="{59837D7E-722A-4669-8F7E-5E8C2198D63E}"/>
    <cellStyle name="Normal 3 11 2 3 2" xfId="6610" xr:uid="{43BB5F07-C400-4CA4-B3C7-669F507B4F93}"/>
    <cellStyle name="Normal 3 11 2 3 2 2" xfId="8880" xr:uid="{F3D8BAC1-D399-4EEC-9FEA-E5581C1A2C50}"/>
    <cellStyle name="Normal 3 11 2 3 2 2 2" xfId="18932" xr:uid="{95560B9F-08D1-45C5-9CA1-5B31234FCEAD}"/>
    <cellStyle name="Normal 3 11 2 3 2 3" xfId="16385" xr:uid="{017CF666-E312-4CF3-BB30-78E738AEBA59}"/>
    <cellStyle name="Normal 3 11 2 3 2 4" xfId="15238" xr:uid="{DA071395-7D78-4B07-94B6-F9213DCB9C38}"/>
    <cellStyle name="Normal 3 11 2 3 3" xfId="6611" xr:uid="{460CE291-0E55-43A4-827F-96F5DFD64F94}"/>
    <cellStyle name="Normal 3 11 2 3 3 2" xfId="9328" xr:uid="{46C6EC8C-8A4A-4761-BB53-FC74D09D6AB7}"/>
    <cellStyle name="Normal 3 11 2 3 3 2 2" xfId="19380" xr:uid="{ECDD9E6F-8FF8-4EF7-95D2-0A472089FB6A}"/>
    <cellStyle name="Normal 3 11 2 3 3 3" xfId="16831" xr:uid="{BDBC04C8-712A-4E36-8697-55FE2BEE78F8}"/>
    <cellStyle name="Normal 3 11 2 3 3 4" xfId="14025" xr:uid="{B12DF532-CBAB-4B45-BFF9-AEF9A246A9D6}"/>
    <cellStyle name="Normal 3 11 2 3 4" xfId="6612" xr:uid="{CC6EC033-8863-45C7-ACB9-F6172D260734}"/>
    <cellStyle name="Normal 3 11 2 3 4 2" xfId="17431" xr:uid="{864D2086-7E05-4F68-8C0B-B9CEC32ADA92}"/>
    <cellStyle name="Normal 3 11 2 3 4 3" xfId="14756" xr:uid="{8B250B4E-8A86-434C-9E85-0330A91CA7C1}"/>
    <cellStyle name="Normal 3 11 2 3 5" xfId="6613" xr:uid="{EEF2FB98-E9CE-4DFB-B519-73834B52FED1}"/>
    <cellStyle name="Normal 3 11 2 3 5 2" xfId="18042" xr:uid="{9A9B1535-92AD-4DC4-AC88-CB55307BEDE9}"/>
    <cellStyle name="Normal 3 11 2 3 5 3" xfId="14395" xr:uid="{33A9F70B-B5C3-4873-A222-C15115EB83BB}"/>
    <cellStyle name="Normal 3 11 2 3 6" xfId="8452" xr:uid="{8DC4E856-77EC-4FD4-9A2A-97CF830DD8EB}"/>
    <cellStyle name="Normal 3 11 2 3 6 2" xfId="18504" xr:uid="{09A1B1BD-66F4-4294-A906-A8AEA0CE433B}"/>
    <cellStyle name="Normal 3 11 2 3 7" xfId="9917" xr:uid="{86F188CD-9B58-4B51-8185-A89DEAA1BE54}"/>
    <cellStyle name="Normal 3 11 2 3 8" xfId="10485" xr:uid="{5623361F-550A-4D63-B941-10804A67F461}"/>
    <cellStyle name="Normal 3 11 2 3 9" xfId="16022" xr:uid="{865858D8-1022-49FD-9842-4E139EEF9DE1}"/>
    <cellStyle name="Normal 3 11 2 4" xfId="6614" xr:uid="{3AF39FC5-F860-437D-9BFD-02BCC3E8EF98}"/>
    <cellStyle name="Normal 3 11 2 4 2" xfId="6615" xr:uid="{6E4EFF9E-80C8-4EB2-A0DA-E80259A78253}"/>
    <cellStyle name="Normal 3 11 2 4 2 2" xfId="17268" xr:uid="{F1342330-19BF-4DE7-9A24-21FF0FE30810}"/>
    <cellStyle name="Normal 3 11 2 4 3" xfId="6616" xr:uid="{0D4824A6-1349-4B36-937B-384E007BAE77}"/>
    <cellStyle name="Normal 3 11 2 4 3 2" xfId="17882" xr:uid="{26AF915E-EF5E-4917-B3A2-F8D032F80E80}"/>
    <cellStyle name="Normal 3 11 2 4 4" xfId="8711" xr:uid="{56C6192D-2D2C-4D70-AD2A-07C1EA96E6BF}"/>
    <cellStyle name="Normal 3 11 2 4 4 2" xfId="18763" xr:uid="{168D0075-0141-4DE5-95B0-2D632AA6607C}"/>
    <cellStyle name="Normal 3 11 2 4 5" xfId="9758" xr:uid="{D34E5AF9-8B80-4E31-B743-7F71838DBF75}"/>
    <cellStyle name="Normal 3 11 2 4 6" xfId="10486" xr:uid="{F1AC22AE-CDE4-41C0-AF09-E29B82BEFBDB}"/>
    <cellStyle name="Normal 3 11 2 4 7" xfId="15805" xr:uid="{10A73B02-528D-4366-BD0D-CFA8C8057AC6}"/>
    <cellStyle name="Normal 3 11 2 5" xfId="6617" xr:uid="{1F6B3B92-6BCD-4BFC-B70B-A79B96095F75}"/>
    <cellStyle name="Normal 3 11 2 5 2" xfId="9159" xr:uid="{D9F75828-1920-4F5D-A836-3D2AC59CFC45}"/>
    <cellStyle name="Normal 3 11 2 5 2 2" xfId="19211" xr:uid="{3C3A8322-DCF8-4D92-85A3-154142DE3360}"/>
    <cellStyle name="Normal 3 11 2 5 3" xfId="16662" xr:uid="{29388028-BAAB-4E09-852E-D23489BF839E}"/>
    <cellStyle name="Normal 3 11 2 5 4" xfId="14987" xr:uid="{7005DAC3-AEBE-46FC-8CDA-361D98284F66}"/>
    <cellStyle name="Normal 3 11 2 6" xfId="6618" xr:uid="{65AAF1BC-EAD1-4C41-9996-A24E268B5869}"/>
    <cellStyle name="Normal 3 11 2 6 2" xfId="17121" xr:uid="{362C0356-1C06-4DB7-8B11-F713E389E04B}"/>
    <cellStyle name="Normal 3 11 2 6 3" xfId="15582" xr:uid="{954DE80C-1218-45A2-9CC7-9E783EDF792D}"/>
    <cellStyle name="Normal 3 11 2 7" xfId="6619" xr:uid="{68D72653-C1ED-4118-B6E4-F286334D9DE4}"/>
    <cellStyle name="Normal 3 11 2 7 2" xfId="17731" xr:uid="{796FFAA1-640D-4817-BD76-AA747DC42863}"/>
    <cellStyle name="Normal 3 11 2 7 3" xfId="14102" xr:uid="{733A4414-8BFA-4876-B166-22FC3750D935}"/>
    <cellStyle name="Normal 3 11 2 8" xfId="8283" xr:uid="{7C198180-DFDB-491A-AB7B-65380A333B7C}"/>
    <cellStyle name="Normal 3 11 2 8 2" xfId="18335" xr:uid="{2EA3FE95-C5D6-4616-9AC9-B48C80D21D98}"/>
    <cellStyle name="Normal 3 11 2 9" xfId="9612" xr:uid="{7281E71B-76F8-4A50-8C17-A1F124B28275}"/>
    <cellStyle name="Normal 3 11 3" xfId="4448" xr:uid="{915902FF-B230-4F27-AF2A-5BFC21B621AB}"/>
    <cellStyle name="Normal 3 11 3 2" xfId="6620" xr:uid="{80A1D783-190F-406E-9F9A-DF7019C7B363}"/>
    <cellStyle name="Normal 3 11 3 2 2" xfId="8881" xr:uid="{9410879E-CAFF-4F4E-A341-43B008715C09}"/>
    <cellStyle name="Normal 3 11 3 2 2 2" xfId="18933" xr:uid="{08AB506C-06E0-4D2E-9840-2F36AD7FF303}"/>
    <cellStyle name="Normal 3 11 3 2 3" xfId="16386" xr:uid="{50594684-9F8D-49F3-B6CA-0086F822EB7F}"/>
    <cellStyle name="Normal 3 11 3 2 4" xfId="14158" xr:uid="{883DB76A-E4F6-46AE-90D4-A30AD6F025C2}"/>
    <cellStyle name="Normal 3 11 3 3" xfId="6621" xr:uid="{CCC85A1F-2D55-4A0A-B46D-B013FB149A71}"/>
    <cellStyle name="Normal 3 11 3 3 2" xfId="9329" xr:uid="{917FB64A-7B40-4117-B8D1-F43CABA4681C}"/>
    <cellStyle name="Normal 3 11 3 3 2 2" xfId="19381" xr:uid="{13B4C8E7-0FE8-4200-9AA3-78F062655057}"/>
    <cellStyle name="Normal 3 11 3 3 3" xfId="16832" xr:uid="{D990818C-AA2B-4111-B807-D7BC841EE49E}"/>
    <cellStyle name="Normal 3 11 3 3 4" xfId="15801" xr:uid="{BE49FAA0-EADD-415B-8C6A-D340ACF88189}"/>
    <cellStyle name="Normal 3 11 3 4" xfId="6622" xr:uid="{FBCC132B-301F-4046-A30E-33160CE0442A}"/>
    <cellStyle name="Normal 3 11 3 4 2" xfId="17432" xr:uid="{62E084F4-393F-4CAA-B870-924FD22684F0}"/>
    <cellStyle name="Normal 3 11 3 4 3" xfId="14755" xr:uid="{A210043F-A9CE-4697-81DD-1B29DAADF2E8}"/>
    <cellStyle name="Normal 3 11 3 5" xfId="6623" xr:uid="{7B9A3684-0A9D-46E3-BEEA-9E4E2E49B011}"/>
    <cellStyle name="Normal 3 11 3 5 2" xfId="18043" xr:uid="{601442E7-AEF7-4527-92B6-D38BA90E30BE}"/>
    <cellStyle name="Normal 3 11 3 5 3" xfId="14394" xr:uid="{2A559CA4-19A0-457C-A934-09A7B72B3224}"/>
    <cellStyle name="Normal 3 11 3 6" xfId="8453" xr:uid="{9735BD4A-E7AC-4068-BE31-2AB9227F7A72}"/>
    <cellStyle name="Normal 3 11 3 6 2" xfId="18505" xr:uid="{ABFD7FAC-4405-4F79-8088-F4A3FD3A3C06}"/>
    <cellStyle name="Normal 3 11 3 7" xfId="9918" xr:uid="{C5185733-241D-4FE7-9FFB-14D1A2379211}"/>
    <cellStyle name="Normal 3 11 3 8" xfId="10487" xr:uid="{37E00C9D-2CE7-4419-AAE2-189428547C18}"/>
    <cellStyle name="Normal 3 11 3 9" xfId="16021" xr:uid="{967204AD-EF89-401B-8CB8-62DC7477235E}"/>
    <cellStyle name="Normal 3 11 4" xfId="4449" xr:uid="{B27F9A3B-35DE-4C7C-8DCD-E18CD3C155F7}"/>
    <cellStyle name="Normal 3 11 4 2" xfId="6624" xr:uid="{1E6AB3F2-179D-43A3-9666-2760DF9CFBC5}"/>
    <cellStyle name="Normal 3 11 4 2 2" xfId="8882" xr:uid="{93EA266F-8A8E-4369-80FD-C3A34F41514A}"/>
    <cellStyle name="Normal 3 11 4 2 2 2" xfId="18934" xr:uid="{9BE6B4EF-DBA4-4CCA-B8C3-488BEAE2C8D5}"/>
    <cellStyle name="Normal 3 11 4 2 3" xfId="16387" xr:uid="{AE265E67-138E-4320-B943-47695248A15E}"/>
    <cellStyle name="Normal 3 11 4 2 4" xfId="15237" xr:uid="{EF4B6183-3A5F-48EE-AF57-7D85083AF982}"/>
    <cellStyle name="Normal 3 11 4 3" xfId="6625" xr:uid="{326F0C22-C74B-4CAF-BA1E-197ECF9A646F}"/>
    <cellStyle name="Normal 3 11 4 3 2" xfId="9330" xr:uid="{859B8DEB-89A3-488C-B072-184F6BE602F4}"/>
    <cellStyle name="Normal 3 11 4 3 2 2" xfId="19382" xr:uid="{EBFCD428-6278-4144-878F-B2772873A94B}"/>
    <cellStyle name="Normal 3 11 4 3 3" xfId="16833" xr:uid="{61EDB76B-92BB-430F-B4F7-4A082BAD3F4E}"/>
    <cellStyle name="Normal 3 11 4 3 4" xfId="15800" xr:uid="{0300CE89-52AC-4FFE-B1C9-926547512A12}"/>
    <cellStyle name="Normal 3 11 4 4" xfId="6626" xr:uid="{32FC945C-54D1-4B1A-9435-CF86917D881B}"/>
    <cellStyle name="Normal 3 11 4 4 2" xfId="17433" xr:uid="{B8F4F034-9E2C-42C4-A343-33A7D06C4E43}"/>
    <cellStyle name="Normal 3 11 4 4 3" xfId="14024" xr:uid="{0723E27B-016D-44F8-A241-2EFADC9682B9}"/>
    <cellStyle name="Normal 3 11 4 5" xfId="6627" xr:uid="{1655E55E-F295-482E-B42C-4FCD7888CBE8}"/>
    <cellStyle name="Normal 3 11 4 5 2" xfId="18044" xr:uid="{0690C1CA-5F1F-4866-9403-3B9BEDBF4386}"/>
    <cellStyle name="Normal 3 11 4 5 3" xfId="14083" xr:uid="{0C5B5804-604B-4419-9D65-6B0E5FF55741}"/>
    <cellStyle name="Normal 3 11 4 6" xfId="8454" xr:uid="{D9068A40-D9A5-4B96-BA49-C5F3D692415C}"/>
    <cellStyle name="Normal 3 11 4 6 2" xfId="18506" xr:uid="{6BEFD5B7-08E1-4385-90CE-EFEBF49C5C36}"/>
    <cellStyle name="Normal 3 11 4 7" xfId="9919" xr:uid="{5AD8294B-5DC6-4088-A423-1524E9A38A6D}"/>
    <cellStyle name="Normal 3 11 4 8" xfId="10488" xr:uid="{CC642BE8-B6EA-4DFF-A31B-15F25079C578}"/>
    <cellStyle name="Normal 3 11 4 9" xfId="16020" xr:uid="{8450832E-346C-4A91-A7C1-D1B437C6A4F3}"/>
    <cellStyle name="Normal 3 11 5" xfId="6628" xr:uid="{8B527F48-021D-41AE-81AF-59F79489187B}"/>
    <cellStyle name="Normal 3 11 5 2" xfId="6629" xr:uid="{8771F4DE-3A3F-476D-9A10-B155A3ADE3CC}"/>
    <cellStyle name="Normal 3 11 5 2 2" xfId="17267" xr:uid="{3D565604-D94A-43F8-86B8-787C0FB12C62}"/>
    <cellStyle name="Normal 3 11 5 3" xfId="6630" xr:uid="{A4059DD4-FDC3-4B7D-857D-DCC5EED52054}"/>
    <cellStyle name="Normal 3 11 5 3 2" xfId="17881" xr:uid="{6849F3A4-81C3-4ACE-98B4-7930D04488CD}"/>
    <cellStyle name="Normal 3 11 5 4" xfId="8710" xr:uid="{A1123627-9A97-4510-BB6B-F9FE9C0462FD}"/>
    <cellStyle name="Normal 3 11 5 4 2" xfId="18762" xr:uid="{1A8AF4C9-FC35-4648-9178-2F8F55C4E8FF}"/>
    <cellStyle name="Normal 3 11 5 5" xfId="9757" xr:uid="{80B3D109-4743-484E-BD8F-A6DC7CCADA6C}"/>
    <cellStyle name="Normal 3 11 5 6" xfId="10489" xr:uid="{E8192881-4643-491B-913E-163EAA676A49}"/>
    <cellStyle name="Normal 3 11 5 7" xfId="15806" xr:uid="{EE7D26F8-DC8D-493F-BE01-CBD1C730B3A6}"/>
    <cellStyle name="Normal 3 11 6" xfId="6631" xr:uid="{1BDCFAE6-AB71-4601-80FF-61B16F718D83}"/>
    <cellStyle name="Normal 3 11 6 2" xfId="9158" xr:uid="{3A14B7A8-486F-4470-805E-347C3769F276}"/>
    <cellStyle name="Normal 3 11 6 2 2" xfId="19210" xr:uid="{BC3F4D7C-4D2E-4BE1-84C9-E6B751DC726B}"/>
    <cellStyle name="Normal 3 11 6 3" xfId="16661" xr:uid="{50B69F96-4440-4185-A949-CB0C166B7887}"/>
    <cellStyle name="Normal 3 11 6 4" xfId="14988" xr:uid="{67E46A45-6DBC-4B11-B066-154B2314370A}"/>
    <cellStyle name="Normal 3 11 7" xfId="6632" xr:uid="{D0168E32-FC68-4A25-9DC8-279DBF8FB127}"/>
    <cellStyle name="Normal 3 11 7 2" xfId="17120" xr:uid="{FAC24799-1B2D-4819-8023-882EA23C6B58}"/>
    <cellStyle name="Normal 3 11 7 3" xfId="15583" xr:uid="{8D69BC3D-F4E2-42A3-B11A-380354F8FDD1}"/>
    <cellStyle name="Normal 3 11 8" xfId="6633" xr:uid="{D49FFC6F-2CDD-4928-BCE6-711F8E5E76B8}"/>
    <cellStyle name="Normal 3 11 8 2" xfId="17730" xr:uid="{F79B36FA-A216-4FAA-88BF-A1C75F333455}"/>
    <cellStyle name="Normal 3 11 8 3" xfId="14532" xr:uid="{3CA408A8-A92C-43E5-87DC-3DEE087FD344}"/>
    <cellStyle name="Normal 3 11 9" xfId="8282" xr:uid="{0A105E0C-403B-4954-BC9A-FC17B7DD3B1B}"/>
    <cellStyle name="Normal 3 11 9 2" xfId="18334" xr:uid="{2788EAC9-06DC-42B7-8624-9A1B597469D5}"/>
    <cellStyle name="Normal 3 12" xfId="2796" xr:uid="{62030961-9B35-4977-BA66-94536F09DA68}"/>
    <cellStyle name="Normal 3 12 10" xfId="9613" xr:uid="{19822331-8CC3-4862-B530-1F54A1335DF0}"/>
    <cellStyle name="Normal 3 12 11" xfId="10267" xr:uid="{85D2EBF7-E26A-4FEF-9265-29FC65A04C4A}"/>
    <cellStyle name="Normal 3 12 12" xfId="11235" xr:uid="{1174682E-5057-410B-A8BF-FCB9C4DEEF9D}"/>
    <cellStyle name="Normal 3 12 12 2" xfId="16175" xr:uid="{356AB18F-B5AC-4FC6-8B2F-D5DA3432215C}"/>
    <cellStyle name="Normal 3 12 12 3" xfId="20523" xr:uid="{BC603ACE-C803-4DF0-ACC7-A83B802B0EDA}"/>
    <cellStyle name="Normal 3 12 2" xfId="2797" xr:uid="{1EA5A34D-932C-40A5-953E-301EFFEE1879}"/>
    <cellStyle name="Normal 3 12 2 10" xfId="10268" xr:uid="{2CF8194B-C4BE-4AE7-9F6B-59B498835EE1}"/>
    <cellStyle name="Normal 3 12 2 11" xfId="16174" xr:uid="{E31FFB87-10EC-45D5-BCD0-1BA4CC6CDE58}"/>
    <cellStyle name="Normal 3 12 2 2" xfId="4450" xr:uid="{7B867AA1-FFCB-4886-ACB4-2A138DA07EC1}"/>
    <cellStyle name="Normal 3 12 2 2 2" xfId="6634" xr:uid="{A55A10B8-F155-4EB4-9DB8-20A7D99E6F34}"/>
    <cellStyle name="Normal 3 12 2 2 2 2" xfId="8883" xr:uid="{E28C9412-6E2A-4F1E-A830-E7CE164BD96D}"/>
    <cellStyle name="Normal 3 12 2 2 2 2 2" xfId="18935" xr:uid="{048E4847-0D39-4D56-AFB5-F7FB7C6493C4}"/>
    <cellStyle name="Normal 3 12 2 2 2 3" xfId="16388" xr:uid="{626DCB23-C49F-4902-80A3-0CBBC2F23E1B}"/>
    <cellStyle name="Normal 3 12 2 2 2 4" xfId="15236" xr:uid="{3FEF8F58-6767-45F4-9B87-0AB05D38863D}"/>
    <cellStyle name="Normal 3 12 2 2 3" xfId="6635" xr:uid="{3FDBDA0D-11D2-4E41-9310-503295D08441}"/>
    <cellStyle name="Normal 3 12 2 2 3 2" xfId="9331" xr:uid="{D6F77852-C2CB-48F2-ADA1-B1BFCAA0CFBB}"/>
    <cellStyle name="Normal 3 12 2 2 3 2 2" xfId="19383" xr:uid="{3E00D5A6-B097-4982-B056-964B0C044D6B}"/>
    <cellStyle name="Normal 3 12 2 2 3 3" xfId="16834" xr:uid="{C909B653-03F1-4E68-9625-D4AF2A5031F9}"/>
    <cellStyle name="Normal 3 12 2 2 3 4" xfId="15799" xr:uid="{9679EC30-BCCA-4A6D-AA5E-3E69F0B88176}"/>
    <cellStyle name="Normal 3 12 2 2 4" xfId="6636" xr:uid="{FA34FE2F-4C7E-4ED0-92FF-565861765386}"/>
    <cellStyle name="Normal 3 12 2 2 4 2" xfId="17434" xr:uid="{9C8C8FAF-30F4-4E0D-8CF9-1C0AE1375C99}"/>
    <cellStyle name="Normal 3 12 2 2 4 3" xfId="14754" xr:uid="{70AA0B85-06FA-4138-AFFF-DA99B9906991}"/>
    <cellStyle name="Normal 3 12 2 2 5" xfId="6637" xr:uid="{8E8D44A6-CE54-4219-B255-2BD9A501DE24}"/>
    <cellStyle name="Normal 3 12 2 2 5 2" xfId="18045" xr:uid="{4D063E63-14CA-498D-A00C-9599E01BDEF6}"/>
    <cellStyle name="Normal 3 12 2 2 5 3" xfId="14082" xr:uid="{46DB6202-B161-4E2C-85F8-BB98EA518C6F}"/>
    <cellStyle name="Normal 3 12 2 2 6" xfId="8455" xr:uid="{4AF6F15B-344C-4A2D-837D-E228757E0FA3}"/>
    <cellStyle name="Normal 3 12 2 2 6 2" xfId="18507" xr:uid="{BC8EA6CD-A1F3-46E5-9AE0-9E29379B4478}"/>
    <cellStyle name="Normal 3 12 2 2 7" xfId="9920" xr:uid="{3AE71A30-ADBA-4DF1-9F14-DA8311FC941E}"/>
    <cellStyle name="Normal 3 12 2 2 8" xfId="10490" xr:uid="{C52BFE7B-49EB-4BDC-A15F-FDD3D2E0B00F}"/>
    <cellStyle name="Normal 3 12 2 2 9" xfId="16019" xr:uid="{6080F704-D377-4EDD-A0A9-5A41F9612C2D}"/>
    <cellStyle name="Normal 3 12 2 3" xfId="4451" xr:uid="{11E6ED1F-A5B8-4E4E-BB96-49642FD91F4C}"/>
    <cellStyle name="Normal 3 12 2 3 2" xfId="6638" xr:uid="{ED3AC413-23CA-40A4-8F12-6A62798FDBC0}"/>
    <cellStyle name="Normal 3 12 2 3 2 2" xfId="8884" xr:uid="{4930ABCD-1C45-48BC-B7DF-550CC7BD3A90}"/>
    <cellStyle name="Normal 3 12 2 3 2 2 2" xfId="18936" xr:uid="{4210CF6D-768F-409B-A616-20C4563C4ADA}"/>
    <cellStyle name="Normal 3 12 2 3 2 3" xfId="16389" xr:uid="{C82815B9-78CE-45C2-89A8-A1F867DB062A}"/>
    <cellStyle name="Normal 3 12 2 3 2 4" xfId="15235" xr:uid="{14507D6A-8F48-45B9-AADB-7BAB5FB5A5D5}"/>
    <cellStyle name="Normal 3 12 2 3 3" xfId="6639" xr:uid="{136442AD-21D4-42F1-804E-5AD1791445D0}"/>
    <cellStyle name="Normal 3 12 2 3 3 2" xfId="9332" xr:uid="{43418F00-65E4-4602-8AA3-CA0F774170A2}"/>
    <cellStyle name="Normal 3 12 2 3 3 2 2" xfId="19384" xr:uid="{49E8151D-1F78-463B-9B68-BD95EEE54EB6}"/>
    <cellStyle name="Normal 3 12 2 3 3 3" xfId="16835" xr:uid="{1777FE58-82D0-4525-B372-33086448CA98}"/>
    <cellStyle name="Normal 3 12 2 3 3 4" xfId="15798" xr:uid="{531E4BCE-EFD5-40F8-8E36-494B6E8EAD79}"/>
    <cellStyle name="Normal 3 12 2 3 4" xfId="6640" xr:uid="{2771061B-97D5-4D2E-ADA8-77A0BA66CDE7}"/>
    <cellStyle name="Normal 3 12 2 3 4 2" xfId="17435" xr:uid="{BDECA3FA-1BDF-441D-924A-EAA03F33BB6F}"/>
    <cellStyle name="Normal 3 12 2 3 4 3" xfId="14753" xr:uid="{D6F692E6-0B63-42DB-A3FF-2603C1541335}"/>
    <cellStyle name="Normal 3 12 2 3 5" xfId="6641" xr:uid="{B8539C38-ABF4-4882-95D4-B343DF7F11D3}"/>
    <cellStyle name="Normal 3 12 2 3 5 2" xfId="18046" xr:uid="{C1A77177-8D70-4131-A97B-4B0BF4D62FE8}"/>
    <cellStyle name="Normal 3 12 2 3 5 3" xfId="14393" xr:uid="{16C3C2CD-9496-42AA-91FA-41ECCC13E7FF}"/>
    <cellStyle name="Normal 3 12 2 3 6" xfId="8456" xr:uid="{442B17BC-5CE6-4259-972A-F2CF87E3BBC5}"/>
    <cellStyle name="Normal 3 12 2 3 6 2" xfId="18508" xr:uid="{49DBE6F8-F236-4A8C-8287-16D16631633F}"/>
    <cellStyle name="Normal 3 12 2 3 7" xfId="9921" xr:uid="{3316BE81-2BBC-4483-8EE8-DC2630147173}"/>
    <cellStyle name="Normal 3 12 2 3 8" xfId="10491" xr:uid="{6D2E7C6E-3404-4C34-8F62-FCFE23816F5F}"/>
    <cellStyle name="Normal 3 12 2 3 9" xfId="15420" xr:uid="{F24F5F18-B9DF-4450-8DA7-7B70CFDAC257}"/>
    <cellStyle name="Normal 3 12 2 4" xfId="6642" xr:uid="{7F3E87F7-6C3F-427A-A28C-60CCD608A389}"/>
    <cellStyle name="Normal 3 12 2 4 2" xfId="6643" xr:uid="{B0A9596E-8372-481A-BD49-319E32CF953E}"/>
    <cellStyle name="Normal 3 12 2 4 2 2" xfId="17270" xr:uid="{D684A058-554D-4BF9-9290-3AEEE3C0665F}"/>
    <cellStyle name="Normal 3 12 2 4 3" xfId="6644" xr:uid="{CC74A5F0-9C43-4EA6-A2B7-B9F95C95679A}"/>
    <cellStyle name="Normal 3 12 2 4 3 2" xfId="17884" xr:uid="{136A836A-9634-4D8A-94E5-4028F4197BF8}"/>
    <cellStyle name="Normal 3 12 2 4 4" xfId="8713" xr:uid="{A4029390-A469-4E95-929A-0C0A25B128BF}"/>
    <cellStyle name="Normal 3 12 2 4 4 2" xfId="18765" xr:uid="{ADD45ADA-B203-4926-816C-6F5506CDE9A9}"/>
    <cellStyle name="Normal 3 12 2 4 5" xfId="9760" xr:uid="{40D47C3A-53CD-48EC-A0B8-A88F92A3C30A}"/>
    <cellStyle name="Normal 3 12 2 4 6" xfId="10492" xr:uid="{2404A4A2-27F9-4403-87FE-C177601E3100}"/>
    <cellStyle name="Normal 3 12 2 4 7" xfId="15803" xr:uid="{BCB1FCA3-72B8-4F5F-92B1-05722C7E38BF}"/>
    <cellStyle name="Normal 3 12 2 5" xfId="6645" xr:uid="{14EC6E87-8B49-41FE-B65F-4C64C50F0F03}"/>
    <cellStyle name="Normal 3 12 2 5 2" xfId="9161" xr:uid="{FA85AA8E-1A4C-4690-88B2-5DCD66124B21}"/>
    <cellStyle name="Normal 3 12 2 5 2 2" xfId="19213" xr:uid="{CDD63EA8-FBE1-45CD-B37A-15D24B7281A9}"/>
    <cellStyle name="Normal 3 12 2 5 3" xfId="16664" xr:uid="{639462AF-9A9D-4F57-A703-837225FC0C25}"/>
    <cellStyle name="Normal 3 12 2 5 4" xfId="14985" xr:uid="{C8715C08-EB3F-49D1-A146-6ACDD62007CD}"/>
    <cellStyle name="Normal 3 12 2 6" xfId="6646" xr:uid="{70EA7F33-B923-46AB-A088-1D409D3C4566}"/>
    <cellStyle name="Normal 3 12 2 6 2" xfId="17123" xr:uid="{AC548ECC-30EB-48F1-BF2F-8D916621AAF9}"/>
    <cellStyle name="Normal 3 12 2 6 3" xfId="15580" xr:uid="{197B257C-166C-4F63-811D-4E678A47E49B}"/>
    <cellStyle name="Normal 3 12 2 7" xfId="6647" xr:uid="{139E3B12-516F-417B-BE40-792FBCD0C0CE}"/>
    <cellStyle name="Normal 3 12 2 7 2" xfId="17733" xr:uid="{90D01A08-37BF-4B8F-A56D-A8786D09405B}"/>
    <cellStyle name="Normal 3 12 2 7 3" xfId="14530" xr:uid="{23F6330C-3579-4CE4-8B56-7729DA9C3B30}"/>
    <cellStyle name="Normal 3 12 2 8" xfId="8285" xr:uid="{52CDB1EF-00D9-49E1-B876-43B1C2830A87}"/>
    <cellStyle name="Normal 3 12 2 8 2" xfId="18337" xr:uid="{FCBCD645-0EBE-41A0-9AF8-57107F53E7DB}"/>
    <cellStyle name="Normal 3 12 2 9" xfId="9614" xr:uid="{A667E500-CDBB-4FF8-A0AD-A00081691EA0}"/>
    <cellStyle name="Normal 3 12 3" xfId="4452" xr:uid="{D4DCD371-552E-4B57-8F7B-C911122A896C}"/>
    <cellStyle name="Normal 3 12 3 2" xfId="6648" xr:uid="{DC861E41-03AE-401F-8DB0-0874723CA7DC}"/>
    <cellStyle name="Normal 3 12 3 2 2" xfId="8885" xr:uid="{EEE9AF73-B350-408E-A8F3-DF519C041E24}"/>
    <cellStyle name="Normal 3 12 3 2 2 2" xfId="18937" xr:uid="{368C1114-1865-411F-90B9-531B0A246532}"/>
    <cellStyle name="Normal 3 12 3 2 3" xfId="16390" xr:uid="{A5E06116-3BBD-4A89-B3F7-EDF843CA3DAC}"/>
    <cellStyle name="Normal 3 12 3 2 4" xfId="15234" xr:uid="{12E70F1F-5B4C-4668-8350-FE6973FC06C5}"/>
    <cellStyle name="Normal 3 12 3 3" xfId="6649" xr:uid="{ED1E10BF-F817-4560-A7F0-C0575F34754B}"/>
    <cellStyle name="Normal 3 12 3 3 2" xfId="9333" xr:uid="{6B5F5C9D-2DA9-4631-A719-A8092CCB4ADB}"/>
    <cellStyle name="Normal 3 12 3 3 2 2" xfId="19385" xr:uid="{CDB3135C-1575-4A1D-8664-D3C5ECAE370B}"/>
    <cellStyle name="Normal 3 12 3 3 3" xfId="16836" xr:uid="{1CDD6E9D-C9AA-43DE-B3E8-8BF388FD0A12}"/>
    <cellStyle name="Normal 3 12 3 3 4" xfId="15797" xr:uid="{29142088-B39F-4128-A6C1-ABD743ACFA9E}"/>
    <cellStyle name="Normal 3 12 3 4" xfId="6650" xr:uid="{682DF529-A223-4401-95E4-24F76B2D1891}"/>
    <cellStyle name="Normal 3 12 3 4 2" xfId="17436" xr:uid="{FF04522F-665D-4695-8EAC-3A15BE07493A}"/>
    <cellStyle name="Normal 3 12 3 4 3" xfId="14752" xr:uid="{1E9E0FAE-ED9B-4E89-AF9F-276AF5B10A69}"/>
    <cellStyle name="Normal 3 12 3 5" xfId="6651" xr:uid="{E567AD58-00A0-403A-B168-FD8A86C71F92}"/>
    <cellStyle name="Normal 3 12 3 5 2" xfId="18047" xr:uid="{37D6D80C-24FE-40C0-BDE1-44FC634A23FB}"/>
    <cellStyle name="Normal 3 12 3 5 3" xfId="14392" xr:uid="{CB52E15A-7AA1-4944-AD3B-9AEBDD3783EA}"/>
    <cellStyle name="Normal 3 12 3 6" xfId="8457" xr:uid="{763CAFEE-9952-447E-95FF-8A055E8A1605}"/>
    <cellStyle name="Normal 3 12 3 6 2" xfId="18509" xr:uid="{995250DE-F56D-453F-9896-E78728D2A0DA}"/>
    <cellStyle name="Normal 3 12 3 7" xfId="9922" xr:uid="{9EF5BB0C-1B00-4A98-861C-01C8AF93EDA3}"/>
    <cellStyle name="Normal 3 12 3 8" xfId="10493" xr:uid="{958191A3-7D44-4761-A8F1-0A43C80206E2}"/>
    <cellStyle name="Normal 3 12 3 9" xfId="16018" xr:uid="{F1CAAEAE-8BD0-4B65-9D17-D6AAC3346FB1}"/>
    <cellStyle name="Normal 3 12 4" xfId="4453" xr:uid="{3D0A5319-92A7-4B2F-B482-1D0DE85FAAEE}"/>
    <cellStyle name="Normal 3 12 4 2" xfId="6652" xr:uid="{B3A2B05B-3D10-49AD-A0AF-DD3966C06459}"/>
    <cellStyle name="Normal 3 12 4 2 2" xfId="8886" xr:uid="{CD70E3AC-C38D-46E0-8B6C-A44A91A55F18}"/>
    <cellStyle name="Normal 3 12 4 2 2 2" xfId="18938" xr:uid="{89DE13DF-24FF-415B-AE36-48F78890CAD0}"/>
    <cellStyle name="Normal 3 12 4 2 3" xfId="16391" xr:uid="{E4E0D028-1B74-4506-891F-F8C9B1F30A31}"/>
    <cellStyle name="Normal 3 12 4 2 4" xfId="15233" xr:uid="{7BFD75E2-8C9A-4311-950F-35AD8B31C58D}"/>
    <cellStyle name="Normal 3 12 4 3" xfId="6653" xr:uid="{F6DF1AB9-DF48-4023-8A6A-8FAD25B8A25A}"/>
    <cellStyle name="Normal 3 12 4 3 2" xfId="9334" xr:uid="{A042165E-9501-4A8B-B0BD-AB3E6D0B7295}"/>
    <cellStyle name="Normal 3 12 4 3 2 2" xfId="19386" xr:uid="{96B38768-AC5B-4641-A8BE-6BCAFBBDB80D}"/>
    <cellStyle name="Normal 3 12 4 3 3" xfId="16837" xr:uid="{C3B1A4BF-EA33-4B3C-8E9B-F94FB7EAABE1}"/>
    <cellStyle name="Normal 3 12 4 3 4" xfId="15796" xr:uid="{D05BA461-2E0E-4342-AC2E-0ACD4B9AD7B9}"/>
    <cellStyle name="Normal 3 12 4 4" xfId="6654" xr:uid="{FB4B88D4-E79C-489D-AFA4-ED8F02A35939}"/>
    <cellStyle name="Normal 3 12 4 4 2" xfId="17437" xr:uid="{C4867C63-D6B0-4871-8684-836C9241C551}"/>
    <cellStyle name="Normal 3 12 4 4 3" xfId="14751" xr:uid="{825C3A18-BB45-4113-BA6A-55A1DDEDDC2C}"/>
    <cellStyle name="Normal 3 12 4 5" xfId="6655" xr:uid="{B68041D4-CAFC-466C-8241-08DFCE73EC6D}"/>
    <cellStyle name="Normal 3 12 4 5 2" xfId="18048" xr:uid="{0C4EADFB-F2CA-41F7-8644-20EA6E628A35}"/>
    <cellStyle name="Normal 3 12 4 5 3" xfId="14391" xr:uid="{61049593-54C8-42C1-B8B8-2B88FA16984E}"/>
    <cellStyle name="Normal 3 12 4 6" xfId="8458" xr:uid="{CD8AC2EE-86EF-4418-ADE7-FB2800554525}"/>
    <cellStyle name="Normal 3 12 4 6 2" xfId="18510" xr:uid="{D1A91C16-EBBA-43F6-B0B6-460C8FE6C707}"/>
    <cellStyle name="Normal 3 12 4 7" xfId="9923" xr:uid="{5E0F67A0-C15D-48E4-95A5-8E8CEA6C6071}"/>
    <cellStyle name="Normal 3 12 4 8" xfId="10494" xr:uid="{029F69D0-97EF-4F91-BCEA-B82241FDF06A}"/>
    <cellStyle name="Normal 3 12 4 9" xfId="16017" xr:uid="{AFF179EF-7C70-4761-8DB6-6C0B685E1DA6}"/>
    <cellStyle name="Normal 3 12 5" xfId="6656" xr:uid="{7A9208A4-BECC-4B42-BA63-35ED69A6669C}"/>
    <cellStyle name="Normal 3 12 5 2" xfId="6657" xr:uid="{780D528C-B3D3-4867-B94F-22107E2E5A35}"/>
    <cellStyle name="Normal 3 12 5 2 2" xfId="17269" xr:uid="{5DD39448-B437-4B6D-9215-247252CC11D0}"/>
    <cellStyle name="Normal 3 12 5 3" xfId="6658" xr:uid="{F89E77E3-75C9-4296-B614-459490CB6039}"/>
    <cellStyle name="Normal 3 12 5 3 2" xfId="17883" xr:uid="{868E3207-A486-40D9-AC47-9C9A3FDD4911}"/>
    <cellStyle name="Normal 3 12 5 4" xfId="8712" xr:uid="{CDA5EA10-929E-4D58-A7BD-5E8EE15CF7E2}"/>
    <cellStyle name="Normal 3 12 5 4 2" xfId="18764" xr:uid="{44DD8BFC-9AB4-4429-B190-B09DD6FB042E}"/>
    <cellStyle name="Normal 3 12 5 5" xfId="9759" xr:uid="{A38BD9A4-4F6F-44EA-9A96-5A601DDA71E1}"/>
    <cellStyle name="Normal 3 12 5 6" xfId="10495" xr:uid="{53C3C608-4108-4F52-9B65-2B234B9CDC10}"/>
    <cellStyle name="Normal 3 12 5 7" xfId="15804" xr:uid="{70598223-2618-4578-8075-41E3401880AA}"/>
    <cellStyle name="Normal 3 12 6" xfId="6659" xr:uid="{3D253955-335E-47F5-B02B-A546ADCF8ED6}"/>
    <cellStyle name="Normal 3 12 6 2" xfId="9160" xr:uid="{7A18152B-571F-471B-B010-AB5B5B0B8BBB}"/>
    <cellStyle name="Normal 3 12 6 2 2" xfId="19212" xr:uid="{B8EAA415-FA5D-49D8-8756-CF41FD13AB42}"/>
    <cellStyle name="Normal 3 12 6 3" xfId="16663" xr:uid="{F2713DF8-B5D7-48A5-B042-141A17B3985F}"/>
    <cellStyle name="Normal 3 12 6 4" xfId="14986" xr:uid="{0C149943-F6DB-46E0-98CE-073F1FF5BA0F}"/>
    <cellStyle name="Normal 3 12 7" xfId="6660" xr:uid="{8B02E341-0DF6-4630-B08B-FA5343758794}"/>
    <cellStyle name="Normal 3 12 7 2" xfId="17122" xr:uid="{ABE0261B-5591-4674-A4E4-E840BBD22339}"/>
    <cellStyle name="Normal 3 12 7 3" xfId="15581" xr:uid="{903523DD-FA43-43B0-A6A0-0FB57E9655F2}"/>
    <cellStyle name="Normal 3 12 8" xfId="6661" xr:uid="{1B24CA9C-4774-4057-B32D-2219BD3C1BCB}"/>
    <cellStyle name="Normal 3 12 8 2" xfId="17732" xr:uid="{B107E9D9-9CA1-4F4D-B211-CF9187B9EC13}"/>
    <cellStyle name="Normal 3 12 8 3" xfId="14531" xr:uid="{070D2E0A-756B-4F28-94B9-3024ADE33E0C}"/>
    <cellStyle name="Normal 3 12 9" xfId="8284" xr:uid="{358899C9-7AF9-4D7C-9AB8-8025ABFE5DDE}"/>
    <cellStyle name="Normal 3 12 9 2" xfId="18336" xr:uid="{4465D7B3-9607-46FD-B0F8-CD77E739302C}"/>
    <cellStyle name="Normal 3 13" xfId="2798" xr:uid="{B7F145F6-B553-47F4-9AFE-ED3F22A795B3}"/>
    <cellStyle name="Normal 3 13 10" xfId="9615" xr:uid="{331D809F-C2C9-45C2-928F-BEE79955B705}"/>
    <cellStyle name="Normal 3 13 11" xfId="10269" xr:uid="{85ECD20E-88AC-40E6-9DA8-914A9BDAB3A1}"/>
    <cellStyle name="Normal 3 13 12" xfId="11971" xr:uid="{69724076-7D8A-46F4-9D48-C088ECCF1F1F}"/>
    <cellStyle name="Normal 3 13 12 2" xfId="16173" xr:uid="{F39B136D-3596-4A1E-9294-687209D1C96F}"/>
    <cellStyle name="Normal 3 13 12 3" xfId="20640" xr:uid="{E4B45E5E-6F91-46AB-8F8B-02B8E504808B}"/>
    <cellStyle name="Normal 3 13 2" xfId="2799" xr:uid="{42306A20-0BC1-443B-8F25-7B568FDB87EC}"/>
    <cellStyle name="Normal 3 13 2 10" xfId="10270" xr:uid="{EFE4C092-BB01-4462-9A2C-42EC1E489D1C}"/>
    <cellStyle name="Normal 3 13 2 11" xfId="16172" xr:uid="{B56C94F3-E86A-4D89-8DE4-72AFA25EEFA0}"/>
    <cellStyle name="Normal 3 13 2 2" xfId="4454" xr:uid="{F8BC7EE1-1C9C-4A4B-86BF-59F408F48DDC}"/>
    <cellStyle name="Normal 3 13 2 2 2" xfId="6662" xr:uid="{D0F9410A-AC06-43D0-97A3-E1672E3C9386}"/>
    <cellStyle name="Normal 3 13 2 2 2 2" xfId="8887" xr:uid="{3AD82E76-839C-4FDE-BDAE-1D993C499FF3}"/>
    <cellStyle name="Normal 3 13 2 2 2 2 2" xfId="18939" xr:uid="{28349BB5-16BC-4A44-B531-D13D724A9B62}"/>
    <cellStyle name="Normal 3 13 2 2 2 3" xfId="16392" xr:uid="{E6CEF109-A071-4EE2-B5FA-7A82067B7290}"/>
    <cellStyle name="Normal 3 13 2 2 2 4" xfId="15232" xr:uid="{A0F50E27-C4CF-43A9-8533-29460AF6A6E9}"/>
    <cellStyle name="Normal 3 13 2 2 3" xfId="6663" xr:uid="{3C12B441-9E56-4E26-9012-A648F21CEB7E}"/>
    <cellStyle name="Normal 3 13 2 2 3 2" xfId="9335" xr:uid="{1B3EDD89-5BAD-4EE2-AF98-107E14863EBE}"/>
    <cellStyle name="Normal 3 13 2 2 3 2 2" xfId="19387" xr:uid="{D4483F5A-E633-443D-BCE3-64932DC526F1}"/>
    <cellStyle name="Normal 3 13 2 2 3 3" xfId="16838" xr:uid="{4BC0295D-1F68-4DF6-B7C5-C17DF516216D}"/>
    <cellStyle name="Normal 3 13 2 2 3 4" xfId="14845" xr:uid="{005C0983-8BD0-4778-BBE0-680FFF0FE9CA}"/>
    <cellStyle name="Normal 3 13 2 2 4" xfId="6664" xr:uid="{A346AA23-E5C5-49A0-A996-AE67B89AF4A1}"/>
    <cellStyle name="Normal 3 13 2 2 4 2" xfId="17438" xr:uid="{E01D4760-C9AD-437E-AB13-D174C68E94E2}"/>
    <cellStyle name="Normal 3 13 2 2 4 3" xfId="14750" xr:uid="{06D81AE2-AB2C-4AAE-B587-2A67CE81B0D3}"/>
    <cellStyle name="Normal 3 13 2 2 5" xfId="6665" xr:uid="{A92F96D6-60FF-446A-BCC9-F09021A425AF}"/>
    <cellStyle name="Normal 3 13 2 2 5 2" xfId="18049" xr:uid="{F5FC70BC-B5A0-4EDB-9739-415733E12A0E}"/>
    <cellStyle name="Normal 3 13 2 2 5 3" xfId="14390" xr:uid="{23AEAC01-2585-441A-8707-3E8B2E20F593}"/>
    <cellStyle name="Normal 3 13 2 2 6" xfId="8459" xr:uid="{09D75932-45EC-4F48-B3DD-2D70211EFBE5}"/>
    <cellStyle name="Normal 3 13 2 2 6 2" xfId="18511" xr:uid="{D63E5AAA-F388-4B5A-B41C-3E36A74BCAFE}"/>
    <cellStyle name="Normal 3 13 2 2 7" xfId="9924" xr:uid="{131FB57D-BBA5-46C3-AF59-510440832A2B}"/>
    <cellStyle name="Normal 3 13 2 2 8" xfId="10496" xr:uid="{9A4BDE24-431A-4A09-AFD6-5886D77B38DE}"/>
    <cellStyle name="Normal 3 13 2 2 9" xfId="16016" xr:uid="{589CE95D-34CB-4562-B687-B623550CBC72}"/>
    <cellStyle name="Normal 3 13 2 3" xfId="4455" xr:uid="{F417B67D-FC61-4EAC-994C-A33A9CC5E939}"/>
    <cellStyle name="Normal 3 13 2 3 2" xfId="6666" xr:uid="{34912F4C-8184-4732-B754-362EDB31A3A3}"/>
    <cellStyle name="Normal 3 13 2 3 2 2" xfId="8888" xr:uid="{0C7C7CB7-2196-47E4-ACE2-4265A80EB949}"/>
    <cellStyle name="Normal 3 13 2 3 2 2 2" xfId="18940" xr:uid="{C5B62EA3-5768-45E9-92EF-978EC09B889F}"/>
    <cellStyle name="Normal 3 13 2 3 2 3" xfId="16393" xr:uid="{A7E562BF-F391-4AD3-9622-F8A23AFE0080}"/>
    <cellStyle name="Normal 3 13 2 3 2 4" xfId="15231" xr:uid="{BB715FBE-FFC6-4AEB-AF42-04BD46C6D25E}"/>
    <cellStyle name="Normal 3 13 2 3 3" xfId="6667" xr:uid="{2072C891-6732-46A5-A5E2-AB8F87209D66}"/>
    <cellStyle name="Normal 3 13 2 3 3 2" xfId="9336" xr:uid="{20222E3A-5598-4E18-A405-D8C98AB5BE1E}"/>
    <cellStyle name="Normal 3 13 2 3 3 2 2" xfId="19388" xr:uid="{EE2594D8-669D-455E-9B6D-222C6DBA8863}"/>
    <cellStyle name="Normal 3 13 2 3 3 3" xfId="16839" xr:uid="{D83B5B0C-798C-4F39-98AA-C5B022B4DD3C}"/>
    <cellStyle name="Normal 3 13 2 3 3 4" xfId="15795" xr:uid="{64B4240F-5706-4424-9C31-4E8E1117D9E8}"/>
    <cellStyle name="Normal 3 13 2 3 4" xfId="6668" xr:uid="{685DFD05-E853-4828-878F-F1125FDA3DA2}"/>
    <cellStyle name="Normal 3 13 2 3 4 2" xfId="17439" xr:uid="{E972012C-1EBE-4556-BFD3-1FEA38EB82DA}"/>
    <cellStyle name="Normal 3 13 2 3 4 3" xfId="14749" xr:uid="{CDD0C0AB-F133-45A1-8A11-2B4E9D9B5483}"/>
    <cellStyle name="Normal 3 13 2 3 5" xfId="6669" xr:uid="{2215BA98-A770-416B-86D8-AD5D2303B4E6}"/>
    <cellStyle name="Normal 3 13 2 3 5 2" xfId="18050" xr:uid="{5EE2E02A-FC65-4CC5-BA16-CC67AB969176}"/>
    <cellStyle name="Normal 3 13 2 3 5 3" xfId="14389" xr:uid="{B876F5D0-7EB7-4AC7-859C-8AB87D257A2B}"/>
    <cellStyle name="Normal 3 13 2 3 6" xfId="8460" xr:uid="{495E7D6E-8E18-4027-93A5-ABC0CEA94F13}"/>
    <cellStyle name="Normal 3 13 2 3 6 2" xfId="18512" xr:uid="{A4A8CCD5-11C2-43CA-9B1D-F776F8140C90}"/>
    <cellStyle name="Normal 3 13 2 3 7" xfId="9925" xr:uid="{F7162F22-55B0-40D8-8815-DB9A0E90803A}"/>
    <cellStyle name="Normal 3 13 2 3 8" xfId="10497" xr:uid="{A63D136B-D789-4F1D-8378-BCEA7F280D32}"/>
    <cellStyle name="Normal 3 13 2 3 9" xfId="16015" xr:uid="{02EA8383-786B-4B10-9750-17972452B405}"/>
    <cellStyle name="Normal 3 13 2 4" xfId="6670" xr:uid="{EA6CBADE-30E9-4FC7-B95F-DBAC3393B784}"/>
    <cellStyle name="Normal 3 13 2 4 2" xfId="6671" xr:uid="{A01CC405-088D-4D11-B6DA-CB71B1112B35}"/>
    <cellStyle name="Normal 3 13 2 4 2 2" xfId="17272" xr:uid="{30E25425-F4A1-4224-B793-C9F24CD11886}"/>
    <cellStyle name="Normal 3 13 2 4 3" xfId="6672" xr:uid="{3BAAC065-2202-4613-A166-487F53E87D34}"/>
    <cellStyle name="Normal 3 13 2 4 3 2" xfId="17886" xr:uid="{85B70ED0-3C2D-4907-996D-F22F5B6E67F0}"/>
    <cellStyle name="Normal 3 13 2 4 4" xfId="8715" xr:uid="{B925C6EA-3780-4D15-98DA-8AFF5414E636}"/>
    <cellStyle name="Normal 3 13 2 4 4 2" xfId="18767" xr:uid="{102BC801-DC14-4330-A556-DD2EF3515528}"/>
    <cellStyle name="Normal 3 13 2 4 5" xfId="9762" xr:uid="{FE37600F-3B75-4377-90CE-4554334027C3}"/>
    <cellStyle name="Normal 3 13 2 4 6" xfId="10498" xr:uid="{13C2B871-C7DB-42ED-B3A3-9ABD10F32C5A}"/>
    <cellStyle name="Normal 3 13 2 4 7" xfId="15386" xr:uid="{C75B13CA-EE63-43BC-8A7F-702C0483DC1F}"/>
    <cellStyle name="Normal 3 13 2 5" xfId="6673" xr:uid="{6B6297CF-0D11-4E62-8A2E-063A467571AF}"/>
    <cellStyle name="Normal 3 13 2 5 2" xfId="9163" xr:uid="{1CB6ECA0-8BEF-488E-93A1-9402AB34F20C}"/>
    <cellStyle name="Normal 3 13 2 5 2 2" xfId="19215" xr:uid="{A0B2376A-F51C-4A74-8302-D0C8BB9538F5}"/>
    <cellStyle name="Normal 3 13 2 5 3" xfId="16666" xr:uid="{AEDDD138-26A2-4ACE-B946-348AF959BD42}"/>
    <cellStyle name="Normal 3 13 2 5 4" xfId="14028" xr:uid="{35890152-3089-4224-80DE-E3685A88E6AB}"/>
    <cellStyle name="Normal 3 13 2 6" xfId="6674" xr:uid="{A8F76435-1F8E-4B92-B5CC-6ECE88F2F7CD}"/>
    <cellStyle name="Normal 3 13 2 6 2" xfId="17125" xr:uid="{ADC81A10-9C1E-4B20-BC98-3E871EB85365}"/>
    <cellStyle name="Normal 3 13 2 6 3" xfId="15578" xr:uid="{A4D4A744-78AD-4D60-8F20-3CE71F8C384B}"/>
    <cellStyle name="Normal 3 13 2 7" xfId="6675" xr:uid="{FB11EE5F-BAEA-4750-B817-A825E61EDCAB}"/>
    <cellStyle name="Normal 3 13 2 7 2" xfId="17735" xr:uid="{9431F848-8D81-49D0-984A-904BB8BB828C}"/>
    <cellStyle name="Normal 3 13 2 7 3" xfId="14528" xr:uid="{EE6BC1AF-250A-471A-9752-EF4B556BE266}"/>
    <cellStyle name="Normal 3 13 2 8" xfId="8287" xr:uid="{0B2E4A41-59A9-44E9-8E0F-8E5EF5BAE2A8}"/>
    <cellStyle name="Normal 3 13 2 8 2" xfId="18339" xr:uid="{BBC4171D-FC78-43FD-A7BF-D0C6A69D56EB}"/>
    <cellStyle name="Normal 3 13 2 9" xfId="9616" xr:uid="{9928D202-BB72-4134-B14B-4CC1719A8F96}"/>
    <cellStyle name="Normal 3 13 3" xfId="4456" xr:uid="{99637F74-3ECE-49D6-A9DF-2DBBCE367CA3}"/>
    <cellStyle name="Normal 3 13 3 2" xfId="6676" xr:uid="{1B04D62C-EC45-4B73-8316-70D29042A810}"/>
    <cellStyle name="Normal 3 13 3 2 2" xfId="8889" xr:uid="{0ED9B330-1911-4D63-8C9E-544D5D21DFF3}"/>
    <cellStyle name="Normal 3 13 3 2 2 2" xfId="18941" xr:uid="{CDA45E27-DE1B-414D-8571-F73B44491389}"/>
    <cellStyle name="Normal 3 13 3 2 3" xfId="16394" xr:uid="{E08C352E-814A-4818-A260-9C09AFEFBFB1}"/>
    <cellStyle name="Normal 3 13 3 2 4" xfId="15230" xr:uid="{E4DF34A4-4BCB-4CD4-A5FB-894A44251D36}"/>
    <cellStyle name="Normal 3 13 3 3" xfId="6677" xr:uid="{2389F196-A5BE-4222-8FF0-F5C67697DA5A}"/>
    <cellStyle name="Normal 3 13 3 3 2" xfId="9337" xr:uid="{F62EC3F6-A10A-487D-8869-7579D9B973C6}"/>
    <cellStyle name="Normal 3 13 3 3 2 2" xfId="19389" xr:uid="{231945DD-C009-4403-842F-2098EF73A18B}"/>
    <cellStyle name="Normal 3 13 3 3 3" xfId="16840" xr:uid="{D356A4BF-0CCB-4028-BE6D-A1775794CA50}"/>
    <cellStyle name="Normal 3 13 3 3 4" xfId="15794" xr:uid="{C0B514EC-CE01-41B2-807F-395D1EDD29EA}"/>
    <cellStyle name="Normal 3 13 3 4" xfId="6678" xr:uid="{886C5B38-B1D8-4016-9147-AD984A342808}"/>
    <cellStyle name="Normal 3 13 3 4 2" xfId="17440" xr:uid="{15DD2498-6CD2-4FAB-8795-93AEB09D4990}"/>
    <cellStyle name="Normal 3 13 3 4 3" xfId="14748" xr:uid="{DD649DD1-0643-4F1E-AC85-5DC034F290C5}"/>
    <cellStyle name="Normal 3 13 3 5" xfId="6679" xr:uid="{EE550B5C-B52A-4991-B930-52BC85061C27}"/>
    <cellStyle name="Normal 3 13 3 5 2" xfId="18051" xr:uid="{8237B25B-09EE-4A00-AF5C-D52F469FF6E4}"/>
    <cellStyle name="Normal 3 13 3 5 3" xfId="14388" xr:uid="{FD0F66F5-73B2-4A83-B23D-428EEE2114EF}"/>
    <cellStyle name="Normal 3 13 3 6" xfId="8461" xr:uid="{8B2C83A4-1C5A-43AF-A7BA-DEC03609A332}"/>
    <cellStyle name="Normal 3 13 3 6 2" xfId="18513" xr:uid="{491C600E-60D6-4524-BDF2-DD8017048E8A}"/>
    <cellStyle name="Normal 3 13 3 7" xfId="9926" xr:uid="{2B54EBB3-62EB-4408-A825-8776D371C800}"/>
    <cellStyle name="Normal 3 13 3 8" xfId="10499" xr:uid="{49050FD9-BA93-4219-9A71-034EC80FED9A}"/>
    <cellStyle name="Normal 3 13 3 9" xfId="16014" xr:uid="{2AC67B6D-23AD-48A3-8441-659F1CA3A434}"/>
    <cellStyle name="Normal 3 13 4" xfId="4457" xr:uid="{C1CAD9AB-8FB9-4907-998E-651819DFF741}"/>
    <cellStyle name="Normal 3 13 4 2" xfId="6680" xr:uid="{00DCB79F-8C26-44EB-BB73-AE2DA2D45557}"/>
    <cellStyle name="Normal 3 13 4 2 2" xfId="8890" xr:uid="{F5DD0433-AF8D-4AB7-8D7E-4421302C3860}"/>
    <cellStyle name="Normal 3 13 4 2 2 2" xfId="18942" xr:uid="{031B0FB2-DDC1-4070-94A4-0DA548C956DB}"/>
    <cellStyle name="Normal 3 13 4 2 3" xfId="16395" xr:uid="{4D7B3A8C-EBEA-42BC-9D16-FB81BA89F346}"/>
    <cellStyle name="Normal 3 13 4 2 4" xfId="15229" xr:uid="{C7C28D77-3D76-40F1-88C3-6AC538A3E9E4}"/>
    <cellStyle name="Normal 3 13 4 3" xfId="6681" xr:uid="{1A5E8277-0D3D-4FC4-ADE0-ABFAD88C9112}"/>
    <cellStyle name="Normal 3 13 4 3 2" xfId="9338" xr:uid="{2FE3A047-B59E-4445-9A90-869CE323B9C2}"/>
    <cellStyle name="Normal 3 13 4 3 2 2" xfId="19390" xr:uid="{71C59999-BB9E-45A4-B773-5B304EBB35AB}"/>
    <cellStyle name="Normal 3 13 4 3 3" xfId="16841" xr:uid="{D65EAF93-DF87-4209-955D-B0FE367285B4}"/>
    <cellStyle name="Normal 3 13 4 3 4" xfId="15793" xr:uid="{1D9498EB-F396-42F8-932B-E0B12D4ABACD}"/>
    <cellStyle name="Normal 3 13 4 4" xfId="6682" xr:uid="{E7E79A58-9E66-4441-9C17-37474D70235A}"/>
    <cellStyle name="Normal 3 13 4 4 2" xfId="17441" xr:uid="{88F4F3F7-EF30-4AD0-AAD6-2E437F450102}"/>
    <cellStyle name="Normal 3 13 4 4 3" xfId="14747" xr:uid="{43329F57-7E63-4B2E-AAEB-A8336AB36CC9}"/>
    <cellStyle name="Normal 3 13 4 5" xfId="6683" xr:uid="{3DF210BF-7808-44F5-8204-68286643E27A}"/>
    <cellStyle name="Normal 3 13 4 5 2" xfId="18052" xr:uid="{7F6435ED-6427-450D-B0CB-18802EF23627}"/>
    <cellStyle name="Normal 3 13 4 5 3" xfId="14387" xr:uid="{DB08EEF8-023A-4EA9-8A98-82CD155480CE}"/>
    <cellStyle name="Normal 3 13 4 6" xfId="8462" xr:uid="{65A48DB9-2B8C-4B64-A302-7141049763EC}"/>
    <cellStyle name="Normal 3 13 4 6 2" xfId="18514" xr:uid="{D747984B-8DF0-449E-A0D8-E5E905234FBC}"/>
    <cellStyle name="Normal 3 13 4 7" xfId="9927" xr:uid="{20BFC512-548A-4822-A2E6-4842EADA71B8}"/>
    <cellStyle name="Normal 3 13 4 8" xfId="10500" xr:uid="{95CBD0A1-D0C7-4FDE-85F3-FA28BA922B37}"/>
    <cellStyle name="Normal 3 13 4 9" xfId="16013" xr:uid="{093BCEB8-BACA-4BCB-8725-A2DC45BBE9C1}"/>
    <cellStyle name="Normal 3 13 5" xfId="6684" xr:uid="{99117299-0269-41DF-AA44-20ADC82F7DED}"/>
    <cellStyle name="Normal 3 13 5 2" xfId="6685" xr:uid="{2629A889-39BB-4226-A1A5-A35D06FE592E}"/>
    <cellStyle name="Normal 3 13 5 2 2" xfId="17271" xr:uid="{FDCB0EBC-7E1F-461D-943E-5ACE17E01CD8}"/>
    <cellStyle name="Normal 3 13 5 3" xfId="6686" xr:uid="{0ADA4CF3-7E83-4FD0-B8E4-7F8DA8B53AED}"/>
    <cellStyle name="Normal 3 13 5 3 2" xfId="17885" xr:uid="{DB78EEEC-B359-42CE-8046-A89612C19249}"/>
    <cellStyle name="Normal 3 13 5 4" xfId="8714" xr:uid="{B5DD2DC2-1B5C-44C2-BCBA-2ACE3A878F76}"/>
    <cellStyle name="Normal 3 13 5 4 2" xfId="18766" xr:uid="{F6CA0D36-02C3-41B8-B753-1E6E06AA23C1}"/>
    <cellStyle name="Normal 3 13 5 5" xfId="9761" xr:uid="{B89BDA31-28B1-456D-A817-48450E5FF47B}"/>
    <cellStyle name="Normal 3 13 5 6" xfId="10501" xr:uid="{F1378057-A4AF-42F8-9489-F2BBC6FC5C52}"/>
    <cellStyle name="Normal 3 13 5 7" xfId="15802" xr:uid="{F69CF126-2A15-430F-97E5-DE479AA3748F}"/>
    <cellStyle name="Normal 3 13 6" xfId="6687" xr:uid="{8120B5BC-6718-43FB-900E-83DD8DE8B63D}"/>
    <cellStyle name="Normal 3 13 6 2" xfId="9162" xr:uid="{783316CD-0844-4DAA-A91D-D293AB7B84E8}"/>
    <cellStyle name="Normal 3 13 6 2 2" xfId="19214" xr:uid="{4253777F-54ED-47DE-8059-2E5240056EBE}"/>
    <cellStyle name="Normal 3 13 6 3" xfId="16665" xr:uid="{0F324735-6396-4C31-969F-1FDB2F83F655}"/>
    <cellStyle name="Normal 3 13 6 4" xfId="14984" xr:uid="{86E8B126-E27A-4DDA-81B0-E4E018E08ABF}"/>
    <cellStyle name="Normal 3 13 7" xfId="6688" xr:uid="{C8CE6BFD-5009-42EF-9634-57652003C566}"/>
    <cellStyle name="Normal 3 13 7 2" xfId="17124" xr:uid="{03392FB8-B2B0-4831-9ED5-EFAD43DDB17B}"/>
    <cellStyle name="Normal 3 13 7 3" xfId="15579" xr:uid="{8AF6DEC7-1D7B-48AC-B9DF-3D71FC41BE8F}"/>
    <cellStyle name="Normal 3 13 8" xfId="6689" xr:uid="{228360B2-00EB-4F62-83C6-45E9ABADFC5E}"/>
    <cellStyle name="Normal 3 13 8 2" xfId="17734" xr:uid="{555F42FA-46E4-477B-9B71-8DC0789E48B0}"/>
    <cellStyle name="Normal 3 13 8 3" xfId="14529" xr:uid="{97CA0E8F-B1F1-47C0-9E0A-7B19F2DD60C2}"/>
    <cellStyle name="Normal 3 13 9" xfId="8286" xr:uid="{60762BEB-7939-462F-9FE2-43C23C22D045}"/>
    <cellStyle name="Normal 3 13 9 2" xfId="18338" xr:uid="{D0B900F1-44B7-4966-A97B-6116EE05D4CC}"/>
    <cellStyle name="Normal 3 14" xfId="2800" xr:uid="{E20A84E1-4239-4DFD-A4CA-4CC9B0204D2A}"/>
    <cellStyle name="Normal 3 14 10" xfId="9617" xr:uid="{2EBA1F68-A008-49A7-BA1C-25D16B1A7EE0}"/>
    <cellStyle name="Normal 3 14 11" xfId="10271" xr:uid="{D3A896DC-F923-4D2A-95AB-6E534418F7EB}"/>
    <cellStyle name="Normal 3 14 12" xfId="13739" xr:uid="{D886090A-F94E-4F46-BC15-6425198B8456}"/>
    <cellStyle name="Normal 3 14 12 2" xfId="15442" xr:uid="{8DA80990-97C0-4333-A7D8-546D1D88B9F6}"/>
    <cellStyle name="Normal 3 14 12 3" xfId="20817" xr:uid="{859232A2-3705-48B2-B78A-AD8AA31934F8}"/>
    <cellStyle name="Normal 3 14 2" xfId="2801" xr:uid="{CA5FEB62-BCDD-452F-B623-0385D0788008}"/>
    <cellStyle name="Normal 3 14 2 10" xfId="10272" xr:uid="{878058D7-EE28-4D30-B692-D37E0DE10D4E}"/>
    <cellStyle name="Normal 3 14 2 11" xfId="16171" xr:uid="{FEE222D2-7450-475A-B38A-8F7E5B39F2CA}"/>
    <cellStyle name="Normal 3 14 2 2" xfId="4458" xr:uid="{98766F08-A6D2-421E-9B98-B850CF107732}"/>
    <cellStyle name="Normal 3 14 2 2 2" xfId="6690" xr:uid="{297E72F1-8213-479B-A9F5-68CA043DDE9B}"/>
    <cellStyle name="Normal 3 14 2 2 2 2" xfId="8891" xr:uid="{613E26A3-DF97-4CE4-B6D0-5AC0751B38E6}"/>
    <cellStyle name="Normal 3 14 2 2 2 2 2" xfId="18943" xr:uid="{F844AD71-F337-4D04-A48E-D35107709218}"/>
    <cellStyle name="Normal 3 14 2 2 2 3" xfId="16396" xr:uid="{68BD12D4-825E-4865-B6CF-54CFF61EBD7E}"/>
    <cellStyle name="Normal 3 14 2 2 2 4" xfId="15228" xr:uid="{7EF54F8C-85FF-49B3-BCA4-4C01D998E94F}"/>
    <cellStyle name="Normal 3 14 2 2 3" xfId="6691" xr:uid="{9FAE15B7-9002-40C1-AB41-3B9B92FE86D7}"/>
    <cellStyle name="Normal 3 14 2 2 3 2" xfId="9339" xr:uid="{93FC8A68-0F56-47F3-8FF4-556B51DCB024}"/>
    <cellStyle name="Normal 3 14 2 2 3 2 2" xfId="19391" xr:uid="{74D6468D-85EE-45FC-8694-9F9450864D47}"/>
    <cellStyle name="Normal 3 14 2 2 3 3" xfId="16842" xr:uid="{B2D1CFE2-E98F-4005-B93C-5A6EE994A9E2}"/>
    <cellStyle name="Normal 3 14 2 2 3 4" xfId="15792" xr:uid="{1223CE18-4FE1-4B7C-BA59-860949FF6FC0}"/>
    <cellStyle name="Normal 3 14 2 2 4" xfId="6692" xr:uid="{A8A23FF0-BD7D-4BCB-A170-DFBCCDE7C8E5}"/>
    <cellStyle name="Normal 3 14 2 2 4 2" xfId="17442" xr:uid="{1F10A1FC-A74B-47E1-9FDB-F36FB46F7BF4}"/>
    <cellStyle name="Normal 3 14 2 2 4 3" xfId="14746" xr:uid="{C9CF1C65-D5C4-41CB-8CAD-DFAF28A2C6C3}"/>
    <cellStyle name="Normal 3 14 2 2 5" xfId="6693" xr:uid="{289CF650-3BFB-4418-AFF8-84C46DBD0440}"/>
    <cellStyle name="Normal 3 14 2 2 5 2" xfId="18053" xr:uid="{13208ABB-6B55-4B84-BDAB-A6BCF1E8FD21}"/>
    <cellStyle name="Normal 3 14 2 2 5 3" xfId="14386" xr:uid="{E997F813-7F73-417C-A131-B8C71058723F}"/>
    <cellStyle name="Normal 3 14 2 2 6" xfId="8463" xr:uid="{8C47CE5C-ABE5-43AE-B541-90AFDD47DAD0}"/>
    <cellStyle name="Normal 3 14 2 2 6 2" xfId="18515" xr:uid="{240A33CC-DD18-499D-9C52-D6539EECC144}"/>
    <cellStyle name="Normal 3 14 2 2 7" xfId="9928" xr:uid="{F6355403-3D83-40DB-B395-7D0CFC023B3C}"/>
    <cellStyle name="Normal 3 14 2 2 8" xfId="10502" xr:uid="{9E4403D8-36EB-4832-AE16-21FB50DF5AC9}"/>
    <cellStyle name="Normal 3 14 2 2 9" xfId="14172" xr:uid="{CF9F58A7-9FCD-458A-BD97-5FA60BDBE1D8}"/>
    <cellStyle name="Normal 3 14 2 3" xfId="4459" xr:uid="{82EC326F-CFB8-4635-8586-90FA244A63B3}"/>
    <cellStyle name="Normal 3 14 2 3 2" xfId="6694" xr:uid="{E7E8AF73-EDC4-473E-9A9F-7A32B62B6F62}"/>
    <cellStyle name="Normal 3 14 2 3 2 2" xfId="8892" xr:uid="{ED8E8890-80FF-47F4-A01A-C317E5DE4330}"/>
    <cellStyle name="Normal 3 14 2 3 2 2 2" xfId="18944" xr:uid="{11AC5350-0098-4573-B6DE-602034AEB320}"/>
    <cellStyle name="Normal 3 14 2 3 2 3" xfId="16397" xr:uid="{65ABB0A6-3EFC-4306-920C-C5634FE1F674}"/>
    <cellStyle name="Normal 3 14 2 3 2 4" xfId="14157" xr:uid="{34CA6C6F-7537-41DD-8384-A0129C224011}"/>
    <cellStyle name="Normal 3 14 2 3 3" xfId="6695" xr:uid="{2037A966-2AAB-4E18-85AF-E543C7858D9E}"/>
    <cellStyle name="Normal 3 14 2 3 3 2" xfId="9340" xr:uid="{632062A0-AF40-430E-8057-EA7FEA4EFFB6}"/>
    <cellStyle name="Normal 3 14 2 3 3 2 2" xfId="19392" xr:uid="{D274BF1D-B4C9-41A2-BB91-0336811CE852}"/>
    <cellStyle name="Normal 3 14 2 3 3 3" xfId="16843" xr:uid="{33DE8826-68E0-4735-B6A1-1393B1CAEDC2}"/>
    <cellStyle name="Normal 3 14 2 3 3 4" xfId="15791" xr:uid="{7C005B5B-CD5D-4B6C-9FD9-C9490F819816}"/>
    <cellStyle name="Normal 3 14 2 3 4" xfId="6696" xr:uid="{BF3922AA-DADF-48A6-80F9-C500B43DE077}"/>
    <cellStyle name="Normal 3 14 2 3 4 2" xfId="17443" xr:uid="{D5E493AB-8F40-469C-B544-0AF8F929433B}"/>
    <cellStyle name="Normal 3 14 2 3 4 3" xfId="14745" xr:uid="{5E20BCBF-B9BB-4F43-8DC2-B82DCB629B55}"/>
    <cellStyle name="Normal 3 14 2 3 5" xfId="6697" xr:uid="{760F8E37-E84B-4DD6-9A4F-AEA049C33070}"/>
    <cellStyle name="Normal 3 14 2 3 5 2" xfId="18054" xr:uid="{6294AA3A-FCBD-4A5E-B15C-DFD5F106A5C1}"/>
    <cellStyle name="Normal 3 14 2 3 5 3" xfId="14385" xr:uid="{8C318097-AE3C-450D-B2CA-3BBEBBCB09D2}"/>
    <cellStyle name="Normal 3 14 2 3 6" xfId="8464" xr:uid="{CAC15846-E0F4-4E6F-B7D2-92778B2BCAD4}"/>
    <cellStyle name="Normal 3 14 2 3 6 2" xfId="18516" xr:uid="{9A5692F9-43C0-4A1C-9846-BD97F292575E}"/>
    <cellStyle name="Normal 3 14 2 3 7" xfId="9929" xr:uid="{C27CC9E0-5F9E-4B5D-8CE2-35B81EC1B737}"/>
    <cellStyle name="Normal 3 14 2 3 8" xfId="10503" xr:uid="{E14A7931-04A0-464D-825B-8397623FB3B3}"/>
    <cellStyle name="Normal 3 14 2 3 9" xfId="16012" xr:uid="{51804EE9-E101-44B0-9F77-608A7BF753FF}"/>
    <cellStyle name="Normal 3 14 2 4" xfId="6698" xr:uid="{4A1A3118-7BB4-4523-9846-231262DCF5DC}"/>
    <cellStyle name="Normal 3 14 2 4 2" xfId="6699" xr:uid="{F08FE6ED-929E-4949-B7FF-8138279ACBD7}"/>
    <cellStyle name="Normal 3 14 2 4 2 2" xfId="17274" xr:uid="{26AF324F-B7D5-4AD1-B072-EC456E3DDD04}"/>
    <cellStyle name="Normal 3 14 2 4 3" xfId="6700" xr:uid="{32DB09CD-16A2-49FC-9792-F9052EC5003F}"/>
    <cellStyle name="Normal 3 14 2 4 3 2" xfId="17888" xr:uid="{CB858BA3-B711-4EB0-ADFD-6C642078B44F}"/>
    <cellStyle name="Normal 3 14 2 4 4" xfId="8717" xr:uid="{EACA4179-A9CD-453F-80AC-2314DEF0C258}"/>
    <cellStyle name="Normal 3 14 2 4 4 2" xfId="18769" xr:uid="{76701E24-D184-4997-AAC0-4048715C87F0}"/>
    <cellStyle name="Normal 3 14 2 4 5" xfId="9764" xr:uid="{252FE773-28B7-450C-AB03-B32EDE81988E}"/>
    <cellStyle name="Normal 3 14 2 4 6" xfId="10504" xr:uid="{372ACCAA-F41F-4EF3-9B50-D255529A4C50}"/>
    <cellStyle name="Normal 3 14 2 4 7" xfId="15384" xr:uid="{2A99836E-32B6-4D54-A9AA-349710D7A7FD}"/>
    <cellStyle name="Normal 3 14 2 5" xfId="6701" xr:uid="{B05977CB-6ABC-4FFE-9AB5-68AD93C31424}"/>
    <cellStyle name="Normal 3 14 2 5 2" xfId="9165" xr:uid="{9D032F4C-4C83-496C-9558-5FD612E44F17}"/>
    <cellStyle name="Normal 3 14 2 5 2 2" xfId="19217" xr:uid="{EACF3D6B-B662-4298-A2DD-1E72B729FE5C}"/>
    <cellStyle name="Normal 3 14 2 5 3" xfId="16668" xr:uid="{751F29E8-08AE-4DDB-92F2-75E9B401DB25}"/>
    <cellStyle name="Normal 3 14 2 5 4" xfId="14982" xr:uid="{92473E07-1DE3-4A4D-92BD-7E5A34286D4B}"/>
    <cellStyle name="Normal 3 14 2 6" xfId="6702" xr:uid="{040B8538-A865-446D-A22F-F8E08AB94E85}"/>
    <cellStyle name="Normal 3 14 2 6 2" xfId="17127" xr:uid="{0C3646A2-FAEC-48E1-A75D-32B79E7F2F1D}"/>
    <cellStyle name="Normal 3 14 2 6 3" xfId="15577" xr:uid="{C34C359F-3B83-4B18-A226-47282F7B8CD5}"/>
    <cellStyle name="Normal 3 14 2 7" xfId="6703" xr:uid="{3E6ACBF2-0452-47A7-A19F-E092F837B5CA}"/>
    <cellStyle name="Normal 3 14 2 7 2" xfId="17737" xr:uid="{4754C395-ACDC-42B9-ABAE-7C6A8A9D0102}"/>
    <cellStyle name="Normal 3 14 2 7 3" xfId="14526" xr:uid="{8AD3AAAF-AB58-49FD-AE82-EEE2C6390401}"/>
    <cellStyle name="Normal 3 14 2 8" xfId="8289" xr:uid="{6A1C4B4E-C704-4BE6-9A43-5FB326F21833}"/>
    <cellStyle name="Normal 3 14 2 8 2" xfId="18341" xr:uid="{9BFC3C70-A8BE-47AB-B3C8-494A4335DE29}"/>
    <cellStyle name="Normal 3 14 2 9" xfId="9618" xr:uid="{31DE12B8-50C3-417B-AF96-998D91F73813}"/>
    <cellStyle name="Normal 3 14 3" xfId="4460" xr:uid="{5CEAB00B-5F31-4107-8A84-3BB02F3C6D3F}"/>
    <cellStyle name="Normal 3 14 3 2" xfId="6704" xr:uid="{BC614FCC-69E5-4388-BA04-5F6C48A18F19}"/>
    <cellStyle name="Normal 3 14 3 2 2" xfId="8893" xr:uid="{BC4EAE7F-13AB-4A38-B4CE-306E47F1B2A4}"/>
    <cellStyle name="Normal 3 14 3 2 2 2" xfId="18945" xr:uid="{D2FA7DED-9C97-4E09-A505-F47F61DD14A7}"/>
    <cellStyle name="Normal 3 14 3 2 3" xfId="16398" xr:uid="{630ACC4A-DA59-4D04-8F60-FA794AA661C6}"/>
    <cellStyle name="Normal 3 14 3 2 4" xfId="15227" xr:uid="{29118020-1BE9-4D71-A653-5DF155D8A22E}"/>
    <cellStyle name="Normal 3 14 3 3" xfId="6705" xr:uid="{FEA91F8D-8BFD-4B38-82B5-8A0C5A7D0CBA}"/>
    <cellStyle name="Normal 3 14 3 3 2" xfId="9341" xr:uid="{2CCF6A95-6B0A-4F42-A5DA-B531A0FF921C}"/>
    <cellStyle name="Normal 3 14 3 3 2 2" xfId="19393" xr:uid="{39F84CAC-6969-4A03-9F47-DBF43DFF769F}"/>
    <cellStyle name="Normal 3 14 3 3 3" xfId="16844" xr:uid="{EC2E3449-C555-4588-BD38-43942DF1C926}"/>
    <cellStyle name="Normal 3 14 3 3 4" xfId="15790" xr:uid="{4AF589B0-21A2-401E-A1E2-2902B78BFCF2}"/>
    <cellStyle name="Normal 3 14 3 4" xfId="6706" xr:uid="{7460F9E4-5835-4D16-96A0-61324CD1A1AD}"/>
    <cellStyle name="Normal 3 14 3 4 2" xfId="17444" xr:uid="{7FA4F65C-FF5F-4034-9F82-FF43238BBE5D}"/>
    <cellStyle name="Normal 3 14 3 4 3" xfId="14744" xr:uid="{F89734BC-21BF-4001-99C0-FD0A06506E42}"/>
    <cellStyle name="Normal 3 14 3 5" xfId="6707" xr:uid="{68A60848-2C10-4670-AC40-E05B1AEAEE9B}"/>
    <cellStyle name="Normal 3 14 3 5 2" xfId="18055" xr:uid="{45404DB2-3238-4C12-8324-93AE0044BAF3}"/>
    <cellStyle name="Normal 3 14 3 5 3" xfId="14384" xr:uid="{83DF5CF3-CE7D-43D4-ADAB-4B95C765618A}"/>
    <cellStyle name="Normal 3 14 3 6" xfId="8465" xr:uid="{061AC0C4-77C0-49A8-911C-B4F89023F65A}"/>
    <cellStyle name="Normal 3 14 3 6 2" xfId="18517" xr:uid="{0BBEF605-AD69-47AD-9EDE-451D8FB7066D}"/>
    <cellStyle name="Normal 3 14 3 7" xfId="9930" xr:uid="{A141D383-B057-4CD4-A26F-964694FA31E7}"/>
    <cellStyle name="Normal 3 14 3 8" xfId="10505" xr:uid="{001DD616-0880-4609-8F65-13495E7001DF}"/>
    <cellStyle name="Normal 3 14 3 9" xfId="16011" xr:uid="{140F8866-2D72-4A95-9603-D872D9B78CCB}"/>
    <cellStyle name="Normal 3 14 4" xfId="4461" xr:uid="{C8ADBACF-6574-4563-ADEC-2F3D0E06EC72}"/>
    <cellStyle name="Normal 3 14 4 2" xfId="6708" xr:uid="{4AE39721-07E8-45A2-B7B8-AECDBFAC4D94}"/>
    <cellStyle name="Normal 3 14 4 2 2" xfId="8894" xr:uid="{7B255302-E6D2-4FCC-BE6E-57531D63FC3F}"/>
    <cellStyle name="Normal 3 14 4 2 2 2" xfId="18946" xr:uid="{C5B74F7E-2A8A-44FB-915F-041EF3B8CD8C}"/>
    <cellStyle name="Normal 3 14 4 2 3" xfId="16399" xr:uid="{64CDA4D0-CC53-4184-BD6A-FECE7435B559}"/>
    <cellStyle name="Normal 3 14 4 2 4" xfId="15226" xr:uid="{E3261642-CE63-4159-A8EE-B4B88214B3AE}"/>
    <cellStyle name="Normal 3 14 4 3" xfId="6709" xr:uid="{AC13C6D8-DE94-47E3-A49F-4A23FBBB67BF}"/>
    <cellStyle name="Normal 3 14 4 3 2" xfId="9342" xr:uid="{47CC3E08-CB20-4E56-9B97-E5782E895252}"/>
    <cellStyle name="Normal 3 14 4 3 2 2" xfId="19394" xr:uid="{50DF044F-C738-4E93-B1A3-1C76643907BC}"/>
    <cellStyle name="Normal 3 14 4 3 3" xfId="16845" xr:uid="{81FAF739-BDED-4A1E-9D9A-A8277BF5A798}"/>
    <cellStyle name="Normal 3 14 4 3 4" xfId="14844" xr:uid="{14FDA7B1-5F25-4EC3-ACB3-EF5705D44F9D}"/>
    <cellStyle name="Normal 3 14 4 4" xfId="6710" xr:uid="{32110D05-92AA-4419-96A4-B657E1B420C2}"/>
    <cellStyle name="Normal 3 14 4 4 2" xfId="17445" xr:uid="{4E8E710B-7338-4DCB-9447-B4903BFDEA98}"/>
    <cellStyle name="Normal 3 14 4 4 3" xfId="14743" xr:uid="{25DE1E75-548D-4A69-B638-B00D990104D9}"/>
    <cellStyle name="Normal 3 14 4 5" xfId="6711" xr:uid="{FFB83156-7777-487E-903F-3C4F7B3DB681}"/>
    <cellStyle name="Normal 3 14 4 5 2" xfId="18056" xr:uid="{0C33A27B-C191-43AC-81EC-5D8349EE9BEA}"/>
    <cellStyle name="Normal 3 14 4 5 3" xfId="14081" xr:uid="{90B9076C-6EC1-4B28-9805-F4EAB6FB2119}"/>
    <cellStyle name="Normal 3 14 4 6" xfId="8466" xr:uid="{5D5FCDA7-8C78-4929-92C2-FCFACFF15653}"/>
    <cellStyle name="Normal 3 14 4 6 2" xfId="18518" xr:uid="{526D89E1-575B-4B0D-8349-61E8592FAD6B}"/>
    <cellStyle name="Normal 3 14 4 7" xfId="9931" xr:uid="{0FB5C62D-BE78-4326-8F16-61B20FAA6F40}"/>
    <cellStyle name="Normal 3 14 4 8" xfId="10506" xr:uid="{E68C3B08-1D94-49D8-9F39-A33E6F531846}"/>
    <cellStyle name="Normal 3 14 4 9" xfId="16010" xr:uid="{95A272EF-D40C-477C-A09D-E0973FD0D152}"/>
    <cellStyle name="Normal 3 14 5" xfId="6712" xr:uid="{1157AC20-FA2A-4F0A-8DCB-414DA5E91C3C}"/>
    <cellStyle name="Normal 3 14 5 2" xfId="6713" xr:uid="{7306F0E2-E0CB-4172-BCE8-C6F532952DBA}"/>
    <cellStyle name="Normal 3 14 5 2 2" xfId="17273" xr:uid="{2E881C20-30D2-4583-84F7-013CCB3912F2}"/>
    <cellStyle name="Normal 3 14 5 3" xfId="6714" xr:uid="{C746E1BC-2705-4485-9375-491EC08643DA}"/>
    <cellStyle name="Normal 3 14 5 3 2" xfId="17887" xr:uid="{88AC7702-F068-465E-A112-9792385CE1BF}"/>
    <cellStyle name="Normal 3 14 5 4" xfId="8716" xr:uid="{EF2058BF-C0BE-4829-9F60-0AF96A4988EE}"/>
    <cellStyle name="Normal 3 14 5 4 2" xfId="18768" xr:uid="{0C45C1A9-9B1C-44C6-95F7-B6BF93A9E240}"/>
    <cellStyle name="Normal 3 14 5 5" xfId="9763" xr:uid="{1C727FD4-1C49-4EF3-BE34-2D501A59ABD5}"/>
    <cellStyle name="Normal 3 14 5 6" xfId="10507" xr:uid="{FEB28A7F-C692-4AF2-B4FD-5F713838F234}"/>
    <cellStyle name="Normal 3 14 5 7" xfId="15385" xr:uid="{72EF303F-C6A3-4750-AA60-B98E75F9D3E0}"/>
    <cellStyle name="Normal 3 14 6" xfId="6715" xr:uid="{3348E17A-A2D8-41CA-8646-4DC59318CF0B}"/>
    <cellStyle name="Normal 3 14 6 2" xfId="9164" xr:uid="{B8BF3CA0-5A0D-484F-AE00-9C30534199E7}"/>
    <cellStyle name="Normal 3 14 6 2 2" xfId="19216" xr:uid="{0D7DAFE4-6F25-42D1-B8A0-2681DAA3E34F}"/>
    <cellStyle name="Normal 3 14 6 3" xfId="16667" xr:uid="{497866BD-BA97-49D2-9E4B-971860534EB5}"/>
    <cellStyle name="Normal 3 14 6 4" xfId="14983" xr:uid="{BBC939D1-A662-4819-AB23-C255D2581292}"/>
    <cellStyle name="Normal 3 14 7" xfId="6716" xr:uid="{10A0FC59-7CD6-45EE-82F4-8B9D21FD2683}"/>
    <cellStyle name="Normal 3 14 7 2" xfId="17126" xr:uid="{FDE02935-D46A-4AFA-A42D-A31790451289}"/>
    <cellStyle name="Normal 3 14 7 3" xfId="14811" xr:uid="{F4CC0350-ECCF-4F7E-87BB-9259AA8CA142}"/>
    <cellStyle name="Normal 3 14 8" xfId="6717" xr:uid="{DD1AA000-78D4-46E1-BB4B-BC852C85BAFE}"/>
    <cellStyle name="Normal 3 14 8 2" xfId="17736" xr:uid="{6F78A918-EEBF-4DA7-A7CE-FA1CE4EE800E}"/>
    <cellStyle name="Normal 3 14 8 3" xfId="14527" xr:uid="{3A0DAB05-B779-476B-A8A0-C6FE43162746}"/>
    <cellStyle name="Normal 3 14 9" xfId="8288" xr:uid="{CD1A31CF-35E2-491D-94E6-E54B9CAB849B}"/>
    <cellStyle name="Normal 3 14 9 2" xfId="18340" xr:uid="{796F2898-18C7-4574-BFD4-EB66EB8BD6F1}"/>
    <cellStyle name="Normal 3 15" xfId="2802" xr:uid="{215232F1-D7F7-440F-A404-815D3AD59E98}"/>
    <cellStyle name="Normal 3 15 10" xfId="9619" xr:uid="{DB58A3E7-B28B-4778-9292-942D44C70C27}"/>
    <cellStyle name="Normal 3 15 11" xfId="10273" xr:uid="{CA8355C8-98A2-4F1A-B46E-FB972E3B4AFF}"/>
    <cellStyle name="Normal 3 15 12" xfId="12756" xr:uid="{269183B5-DD75-489D-84E6-378C0CC197FA}"/>
    <cellStyle name="Normal 3 15 12 2" xfId="16170" xr:uid="{673C7496-D3BC-4261-BA77-92EB99C4CDE0}"/>
    <cellStyle name="Normal 3 15 12 3" xfId="20717" xr:uid="{81F33938-8B80-4D1D-BFFD-E705074A4A63}"/>
    <cellStyle name="Normal 3 15 2" xfId="2803" xr:uid="{C8C50C51-9057-4EE1-BF44-0A95A6572BD6}"/>
    <cellStyle name="Normal 3 15 2 10" xfId="10274" xr:uid="{7F341C06-8166-463E-A51B-4E0200385AEF}"/>
    <cellStyle name="Normal 3 15 2 11" xfId="16169" xr:uid="{1897048D-6EB3-4470-92BD-6782F4228C47}"/>
    <cellStyle name="Normal 3 15 2 2" xfId="4462" xr:uid="{F66515FE-F6B2-4DB9-9A5F-8CBE7501C009}"/>
    <cellStyle name="Normal 3 15 2 2 2" xfId="6718" xr:uid="{48450AE5-152E-4DA0-8870-FC2EA08EF905}"/>
    <cellStyle name="Normal 3 15 2 2 2 2" xfId="8895" xr:uid="{E712C507-298F-4835-8D0D-F0017A474E4B}"/>
    <cellStyle name="Normal 3 15 2 2 2 2 2" xfId="18947" xr:uid="{B1D04221-6D46-4A22-87EE-A2023BA119A4}"/>
    <cellStyle name="Normal 3 15 2 2 2 3" xfId="16400" xr:uid="{318A76D7-5105-4AD6-8249-EBD188AF442F}"/>
    <cellStyle name="Normal 3 15 2 2 2 4" xfId="15225" xr:uid="{7391E3CB-DD90-4F8F-9D2F-946D8D60A5D1}"/>
    <cellStyle name="Normal 3 15 2 2 3" xfId="6719" xr:uid="{CE5AE390-64F3-40F8-95EF-C3AD75439E6A}"/>
    <cellStyle name="Normal 3 15 2 2 3 2" xfId="9343" xr:uid="{46439F30-F1FA-4C05-8530-108ED54B0274}"/>
    <cellStyle name="Normal 3 15 2 2 3 2 2" xfId="19395" xr:uid="{9BEBB734-BF1B-4D4F-888A-FE135188C37E}"/>
    <cellStyle name="Normal 3 15 2 2 3 3" xfId="16846" xr:uid="{C343F849-E8E0-4CF0-8227-EAB2D911C26A}"/>
    <cellStyle name="Normal 3 15 2 2 3 4" xfId="15789" xr:uid="{01138749-A3DD-40AB-9D1A-40EB5AAFF3EE}"/>
    <cellStyle name="Normal 3 15 2 2 4" xfId="6720" xr:uid="{F3ACB976-12A8-4F7A-8677-865A815555D5}"/>
    <cellStyle name="Normal 3 15 2 2 4 2" xfId="17446" xr:uid="{CF8B238C-016E-477F-9E6F-E03A4E1B74ED}"/>
    <cellStyle name="Normal 3 15 2 2 4 3" xfId="14118" xr:uid="{05311A86-6BB7-4D61-9A74-FF4FDAC401FF}"/>
    <cellStyle name="Normal 3 15 2 2 5" xfId="6721" xr:uid="{B5DFD356-47AE-414F-A923-AAE3A6B86689}"/>
    <cellStyle name="Normal 3 15 2 2 5 2" xfId="18057" xr:uid="{EFC638F3-8344-4ADA-BF1B-77877E911D15}"/>
    <cellStyle name="Normal 3 15 2 2 5 3" xfId="14080" xr:uid="{A9C822A1-2EEB-4EBA-89B6-82CB82A30660}"/>
    <cellStyle name="Normal 3 15 2 2 6" xfId="8467" xr:uid="{9BD2D5FC-E511-4559-9586-E1783B1C724B}"/>
    <cellStyle name="Normal 3 15 2 2 6 2" xfId="18519" xr:uid="{EDC3DD07-A7EB-43E1-93D0-FFE4F04D6FCA}"/>
    <cellStyle name="Normal 3 15 2 2 7" xfId="9932" xr:uid="{90E67055-BA08-4485-83E8-C96DAF3A6FED}"/>
    <cellStyle name="Normal 3 15 2 2 8" xfId="10508" xr:uid="{A043727B-DD56-4A3C-9122-7485A937DA28}"/>
    <cellStyle name="Normal 3 15 2 2 9" xfId="16009" xr:uid="{D03CA299-8107-46F5-89BB-0ADC660061B7}"/>
    <cellStyle name="Normal 3 15 2 3" xfId="4463" xr:uid="{5B92F865-6E90-45D0-9F26-3BCB1393281A}"/>
    <cellStyle name="Normal 3 15 2 3 2" xfId="6722" xr:uid="{DC3E0A28-1ED3-4B7A-9328-99B027990466}"/>
    <cellStyle name="Normal 3 15 2 3 2 2" xfId="8896" xr:uid="{EF29E935-4080-4005-B5F3-F5A31B4A336D}"/>
    <cellStyle name="Normal 3 15 2 3 2 2 2" xfId="18948" xr:uid="{A0C6F4F6-2368-4278-8ED4-B54FA591BABE}"/>
    <cellStyle name="Normal 3 15 2 3 2 3" xfId="16401" xr:uid="{CB06C8E1-0304-4B46-812B-432C79A80FFD}"/>
    <cellStyle name="Normal 3 15 2 3 2 4" xfId="15224" xr:uid="{068E7F78-7C31-4A20-A05F-FF8583A2063A}"/>
    <cellStyle name="Normal 3 15 2 3 3" xfId="6723" xr:uid="{A60667FF-79AD-4B2D-BE50-0AE5D1D833B5}"/>
    <cellStyle name="Normal 3 15 2 3 3 2" xfId="9344" xr:uid="{D755BA05-637E-4809-B0F0-9F03A4517032}"/>
    <cellStyle name="Normal 3 15 2 3 3 2 2" xfId="19396" xr:uid="{260EA8EE-ABF2-434B-B565-774C0085D491}"/>
    <cellStyle name="Normal 3 15 2 3 3 3" xfId="16847" xr:uid="{7D580EE2-F173-4F8A-BC02-36F1874ED9B7}"/>
    <cellStyle name="Normal 3 15 2 3 3 4" xfId="15788" xr:uid="{E6DDEEBA-9450-4B66-90D6-85F140621CD4}"/>
    <cellStyle name="Normal 3 15 2 3 4" xfId="6724" xr:uid="{5E116A26-16B9-41AB-B5BF-58C654DA1F24}"/>
    <cellStyle name="Normal 3 15 2 3 4 2" xfId="17447" xr:uid="{166FFB76-16FB-440B-88F7-A1D99123F570}"/>
    <cellStyle name="Normal 3 15 2 3 4 3" xfId="14188" xr:uid="{76889592-CE9B-439C-897D-B409E2E3B44F}"/>
    <cellStyle name="Normal 3 15 2 3 5" xfId="6725" xr:uid="{C2793254-1F38-40D0-BA36-271ACDD5122E}"/>
    <cellStyle name="Normal 3 15 2 3 5 2" xfId="18058" xr:uid="{1F1887EE-C85F-45BC-8B07-DBDA0DE82A5B}"/>
    <cellStyle name="Normal 3 15 2 3 5 3" xfId="14383" xr:uid="{4D3D3AD9-56B9-431E-BEFC-DC6B233E38A4}"/>
    <cellStyle name="Normal 3 15 2 3 6" xfId="8468" xr:uid="{010ABD92-25BE-4D34-833D-81F71DA7974E}"/>
    <cellStyle name="Normal 3 15 2 3 6 2" xfId="18520" xr:uid="{84C443A7-BEC3-4C42-A8B1-F40E745A57CD}"/>
    <cellStyle name="Normal 3 15 2 3 7" xfId="9933" xr:uid="{53B0ED31-AA0D-4351-9961-32D3A2D42B9A}"/>
    <cellStyle name="Normal 3 15 2 3 8" xfId="10509" xr:uid="{E6524A25-8398-4E5D-BB41-339A486B27EF}"/>
    <cellStyle name="Normal 3 15 2 3 9" xfId="16008" xr:uid="{C4B48D73-B252-4355-9B21-9BE13F24FB3A}"/>
    <cellStyle name="Normal 3 15 2 4" xfId="6726" xr:uid="{81C8CB92-B469-480A-9175-00A31E814705}"/>
    <cellStyle name="Normal 3 15 2 4 2" xfId="6727" xr:uid="{5FEB3772-59F4-4C58-A110-86D82FA35B3B}"/>
    <cellStyle name="Normal 3 15 2 4 2 2" xfId="17276" xr:uid="{288F249B-04CB-4720-BA9C-086DE600AF31}"/>
    <cellStyle name="Normal 3 15 2 4 3" xfId="6728" xr:uid="{D620CF98-9F6C-404A-B196-D4955777BACC}"/>
    <cellStyle name="Normal 3 15 2 4 3 2" xfId="17890" xr:uid="{DCAFC982-22E2-4A39-87CD-AE647776E746}"/>
    <cellStyle name="Normal 3 15 2 4 4" xfId="8719" xr:uid="{3421B49E-8E06-4FF7-8A48-977EA9942836}"/>
    <cellStyle name="Normal 3 15 2 4 4 2" xfId="18771" xr:uid="{AE0CB96E-BC1B-4DA8-A267-2C8EB3FAD0B8}"/>
    <cellStyle name="Normal 3 15 2 4 5" xfId="9766" xr:uid="{9607AF5D-0DC0-4626-9ADA-CDA2FD04F6F6}"/>
    <cellStyle name="Normal 3 15 2 4 6" xfId="10510" xr:uid="{3A556E47-817D-4000-96AD-EB5DFB85E2EE}"/>
    <cellStyle name="Normal 3 15 2 4 7" xfId="14198" xr:uid="{D5470A28-EAA7-4F55-A534-FEED967BC75E}"/>
    <cellStyle name="Normal 3 15 2 5" xfId="6729" xr:uid="{7065C8D1-7FCD-423B-A635-736F35BA8124}"/>
    <cellStyle name="Normal 3 15 2 5 2" xfId="9167" xr:uid="{45CA9CDD-6B4A-477D-8468-E7BE703DA9B8}"/>
    <cellStyle name="Normal 3 15 2 5 2 2" xfId="19219" xr:uid="{7A7D3E8D-D675-48BA-98D2-E6312DFAEC49}"/>
    <cellStyle name="Normal 3 15 2 5 3" xfId="16670" xr:uid="{4AD0FECF-1019-4331-B41E-0C05E084D3F9}"/>
    <cellStyle name="Normal 3 15 2 5 4" xfId="14980" xr:uid="{11AB36AF-0BF6-4694-83C9-0BF2D40D6CDB}"/>
    <cellStyle name="Normal 3 15 2 6" xfId="6730" xr:uid="{FCE0A26C-7A23-4244-B3BC-625089F0AD7D}"/>
    <cellStyle name="Normal 3 15 2 6 2" xfId="17129" xr:uid="{B39FC686-8A75-4783-AE01-CFB31DB3ECC3}"/>
    <cellStyle name="Normal 3 15 2 6 3" xfId="15575" xr:uid="{868521EA-C187-44A5-B770-378F76FB580A}"/>
    <cellStyle name="Normal 3 15 2 7" xfId="6731" xr:uid="{601D58CC-6023-44D5-B065-27A496493FA0}"/>
    <cellStyle name="Normal 3 15 2 7 2" xfId="17739" xr:uid="{2C24317B-2E46-48D2-9D51-418CAC70E555}"/>
    <cellStyle name="Normal 3 15 2 7 3" xfId="14524" xr:uid="{9A25CE38-DB5A-44C3-B038-F24E796AE01F}"/>
    <cellStyle name="Normal 3 15 2 8" xfId="8291" xr:uid="{DC54C0A9-1092-4F7A-ABBF-9C28D8A8D904}"/>
    <cellStyle name="Normal 3 15 2 8 2" xfId="18343" xr:uid="{B74815B2-A2FF-4943-AB21-224ABFDD8CC2}"/>
    <cellStyle name="Normal 3 15 2 9" xfId="9620" xr:uid="{C68A223E-FBED-4DA4-84CC-FE9C251DEFC4}"/>
    <cellStyle name="Normal 3 15 3" xfId="4464" xr:uid="{79955BC5-F7F2-45A4-97B6-7063FC905FA3}"/>
    <cellStyle name="Normal 3 15 3 2" xfId="6732" xr:uid="{171AD6E2-C7D3-4180-88D6-096CD90CE4D1}"/>
    <cellStyle name="Normal 3 15 3 2 2" xfId="8897" xr:uid="{6D94E7E8-B3C8-4B4F-A4BC-D45280C18831}"/>
    <cellStyle name="Normal 3 15 3 2 2 2" xfId="18949" xr:uid="{1C109407-38E4-4E24-A313-BE34211143F6}"/>
    <cellStyle name="Normal 3 15 3 2 3" xfId="16402" xr:uid="{A7681F46-50DE-497B-A432-B6DF3B64BA8D}"/>
    <cellStyle name="Normal 3 15 3 2 4" xfId="15223" xr:uid="{CA7F0C51-1031-41F1-844F-1E330349DD34}"/>
    <cellStyle name="Normal 3 15 3 3" xfId="6733" xr:uid="{A92ABC22-6D5B-48B6-87EF-24E295A108EC}"/>
    <cellStyle name="Normal 3 15 3 3 2" xfId="9345" xr:uid="{DEB864F7-F910-4835-8450-21F95F8A5318}"/>
    <cellStyle name="Normal 3 15 3 3 2 2" xfId="19397" xr:uid="{A69C6F3B-4988-4B39-A39D-B5FD97A195D9}"/>
    <cellStyle name="Normal 3 15 3 3 3" xfId="16848" xr:uid="{B7A3A86C-0DDE-4374-875C-CE5B717431DC}"/>
    <cellStyle name="Normal 3 15 3 3 4" xfId="15787" xr:uid="{50532992-0331-4282-8BD0-57A99E84B7F1}"/>
    <cellStyle name="Normal 3 15 3 4" xfId="6734" xr:uid="{433A3519-FBCA-4C87-9E01-BB5B4C70F4B9}"/>
    <cellStyle name="Normal 3 15 3 4 2" xfId="17448" xr:uid="{466A4D5E-B9F5-4D3C-9537-597EC32BFF90}"/>
    <cellStyle name="Normal 3 15 3 4 3" xfId="14742" xr:uid="{59D0E1DA-905C-4247-AC17-6FE100E60E05}"/>
    <cellStyle name="Normal 3 15 3 5" xfId="6735" xr:uid="{DB835662-A6D5-4649-AE26-200C67DEB1F6}"/>
    <cellStyle name="Normal 3 15 3 5 2" xfId="18059" xr:uid="{DA5C554F-7489-4BD4-93E6-62233D2ABA0F}"/>
    <cellStyle name="Normal 3 15 3 5 3" xfId="14382" xr:uid="{F3936318-1901-4977-9637-023FCC81DAEF}"/>
    <cellStyle name="Normal 3 15 3 6" xfId="8469" xr:uid="{629D6D71-4685-4B37-BB07-B73524D22441}"/>
    <cellStyle name="Normal 3 15 3 6 2" xfId="18521" xr:uid="{5186E7E5-99CA-434E-BEA2-A1D9B41AA83A}"/>
    <cellStyle name="Normal 3 15 3 7" xfId="9934" xr:uid="{42556AE4-92A9-4644-B850-6AFB1EEADF89}"/>
    <cellStyle name="Normal 3 15 3 8" xfId="10511" xr:uid="{402615B8-A35E-4F5C-BB4A-8028BB862C56}"/>
    <cellStyle name="Normal 3 15 3 9" xfId="16007" xr:uid="{E31373AE-F0DD-46E7-9A7D-8E6B2FF35456}"/>
    <cellStyle name="Normal 3 15 4" xfId="4465" xr:uid="{B4DE04AA-F675-499A-83A2-D4F37B677155}"/>
    <cellStyle name="Normal 3 15 4 2" xfId="6736" xr:uid="{5FEBCEA9-632F-422B-96E6-DB052F87EBB1}"/>
    <cellStyle name="Normal 3 15 4 2 2" xfId="8898" xr:uid="{45EF0C06-ABF9-491D-99D6-3872265CF0AE}"/>
    <cellStyle name="Normal 3 15 4 2 2 2" xfId="18950" xr:uid="{202DC56E-6D22-4DDA-BD93-CFD286CE0E72}"/>
    <cellStyle name="Normal 3 15 4 2 3" xfId="16403" xr:uid="{269A7AB3-554A-4796-B8B6-ABD211D4956E}"/>
    <cellStyle name="Normal 3 15 4 2 4" xfId="15222" xr:uid="{39E54892-43AF-47C1-800B-5EBCE1B379DC}"/>
    <cellStyle name="Normal 3 15 4 3" xfId="6737" xr:uid="{B57AAEAC-94ED-4252-B272-4BC286B630DD}"/>
    <cellStyle name="Normal 3 15 4 3 2" xfId="9346" xr:uid="{52EE1659-97BF-4808-B746-9DED01C59298}"/>
    <cellStyle name="Normal 3 15 4 3 2 2" xfId="19398" xr:uid="{A1C25733-9534-4F03-87D3-ADB2A5463FCB}"/>
    <cellStyle name="Normal 3 15 4 3 3" xfId="16849" xr:uid="{A0CDBBA8-6454-44A9-AB5D-D49703EAF573}"/>
    <cellStyle name="Normal 3 15 4 3 4" xfId="15786" xr:uid="{B361CD5B-A83F-40E2-87BC-DDC686461E81}"/>
    <cellStyle name="Normal 3 15 4 4" xfId="6738" xr:uid="{1D9DFC90-5AC7-4A3B-9929-E186C346F967}"/>
    <cellStyle name="Normal 3 15 4 4 2" xfId="17449" xr:uid="{832CE45E-8845-40F5-B735-67C38027343C}"/>
    <cellStyle name="Normal 3 15 4 4 3" xfId="14741" xr:uid="{F33428A7-F0F7-48B6-9034-39CDCBB70DB8}"/>
    <cellStyle name="Normal 3 15 4 5" xfId="6739" xr:uid="{C5F11991-E52C-47FF-88E3-12606DBB6BE4}"/>
    <cellStyle name="Normal 3 15 4 5 2" xfId="18060" xr:uid="{BC57C807-DDC0-42D9-B227-8E8E1A4B9210}"/>
    <cellStyle name="Normal 3 15 4 5 3" xfId="14381" xr:uid="{2F038E55-3A1B-45E0-9B2C-830583DE515B}"/>
    <cellStyle name="Normal 3 15 4 6" xfId="8470" xr:uid="{874470B1-6888-44E7-95A2-33BF62BC8CEF}"/>
    <cellStyle name="Normal 3 15 4 6 2" xfId="18522" xr:uid="{24243F80-F997-4002-A603-DDABDFE026C2}"/>
    <cellStyle name="Normal 3 15 4 7" xfId="9935" xr:uid="{5B1F382D-688F-4669-B8BB-7D9539D063B9}"/>
    <cellStyle name="Normal 3 15 4 8" xfId="10512" xr:uid="{73562CB7-DD4B-4BD4-95E2-654D90B14461}"/>
    <cellStyle name="Normal 3 15 4 9" xfId="15419" xr:uid="{76B7E450-3C12-473C-9052-9344FFAFBCFD}"/>
    <cellStyle name="Normal 3 15 5" xfId="6740" xr:uid="{D015ED91-F711-4C7D-A3FD-A4EFA34BA027}"/>
    <cellStyle name="Normal 3 15 5 2" xfId="6741" xr:uid="{71BD77CD-5DA5-4DFE-9900-9020868E774B}"/>
    <cellStyle name="Normal 3 15 5 2 2" xfId="17275" xr:uid="{C372429B-0DB8-41A5-B32C-99C24AC1AF88}"/>
    <cellStyle name="Normal 3 15 5 3" xfId="6742" xr:uid="{E79A27D0-1A3A-4B1C-AD34-780A64AB95DA}"/>
    <cellStyle name="Normal 3 15 5 3 2" xfId="17889" xr:uid="{35380D7D-B793-481C-9CBC-18A48576B21E}"/>
    <cellStyle name="Normal 3 15 5 4" xfId="8718" xr:uid="{68DD1233-525B-4451-A17D-79982D698A18}"/>
    <cellStyle name="Normal 3 15 5 4 2" xfId="18770" xr:uid="{A42907F7-9180-43C5-9336-1E5E61A55451}"/>
    <cellStyle name="Normal 3 15 5 5" xfId="9765" xr:uid="{603D44FE-35B1-4B26-9B5C-BC65894D33A2}"/>
    <cellStyle name="Normal 3 15 5 6" xfId="10513" xr:uid="{49076CEF-6603-4E42-A6E0-45F22440D5BF}"/>
    <cellStyle name="Normal 3 15 5 7" xfId="14170" xr:uid="{472F01A7-55E2-4914-B99D-BC3663F77B68}"/>
    <cellStyle name="Normal 3 15 6" xfId="6743" xr:uid="{8B5542D3-3730-47FD-A186-0E3C57C240B2}"/>
    <cellStyle name="Normal 3 15 6 2" xfId="9166" xr:uid="{DF06BE6C-7C59-4620-BD0D-56206B95FE4F}"/>
    <cellStyle name="Normal 3 15 6 2 2" xfId="19218" xr:uid="{BE9741FC-4179-4B2A-AB97-04BF4A68C04A}"/>
    <cellStyle name="Normal 3 15 6 3" xfId="16669" xr:uid="{6533D672-3474-4EDC-914A-7EFF6B8889E9}"/>
    <cellStyle name="Normal 3 15 6 4" xfId="14981" xr:uid="{04610C7B-A4D4-48A9-9E1C-30FC10113FE5}"/>
    <cellStyle name="Normal 3 15 7" xfId="6744" xr:uid="{869FB6C8-404C-42F3-9567-89BC333E1BD7}"/>
    <cellStyle name="Normal 3 15 7 2" xfId="17128" xr:uid="{9763FD4A-AC00-4C0B-861B-AD656C8F9D28}"/>
    <cellStyle name="Normal 3 15 7 3" xfId="15576" xr:uid="{B6801858-6ACB-4EB7-BAE7-5510D3B7D873}"/>
    <cellStyle name="Normal 3 15 8" xfId="6745" xr:uid="{6D59B32F-06C2-437A-9E88-16D88A53A8F3}"/>
    <cellStyle name="Normal 3 15 8 2" xfId="17738" xr:uid="{FF2F3C5C-306F-4F5A-8F1C-69F601C13E15}"/>
    <cellStyle name="Normal 3 15 8 3" xfId="14525" xr:uid="{9209390D-9B6B-4D04-8784-C095EF69A07D}"/>
    <cellStyle name="Normal 3 15 9" xfId="8290" xr:uid="{6545A89D-1E7F-4743-9865-F2A632A311F9}"/>
    <cellStyle name="Normal 3 15 9 2" xfId="18342" xr:uid="{7465E336-EB5F-48A4-BB97-894CCE5E6EDE}"/>
    <cellStyle name="Normal 3 16" xfId="2804" xr:uid="{0A44BBC6-E84D-49DB-853C-7FD3E78103AE}"/>
    <cellStyle name="Normal 3 16 10" xfId="9621" xr:uid="{38C48BF4-C0B0-4F68-9531-00ABC4315CBB}"/>
    <cellStyle name="Normal 3 16 11" xfId="10275" xr:uid="{C6DD3F05-DF59-4509-B1E5-9C99C2ED8FF2}"/>
    <cellStyle name="Normal 3 16 12" xfId="12800" xr:uid="{8D58E0E3-33B3-4E81-BBA7-905A6D06C247}"/>
    <cellStyle name="Normal 3 16 12 2" xfId="16168" xr:uid="{0EC708A0-E6E1-4141-94CF-6D5CD5F00323}"/>
    <cellStyle name="Normal 3 16 12 3" xfId="20726" xr:uid="{10FF1D6A-04A9-4D1C-B090-5534BFC326F9}"/>
    <cellStyle name="Normal 3 16 2" xfId="2805" xr:uid="{658F87A1-D333-4E0D-BB99-23B6FAA2FF5F}"/>
    <cellStyle name="Normal 3 16 2 10" xfId="10276" xr:uid="{3A54E872-F269-4F92-AA69-45E4CF570850}"/>
    <cellStyle name="Normal 3 16 2 11" xfId="16167" xr:uid="{461694E3-48C4-46F8-9390-240F12C4356D}"/>
    <cellStyle name="Normal 3 16 2 2" xfId="4466" xr:uid="{66998483-5DBC-4F69-B528-330BD5C706F2}"/>
    <cellStyle name="Normal 3 16 2 2 2" xfId="6746" xr:uid="{3709BB7B-B3A9-4CCE-9D14-938AE361CE8F}"/>
    <cellStyle name="Normal 3 16 2 2 2 2" xfId="8899" xr:uid="{BDB7B83A-5A9A-451F-A4A8-A5D73E8BD5DD}"/>
    <cellStyle name="Normal 3 16 2 2 2 2 2" xfId="18951" xr:uid="{C0359253-CA17-404F-8D38-1BF915630EB7}"/>
    <cellStyle name="Normal 3 16 2 2 2 3" xfId="16404" xr:uid="{8D5D5215-22B2-46CD-8DFC-7AB7CD0C87DB}"/>
    <cellStyle name="Normal 3 16 2 2 2 4" xfId="15221" xr:uid="{68EF43FE-360E-4AAF-9021-34F96A43739F}"/>
    <cellStyle name="Normal 3 16 2 2 3" xfId="6747" xr:uid="{0BA4671F-2460-402E-8539-BB981E982EA2}"/>
    <cellStyle name="Normal 3 16 2 2 3 2" xfId="9347" xr:uid="{F71D785D-1B64-43CB-BC66-7761CEEE0DAC}"/>
    <cellStyle name="Normal 3 16 2 2 3 2 2" xfId="19399" xr:uid="{F6389331-FC88-46DA-A9A9-29E35808A71A}"/>
    <cellStyle name="Normal 3 16 2 2 3 3" xfId="16850" xr:uid="{D98867AE-F4DC-42BB-897A-D39ACCC807E9}"/>
    <cellStyle name="Normal 3 16 2 2 3 4" xfId="15785" xr:uid="{CE333BA2-C128-401F-9555-C9E5AD0E5A53}"/>
    <cellStyle name="Normal 3 16 2 2 4" xfId="6748" xr:uid="{30C7665F-6443-44EB-A81E-394E55759DB8}"/>
    <cellStyle name="Normal 3 16 2 2 4 2" xfId="17450" xr:uid="{D0DB0B99-A38E-475E-ADAC-06CB10A6740E}"/>
    <cellStyle name="Normal 3 16 2 2 4 3" xfId="14740" xr:uid="{35E8362B-8017-47A4-9752-CB8D9D7F0276}"/>
    <cellStyle name="Normal 3 16 2 2 5" xfId="6749" xr:uid="{5FD623DA-821F-47FD-A22C-4A43A1356CAA}"/>
    <cellStyle name="Normal 3 16 2 2 5 2" xfId="18061" xr:uid="{6C81CEB5-0A18-4C7E-AD7E-E7299A686777}"/>
    <cellStyle name="Normal 3 16 2 2 5 3" xfId="14380" xr:uid="{DEFB41D8-6215-4CD3-96A2-67C5CB8CE5D3}"/>
    <cellStyle name="Normal 3 16 2 2 6" xfId="8471" xr:uid="{3D4D82CE-8F2C-473A-ABB7-5AE24AF4E939}"/>
    <cellStyle name="Normal 3 16 2 2 6 2" xfId="18523" xr:uid="{6A77DDAB-9051-4ADA-9B61-75FC80E3BDCA}"/>
    <cellStyle name="Normal 3 16 2 2 7" xfId="9936" xr:uid="{92F97BBC-E001-4C3D-9843-5909C0C38A94}"/>
    <cellStyle name="Normal 3 16 2 2 8" xfId="10514" xr:uid="{A66D79FB-E149-479B-A7DC-32BE57862571}"/>
    <cellStyle name="Normal 3 16 2 2 9" xfId="16006" xr:uid="{39EA19D9-127C-4FF9-A5F5-037912B08F1B}"/>
    <cellStyle name="Normal 3 16 2 3" xfId="4467" xr:uid="{A7A2E40F-CEDF-4DA7-BCE6-A83D9DFC3D17}"/>
    <cellStyle name="Normal 3 16 2 3 2" xfId="6750" xr:uid="{536A1F53-7156-4B06-A214-231B1172ADE8}"/>
    <cellStyle name="Normal 3 16 2 3 2 2" xfId="8900" xr:uid="{697ABEAF-2472-467B-A0C3-A82A91134626}"/>
    <cellStyle name="Normal 3 16 2 3 2 2 2" xfId="18952" xr:uid="{96243BD9-2F5B-4B38-916B-394819817015}"/>
    <cellStyle name="Normal 3 16 2 3 2 3" xfId="16405" xr:uid="{D5CA70FC-FCB7-42C1-BEBF-6A44F7F95760}"/>
    <cellStyle name="Normal 3 16 2 3 2 4" xfId="15220" xr:uid="{F7A981A9-3F27-4384-B7C4-493983EEC4A4}"/>
    <cellStyle name="Normal 3 16 2 3 3" xfId="6751" xr:uid="{9582991A-7479-449F-B78B-EFA5EEDEA37A}"/>
    <cellStyle name="Normal 3 16 2 3 3 2" xfId="9348" xr:uid="{D5AC99ED-BF16-4CBB-878C-76DDAB84CDDA}"/>
    <cellStyle name="Normal 3 16 2 3 3 2 2" xfId="19400" xr:uid="{DF914BA5-3B55-4ED2-A3A1-E056608A6427}"/>
    <cellStyle name="Normal 3 16 2 3 3 3" xfId="16851" xr:uid="{AD834743-A89B-4FF6-A34D-6F24EB3F8FC7}"/>
    <cellStyle name="Normal 3 16 2 3 3 4" xfId="16151" xr:uid="{D2FEA8D8-67DB-468C-A3BA-415D30D42C2A}"/>
    <cellStyle name="Normal 3 16 2 3 4" xfId="6752" xr:uid="{0A2BA61C-00E2-4392-8734-5087CEDE8DFA}"/>
    <cellStyle name="Normal 3 16 2 3 4 2" xfId="17451" xr:uid="{3FB2A2C0-6D8D-4439-8070-CC5E45084396}"/>
    <cellStyle name="Normal 3 16 2 3 4 3" xfId="14739" xr:uid="{CDB30E3E-B6CB-4D6A-82CC-438CF5066E0A}"/>
    <cellStyle name="Normal 3 16 2 3 5" xfId="6753" xr:uid="{2978E53D-3323-4A00-A1AF-5A9FBAA16DAA}"/>
    <cellStyle name="Normal 3 16 2 3 5 2" xfId="18062" xr:uid="{B1DD8986-61B8-4114-B0F1-C368504C87B0}"/>
    <cellStyle name="Normal 3 16 2 3 5 3" xfId="14379" xr:uid="{835EC85F-9E74-41BE-A6BE-500BD44FD7A6}"/>
    <cellStyle name="Normal 3 16 2 3 6" xfId="8472" xr:uid="{2BCAA30C-9169-4BB1-9D75-B45325C95933}"/>
    <cellStyle name="Normal 3 16 2 3 6 2" xfId="18524" xr:uid="{ED152121-D452-493F-B3D1-82F2F5DFC306}"/>
    <cellStyle name="Normal 3 16 2 3 7" xfId="9937" xr:uid="{3E064FCD-EEEE-40D5-AA6C-00A9D2DD2B47}"/>
    <cellStyle name="Normal 3 16 2 3 8" xfId="10515" xr:uid="{9A80458F-194E-4F42-B144-82BFCADD5071}"/>
    <cellStyle name="Normal 3 16 2 3 9" xfId="16005" xr:uid="{421FCDC0-1AE0-433F-B67D-0A73D340326A}"/>
    <cellStyle name="Normal 3 16 2 4" xfId="6754" xr:uid="{F651847B-626F-4EA5-9ED0-F635727B4FED}"/>
    <cellStyle name="Normal 3 16 2 4 2" xfId="6755" xr:uid="{43BFCC60-31C3-4E9B-A8E9-876F854D1D63}"/>
    <cellStyle name="Normal 3 16 2 4 2 2" xfId="17278" xr:uid="{D13CF8B9-0A66-4412-AC75-BA3D40DDF207}"/>
    <cellStyle name="Normal 3 16 2 4 3" xfId="6756" xr:uid="{C5920FF3-7009-4C01-AB4A-E3FB7BAADC35}"/>
    <cellStyle name="Normal 3 16 2 4 3 2" xfId="17892" xr:uid="{99548C47-7D89-4E91-8035-114DBE5ACDAA}"/>
    <cellStyle name="Normal 3 16 2 4 4" xfId="8721" xr:uid="{943673F5-D071-402C-A18C-FB241EB42B25}"/>
    <cellStyle name="Normal 3 16 2 4 4 2" xfId="18773" xr:uid="{71FA983A-4930-4F1B-B0E1-2120F201D8A0}"/>
    <cellStyle name="Normal 3 16 2 4 5" xfId="9768" xr:uid="{BE7F0CF9-084C-481F-8327-F5FD9D6E88A3}"/>
    <cellStyle name="Normal 3 16 2 4 6" xfId="10516" xr:uid="{4165BAB3-05A5-47C4-83FE-BD3546611FBC}"/>
    <cellStyle name="Normal 3 16 2 4 7" xfId="15382" xr:uid="{7B40E7A8-CC92-4806-B062-B4ACBA75BFF5}"/>
    <cellStyle name="Normal 3 16 2 5" xfId="6757" xr:uid="{A218FAFC-74DD-4E92-863F-676969317254}"/>
    <cellStyle name="Normal 3 16 2 5 2" xfId="9169" xr:uid="{DCEEB115-1B48-4BCA-B293-89AF0D5F5363}"/>
    <cellStyle name="Normal 3 16 2 5 2 2" xfId="19221" xr:uid="{601AB304-310C-435B-B657-8BE5FAB52923}"/>
    <cellStyle name="Normal 3 16 2 5 3" xfId="16672" xr:uid="{26F7FBC3-9B88-492F-ADE5-725847B8BEC7}"/>
    <cellStyle name="Normal 3 16 2 5 4" xfId="14978" xr:uid="{E11D7E9D-5BD0-4ED9-A6AD-FD3F24A9BA35}"/>
    <cellStyle name="Normal 3 16 2 6" xfId="6758" xr:uid="{100FE28B-6C69-4E3D-94D8-E35606713F08}"/>
    <cellStyle name="Normal 3 16 2 6 2" xfId="17131" xr:uid="{15F44725-4749-4B57-AB1C-66B36DE67A9A}"/>
    <cellStyle name="Normal 3 16 2 6 3" xfId="15573" xr:uid="{97CB8751-6ABF-423C-995C-67397D26BAF9}"/>
    <cellStyle name="Normal 3 16 2 7" xfId="6759" xr:uid="{491EA544-93A6-47CB-9418-DFC9B5B195F2}"/>
    <cellStyle name="Normal 3 16 2 7 2" xfId="17741" xr:uid="{96F7A2BB-054B-4BA4-9BC3-F79336C854DF}"/>
    <cellStyle name="Normal 3 16 2 7 3" xfId="14522" xr:uid="{F47AC6BA-99FA-4749-B3F9-6CBC79C4CABC}"/>
    <cellStyle name="Normal 3 16 2 8" xfId="8293" xr:uid="{4707C148-A9E2-4368-A4B2-F23AA8773228}"/>
    <cellStyle name="Normal 3 16 2 8 2" xfId="18345" xr:uid="{81BE8A47-F1E6-4611-8F86-CB5AF4778884}"/>
    <cellStyle name="Normal 3 16 2 9" xfId="9622" xr:uid="{61447D77-7283-4A2A-B41A-FD8CC4BA1D1D}"/>
    <cellStyle name="Normal 3 16 3" xfId="4468" xr:uid="{D71C93B0-9A83-4F97-9E93-50CF8083B461}"/>
    <cellStyle name="Normal 3 16 3 2" xfId="6760" xr:uid="{972BA3A2-8783-407C-A129-E9F52383B9FC}"/>
    <cellStyle name="Normal 3 16 3 2 2" xfId="8901" xr:uid="{311FC490-9D5B-49A1-8428-C89FEC1A187F}"/>
    <cellStyle name="Normal 3 16 3 2 2 2" xfId="18953" xr:uid="{191FA10B-9C53-473B-AAE0-6A3181052505}"/>
    <cellStyle name="Normal 3 16 3 2 3" xfId="16406" xr:uid="{0BA6DA09-FB6F-4972-AD27-3949359CAE76}"/>
    <cellStyle name="Normal 3 16 3 2 4" xfId="15219" xr:uid="{1D2FBEB8-1B94-4551-AE70-4BAB368FBD1E}"/>
    <cellStyle name="Normal 3 16 3 3" xfId="6761" xr:uid="{0B3F8E13-24EE-4496-942A-0820A18BA5DC}"/>
    <cellStyle name="Normal 3 16 3 3 2" xfId="9349" xr:uid="{650434D8-4030-428A-B1C3-0AB1597F3DB2}"/>
    <cellStyle name="Normal 3 16 3 3 2 2" xfId="19401" xr:uid="{E78684FA-C880-4D35-8F69-AD3BA05760A0}"/>
    <cellStyle name="Normal 3 16 3 3 3" xfId="16852" xr:uid="{D42E0A22-3EC4-4C49-9F88-FE6323C47ED8}"/>
    <cellStyle name="Normal 3 16 3 3 4" xfId="15784" xr:uid="{85BEE6F8-2B82-4FA3-8A6B-FBB1CE3EE3B1}"/>
    <cellStyle name="Normal 3 16 3 4" xfId="6762" xr:uid="{D22AC6D7-6212-469E-A4E3-C24BB08720E5}"/>
    <cellStyle name="Normal 3 16 3 4 2" xfId="17452" xr:uid="{B9C72FD5-E623-422B-A335-73D952ACE3EF}"/>
    <cellStyle name="Normal 3 16 3 4 3" xfId="14738" xr:uid="{1CFD905D-76C1-4B51-86E9-33A087AA271A}"/>
    <cellStyle name="Normal 3 16 3 5" xfId="6763" xr:uid="{BACEA084-4C1F-4536-BF9A-B64D766DB849}"/>
    <cellStyle name="Normal 3 16 3 5 2" xfId="18063" xr:uid="{99F1EDFB-EB2F-45B3-9471-B4252B75B944}"/>
    <cellStyle name="Normal 3 16 3 5 3" xfId="14378" xr:uid="{61B0989E-0AB7-4CDA-8EAA-D8F57E81726B}"/>
    <cellStyle name="Normal 3 16 3 6" xfId="8473" xr:uid="{091C8D94-0C3C-47AA-8A4A-45E1DCA0C6C6}"/>
    <cellStyle name="Normal 3 16 3 6 2" xfId="18525" xr:uid="{F02E08DF-FFB3-4174-83DF-C3E26A1AC1F7}"/>
    <cellStyle name="Normal 3 16 3 7" xfId="9938" xr:uid="{416CC955-65C9-448B-A097-64914157D380}"/>
    <cellStyle name="Normal 3 16 3 8" xfId="10517" xr:uid="{360B3001-6F64-4279-BB4C-FB47F8A789C3}"/>
    <cellStyle name="Normal 3 16 3 9" xfId="16004" xr:uid="{B11A98A0-0515-4D2F-A5FA-5D4A8ACC3A45}"/>
    <cellStyle name="Normal 3 16 4" xfId="4469" xr:uid="{43D8231B-661A-4310-A088-1432D473579B}"/>
    <cellStyle name="Normal 3 16 4 2" xfId="6764" xr:uid="{78BBECF8-C998-427F-836E-9F6D2A85F3A4}"/>
    <cellStyle name="Normal 3 16 4 2 2" xfId="8902" xr:uid="{30D301AE-975B-4027-8E9C-21D0364690C1}"/>
    <cellStyle name="Normal 3 16 4 2 2 2" xfId="18954" xr:uid="{8516D2CA-0911-4F0D-80E0-EAE59BB9A651}"/>
    <cellStyle name="Normal 3 16 4 2 3" xfId="16407" xr:uid="{A5C2CE94-6951-46C2-AE87-041C77A64B01}"/>
    <cellStyle name="Normal 3 16 4 2 4" xfId="15218" xr:uid="{B7167984-B5AE-490B-8E52-6F2F3BAF460B}"/>
    <cellStyle name="Normal 3 16 4 3" xfId="6765" xr:uid="{1CAE184D-0CAD-4980-8F41-C99D375326D3}"/>
    <cellStyle name="Normal 3 16 4 3 2" xfId="9350" xr:uid="{7D60A294-B121-4A83-B0F9-2754EE6DBBC3}"/>
    <cellStyle name="Normal 3 16 4 3 2 2" xfId="19402" xr:uid="{0E8A878E-57FA-4D41-AB25-E9DF93748D44}"/>
    <cellStyle name="Normal 3 16 4 3 3" xfId="16853" xr:uid="{79A61606-24D7-4D05-8D7D-512B04B52E9F}"/>
    <cellStyle name="Normal 3 16 4 3 4" xfId="15783" xr:uid="{14704A0F-11F4-4582-9ED0-BD1B285DF723}"/>
    <cellStyle name="Normal 3 16 4 4" xfId="6766" xr:uid="{1BB760AF-1F63-4652-8F56-0769B298994A}"/>
    <cellStyle name="Normal 3 16 4 4 2" xfId="17453" xr:uid="{A27EB8C8-B5FB-44E8-A74A-C1A72125E8ED}"/>
    <cellStyle name="Normal 3 16 4 4 3" xfId="14737" xr:uid="{DA19BDC2-90DE-4787-8AD3-53CB90D94102}"/>
    <cellStyle name="Normal 3 16 4 5" xfId="6767" xr:uid="{F763B9D8-7923-400E-8DDB-98FACD4E586E}"/>
    <cellStyle name="Normal 3 16 4 5 2" xfId="18064" xr:uid="{8D56982E-0096-4BDB-80C5-48B51338A919}"/>
    <cellStyle name="Normal 3 16 4 5 3" xfId="14377" xr:uid="{A0446F18-DE78-43D5-8A70-7C490285A24F}"/>
    <cellStyle name="Normal 3 16 4 6" xfId="8474" xr:uid="{9C055026-FF24-4980-B989-AD25E3A991FF}"/>
    <cellStyle name="Normal 3 16 4 6 2" xfId="18526" xr:uid="{196FB24D-8082-4D91-84DF-9B1F84249067}"/>
    <cellStyle name="Normal 3 16 4 7" xfId="9939" xr:uid="{8B98424C-3B9A-4188-81C2-E0176886599E}"/>
    <cellStyle name="Normal 3 16 4 8" xfId="10518" xr:uid="{ED446851-51DC-4404-B025-24A19DAD84D0}"/>
    <cellStyle name="Normal 3 16 4 9" xfId="16003" xr:uid="{E5F5CF21-05FC-4B31-92A9-263F989B91F3}"/>
    <cellStyle name="Normal 3 16 5" xfId="6768" xr:uid="{EBFDD96B-779D-4DB7-A014-28686DB0E42E}"/>
    <cellStyle name="Normal 3 16 5 2" xfId="6769" xr:uid="{8DFCB8D6-97F1-4F61-964A-E37B4BBA72DF}"/>
    <cellStyle name="Normal 3 16 5 2 2" xfId="17277" xr:uid="{A7C53E54-561A-4465-B5C5-C6E5E972281F}"/>
    <cellStyle name="Normal 3 16 5 3" xfId="6770" xr:uid="{48F2E9DA-557D-49A0-8F81-523CF3838D5D}"/>
    <cellStyle name="Normal 3 16 5 3 2" xfId="17891" xr:uid="{25E890C3-205F-4681-A9AD-B12252C33841}"/>
    <cellStyle name="Normal 3 16 5 4" xfId="8720" xr:uid="{DFBD513C-CFE7-41CE-B311-C9D24A62587E}"/>
    <cellStyle name="Normal 3 16 5 4 2" xfId="18772" xr:uid="{5AC04FED-D7A8-4E55-9E02-0AD5ADA10920}"/>
    <cellStyle name="Normal 3 16 5 5" xfId="9767" xr:uid="{C0D60295-A6A8-4B8E-BB58-2C087544505B}"/>
    <cellStyle name="Normal 3 16 5 6" xfId="10519" xr:uid="{0EB18023-EE28-42CD-A7F1-AD64D671F39E}"/>
    <cellStyle name="Normal 3 16 5 7" xfId="15383" xr:uid="{9D2E1CAB-ED8E-4A02-8863-2C30A4C40364}"/>
    <cellStyle name="Normal 3 16 6" xfId="6771" xr:uid="{317F56A6-B3A1-427E-BC31-68EEC2FF7618}"/>
    <cellStyle name="Normal 3 16 6 2" xfId="9168" xr:uid="{72327623-2E5C-4973-AA5B-1B796D0F9D32}"/>
    <cellStyle name="Normal 3 16 6 2 2" xfId="19220" xr:uid="{DF5CB1AA-9CF9-4D81-B927-0C35A55D57FB}"/>
    <cellStyle name="Normal 3 16 6 3" xfId="16671" xr:uid="{58A14645-A5C8-44B1-BA56-B4D13C66C115}"/>
    <cellStyle name="Normal 3 16 6 4" xfId="14979" xr:uid="{51B6273C-050D-41C4-9A77-586491CE8AE9}"/>
    <cellStyle name="Normal 3 16 7" xfId="6772" xr:uid="{20648730-FA1E-4949-B707-8CF1A6C498C0}"/>
    <cellStyle name="Normal 3 16 7 2" xfId="17130" xr:uid="{AE714724-9890-41F1-A77F-5F0162B65913}"/>
    <cellStyle name="Normal 3 16 7 3" xfId="15574" xr:uid="{5E972977-1251-455C-9C96-4FCBD625B3E4}"/>
    <cellStyle name="Normal 3 16 8" xfId="6773" xr:uid="{5DBEC1C7-580D-4A3A-91CF-A1FA771250E8}"/>
    <cellStyle name="Normal 3 16 8 2" xfId="17740" xr:uid="{DB5159B5-7CD1-46B8-A44D-66DDA851863E}"/>
    <cellStyle name="Normal 3 16 8 3" xfId="14523" xr:uid="{46ABF2F9-B5FE-4F3E-82DC-EF67FB41EEDF}"/>
    <cellStyle name="Normal 3 16 9" xfId="8292" xr:uid="{C6161D48-1464-4D17-9D5A-820F4CA300BF}"/>
    <cellStyle name="Normal 3 16 9 2" xfId="18344" xr:uid="{EE5810BF-70EF-4714-8352-AFB95BC68B15}"/>
    <cellStyle name="Normal 3 17" xfId="2806" xr:uid="{13B1B301-3A11-42AF-98FA-B7C4F58A60D4}"/>
    <cellStyle name="Normal 3 17 10" xfId="9623" xr:uid="{A31E15F8-6180-4901-8B35-0DD8463D9363}"/>
    <cellStyle name="Normal 3 17 11" xfId="10277" xr:uid="{A2864B16-B257-4C12-BB97-8460D59C7266}"/>
    <cellStyle name="Normal 3 17 12" xfId="11053" xr:uid="{1180E3D6-254B-4C77-894F-9F4DBD142237}"/>
    <cellStyle name="Normal 3 17 12 2" xfId="16166" xr:uid="{4E68A0CF-2855-49E2-81C8-D1A6FCB7D8EE}"/>
    <cellStyle name="Normal 3 17 12 3" xfId="20504" xr:uid="{1B4174F9-0A08-423D-BF5B-30A0F9860208}"/>
    <cellStyle name="Normal 3 17 2" xfId="2807" xr:uid="{8DA6AB6A-5773-440E-BFAF-96906F2457AF}"/>
    <cellStyle name="Normal 3 17 2 10" xfId="10278" xr:uid="{3C7A59D4-5BD6-441C-8B1A-EFB817BE40B0}"/>
    <cellStyle name="Normal 3 17 2 11" xfId="15441" xr:uid="{5684A436-A8C1-4049-8B4E-082DE6D9B760}"/>
    <cellStyle name="Normal 3 17 2 2" xfId="4470" xr:uid="{FE7C87B5-1256-438F-830C-1B97F2FDEDAD}"/>
    <cellStyle name="Normal 3 17 2 2 2" xfId="6774" xr:uid="{764E8707-E99E-4D06-A324-F135DD2191A2}"/>
    <cellStyle name="Normal 3 17 2 2 2 2" xfId="8903" xr:uid="{EF364239-A810-4DD9-997C-77EC260C9B34}"/>
    <cellStyle name="Normal 3 17 2 2 2 2 2" xfId="18955" xr:uid="{04CFD710-1F4C-47F6-86BE-EFD4F2CEF592}"/>
    <cellStyle name="Normal 3 17 2 2 2 3" xfId="16408" xr:uid="{6D1A9F82-6DEA-40C5-9535-46F82AD65CA4}"/>
    <cellStyle name="Normal 3 17 2 2 2 4" xfId="14156" xr:uid="{5572077A-45D4-4B89-9F1F-2823D54463CB}"/>
    <cellStyle name="Normal 3 17 2 2 3" xfId="6775" xr:uid="{3A7A3872-D5CF-4A9D-BCE7-3FC99631305D}"/>
    <cellStyle name="Normal 3 17 2 2 3 2" xfId="9351" xr:uid="{8542F41B-BAF3-41F6-BBAF-28266669D246}"/>
    <cellStyle name="Normal 3 17 2 2 3 2 2" xfId="19403" xr:uid="{FD013A58-BF06-4C07-B0AA-6CB3D74F87B6}"/>
    <cellStyle name="Normal 3 17 2 2 3 3" xfId="16854" xr:uid="{683DA35C-73B8-47FA-AB79-37C3EF482784}"/>
    <cellStyle name="Normal 3 17 2 2 3 4" xfId="15782" xr:uid="{9643668D-1AC5-4777-9424-AD8E74CFE105}"/>
    <cellStyle name="Normal 3 17 2 2 4" xfId="6776" xr:uid="{6907321C-0E58-440A-A4AE-62EE1195A974}"/>
    <cellStyle name="Normal 3 17 2 2 4 2" xfId="17454" xr:uid="{E9429281-DC4A-4257-8000-C11078D9ADDD}"/>
    <cellStyle name="Normal 3 17 2 2 4 3" xfId="14736" xr:uid="{5107AE65-81D7-4042-AD7B-361BE01C6F29}"/>
    <cellStyle name="Normal 3 17 2 2 5" xfId="6777" xr:uid="{AB7E348C-1749-44D3-9325-BA0D304C8E3F}"/>
    <cellStyle name="Normal 3 17 2 2 5 2" xfId="18065" xr:uid="{AB2796CC-6E32-4BEA-BC8D-F3C97CCC0D59}"/>
    <cellStyle name="Normal 3 17 2 2 5 3" xfId="14376" xr:uid="{B832D3A1-0E96-4E31-B6CC-DDADADFC79A9}"/>
    <cellStyle name="Normal 3 17 2 2 6" xfId="8475" xr:uid="{BF26EB36-13CF-4D65-B58F-AC18BE781EA1}"/>
    <cellStyle name="Normal 3 17 2 2 6 2" xfId="18527" xr:uid="{EA172753-2D55-470A-963D-614619E41C67}"/>
    <cellStyle name="Normal 3 17 2 2 7" xfId="9940" xr:uid="{E4D61837-B655-4B9C-A85E-D94219A7E7FA}"/>
    <cellStyle name="Normal 3 17 2 2 8" xfId="10520" xr:uid="{3F64742C-EB4B-48F5-94FD-346DB7563627}"/>
    <cellStyle name="Normal 3 17 2 2 9" xfId="16002" xr:uid="{2F31502D-2AFD-4CAE-A978-AD7F33EBDC86}"/>
    <cellStyle name="Normal 3 17 2 3" xfId="4471" xr:uid="{0498F312-2C96-4E12-95CE-3CF8718A34CF}"/>
    <cellStyle name="Normal 3 17 2 3 2" xfId="6778" xr:uid="{75FF1B23-ADB5-45A7-BABD-FA1263560E63}"/>
    <cellStyle name="Normal 3 17 2 3 2 2" xfId="8904" xr:uid="{B439685D-6289-466D-A0C9-B1D01D099550}"/>
    <cellStyle name="Normal 3 17 2 3 2 2 2" xfId="18956" xr:uid="{BE9C33A3-7360-4CEE-8EB5-8B09901BA487}"/>
    <cellStyle name="Normal 3 17 2 3 2 3" xfId="16409" xr:uid="{FF193FCC-082B-4614-A1CE-65179279A765}"/>
    <cellStyle name="Normal 3 17 2 3 2 4" xfId="15217" xr:uid="{650F7618-D6CD-43ED-92AA-793CE46D700A}"/>
    <cellStyle name="Normal 3 17 2 3 3" xfId="6779" xr:uid="{3F2446C5-CA68-4528-BD56-6D6A06AB1F30}"/>
    <cellStyle name="Normal 3 17 2 3 3 2" xfId="9352" xr:uid="{DB79A1B7-636D-47C6-894C-31B0B4C6FEA1}"/>
    <cellStyle name="Normal 3 17 2 3 3 2 2" xfId="19404" xr:uid="{66C1DC9B-57AF-44B8-A496-7833E9617157}"/>
    <cellStyle name="Normal 3 17 2 3 3 3" xfId="16855" xr:uid="{A2221A97-D2BC-442C-AF28-56CBA90C8F32}"/>
    <cellStyle name="Normal 3 17 2 3 3 4" xfId="15781" xr:uid="{B9BFC822-5D4D-40E6-BDAA-5A929CBD03B1}"/>
    <cellStyle name="Normal 3 17 2 3 4" xfId="6780" xr:uid="{77CD3ACB-BC1F-4656-817C-6E1A5C503FEA}"/>
    <cellStyle name="Normal 3 17 2 3 4 2" xfId="17455" xr:uid="{C8BB55C6-068D-4088-9279-DA6A94DE9B7B}"/>
    <cellStyle name="Normal 3 17 2 3 4 3" xfId="14735" xr:uid="{0275BD5C-D8B8-44A7-9D76-4626EA966104}"/>
    <cellStyle name="Normal 3 17 2 3 5" xfId="6781" xr:uid="{91A6199E-6396-4E0A-B815-74755F5B249F}"/>
    <cellStyle name="Normal 3 17 2 3 5 2" xfId="18066" xr:uid="{FB224B50-FA19-4E42-8391-A3F4BD0C0B8D}"/>
    <cellStyle name="Normal 3 17 2 3 5 3" xfId="14375" xr:uid="{98AF6F9C-2D4F-41F8-AAFB-7C6879F9BFBA}"/>
    <cellStyle name="Normal 3 17 2 3 6" xfId="8476" xr:uid="{75C8F7D9-05F1-444A-AB4D-D8A41062C06A}"/>
    <cellStyle name="Normal 3 17 2 3 6 2" xfId="18528" xr:uid="{EB35DD43-A4D9-4A03-AC69-EB5D31A035D6}"/>
    <cellStyle name="Normal 3 17 2 3 7" xfId="9941" xr:uid="{F5247C15-FA42-4793-983D-67B4119FAEB2}"/>
    <cellStyle name="Normal 3 17 2 3 8" xfId="10521" xr:uid="{308867E6-307B-4EC9-91C0-2C5CE37282CC}"/>
    <cellStyle name="Normal 3 17 2 3 9" xfId="16001" xr:uid="{2883494B-F60D-4D35-83D2-799433EEAD9B}"/>
    <cellStyle name="Normal 3 17 2 4" xfId="6782" xr:uid="{941C10E2-75E5-4144-B16A-B2E30A6C3C7D}"/>
    <cellStyle name="Normal 3 17 2 4 2" xfId="6783" xr:uid="{8998FF0D-7ACF-4BAB-9B5E-E1B850E7CD64}"/>
    <cellStyle name="Normal 3 17 2 4 2 2" xfId="17280" xr:uid="{A2EF57EB-6648-48B0-B492-62EFAB6D084C}"/>
    <cellStyle name="Normal 3 17 2 4 3" xfId="6784" xr:uid="{4061283C-6CD1-4268-80CF-F4F5BF45F04E}"/>
    <cellStyle name="Normal 3 17 2 4 3 2" xfId="17894" xr:uid="{4265F04B-EBAC-40F4-8CEE-E9C190E5BBE0}"/>
    <cellStyle name="Normal 3 17 2 4 4" xfId="8723" xr:uid="{05826663-5931-4C9B-BA37-FD5EE1FA3265}"/>
    <cellStyle name="Normal 3 17 2 4 4 2" xfId="18775" xr:uid="{3764E807-7D96-47D3-87C9-8E6D82CEB1EC}"/>
    <cellStyle name="Normal 3 17 2 4 5" xfId="9770" xr:uid="{D4E0E0B8-311E-456D-ADD1-9A0245259021}"/>
    <cellStyle name="Normal 3 17 2 4 6" xfId="10522" xr:uid="{B41DA1F0-5D30-4C93-9C1C-39BBE9965F3B}"/>
    <cellStyle name="Normal 3 17 2 4 7" xfId="15380" xr:uid="{E2CEFC98-0740-4245-81E5-3EF6D142B657}"/>
    <cellStyle name="Normal 3 17 2 5" xfId="6785" xr:uid="{6D1C4EF9-B4C1-4D2E-B81B-5D042AC36A2A}"/>
    <cellStyle name="Normal 3 17 2 5 2" xfId="9171" xr:uid="{2D192F79-CFCE-42DB-8364-5C6AAC77D249}"/>
    <cellStyle name="Normal 3 17 2 5 2 2" xfId="19223" xr:uid="{CADECE49-50D3-4863-B2DB-9EC547D38A9F}"/>
    <cellStyle name="Normal 3 17 2 5 3" xfId="16674" xr:uid="{553BE6BF-4366-4FBF-ABB2-4423136EBE14}"/>
    <cellStyle name="Normal 3 17 2 5 4" xfId="14976" xr:uid="{91E311C3-5D0B-487D-ABBD-E0E7D6D33275}"/>
    <cellStyle name="Normal 3 17 2 6" xfId="6786" xr:uid="{82B6B559-C6D2-4AB0-9DE1-2A284E90434B}"/>
    <cellStyle name="Normal 3 17 2 6 2" xfId="17133" xr:uid="{2E07AAD4-1E04-4A5D-AF6C-D71C90F4A24D}"/>
    <cellStyle name="Normal 3 17 2 6 3" xfId="14123" xr:uid="{A4E4426D-7F6D-4B59-878B-1D1BFF3F68B4}"/>
    <cellStyle name="Normal 3 17 2 7" xfId="6787" xr:uid="{E85C2376-5825-45E1-BE07-13311EEF4B87}"/>
    <cellStyle name="Normal 3 17 2 7 2" xfId="17743" xr:uid="{91D3043C-3252-4967-AB21-D3B553820447}"/>
    <cellStyle name="Normal 3 17 2 7 3" xfId="14521" xr:uid="{59141E4B-E775-44DB-87DC-8C91ED6A4196}"/>
    <cellStyle name="Normal 3 17 2 8" xfId="8295" xr:uid="{485E5989-B49F-4D47-9BC0-54CF259B127B}"/>
    <cellStyle name="Normal 3 17 2 8 2" xfId="18347" xr:uid="{4A956BB5-68D9-4767-A76D-AF9981DCEFBF}"/>
    <cellStyle name="Normal 3 17 2 9" xfId="9624" xr:uid="{C2D5B34F-9270-4B37-88EF-693354169122}"/>
    <cellStyle name="Normal 3 17 3" xfId="4472" xr:uid="{87A3C097-0D15-4EA5-B837-E5984CDD3DE1}"/>
    <cellStyle name="Normal 3 17 3 2" xfId="6788" xr:uid="{E4559EC4-D8AC-4028-A74B-6A43C22894AD}"/>
    <cellStyle name="Normal 3 17 3 2 2" xfId="8905" xr:uid="{EEECE371-03A2-4EAA-9297-102C052BAC50}"/>
    <cellStyle name="Normal 3 17 3 2 2 2" xfId="18957" xr:uid="{3B14CBE4-5E90-4D3D-A880-72900E15DE24}"/>
    <cellStyle name="Normal 3 17 3 2 3" xfId="16410" xr:uid="{79C8C077-7204-425B-9A68-E285719B84B0}"/>
    <cellStyle name="Normal 3 17 3 2 4" xfId="15216" xr:uid="{4E2C3C42-A147-427A-86E1-6A3528859B62}"/>
    <cellStyle name="Normal 3 17 3 3" xfId="6789" xr:uid="{11ABA522-74CB-4894-AAD3-32DFC99D452E}"/>
    <cellStyle name="Normal 3 17 3 3 2" xfId="9353" xr:uid="{38B81BD3-8E5D-4561-9D52-F5E5A294C3E6}"/>
    <cellStyle name="Normal 3 17 3 3 2 2" xfId="19405" xr:uid="{460372AD-610E-4839-8A57-8CB72B938BC2}"/>
    <cellStyle name="Normal 3 17 3 3 3" xfId="16856" xr:uid="{319F7926-0D09-4A17-8A3C-F42A78EEB429}"/>
    <cellStyle name="Normal 3 17 3 3 4" xfId="14127" xr:uid="{A11A01C6-E66D-4F55-8556-BFCA292DC117}"/>
    <cellStyle name="Normal 3 17 3 4" xfId="6790" xr:uid="{9DD74464-7065-4F55-B40F-ECDF534095FB}"/>
    <cellStyle name="Normal 3 17 3 4 2" xfId="17456" xr:uid="{E94AB210-8273-47EC-9E34-CA125DE8A51F}"/>
    <cellStyle name="Normal 3 17 3 4 3" xfId="14117" xr:uid="{762286B9-CAAE-4EE9-BF95-6D86F611D8F0}"/>
    <cellStyle name="Normal 3 17 3 5" xfId="6791" xr:uid="{A95744FD-A1CD-40DA-B639-FC5C409CBE7D}"/>
    <cellStyle name="Normal 3 17 3 5 2" xfId="18067" xr:uid="{0EC43D50-2BF4-4661-AF76-F1A75956392E}"/>
    <cellStyle name="Normal 3 17 3 5 3" xfId="14374" xr:uid="{8FAD7D8E-99CA-40E1-BE32-8300EA128354}"/>
    <cellStyle name="Normal 3 17 3 6" xfId="8477" xr:uid="{4C50E097-5914-4C05-8D4B-6D90803A6CCB}"/>
    <cellStyle name="Normal 3 17 3 6 2" xfId="18529" xr:uid="{BFF7771B-FEF2-4C20-A5DA-25DBBED499FF}"/>
    <cellStyle name="Normal 3 17 3 7" xfId="9942" xr:uid="{127B4438-4551-4E18-957B-A98F93D85BE9}"/>
    <cellStyle name="Normal 3 17 3 8" xfId="10523" xr:uid="{53C31D71-1CE4-461E-92C8-CE4DC21E4B13}"/>
    <cellStyle name="Normal 3 17 3 9" xfId="15418" xr:uid="{BFF12D42-6157-4E9A-8413-A0289488F0F3}"/>
    <cellStyle name="Normal 3 17 4" xfId="4473" xr:uid="{02C90412-3EE5-4089-9070-A81872C8FB78}"/>
    <cellStyle name="Normal 3 17 4 2" xfId="6792" xr:uid="{27836E4B-CD83-433D-B2E0-77B8C6CBFCD1}"/>
    <cellStyle name="Normal 3 17 4 2 2" xfId="8906" xr:uid="{F5D97F2A-AFAD-4E8B-831F-B215ED4AF43B}"/>
    <cellStyle name="Normal 3 17 4 2 2 2" xfId="18958" xr:uid="{B71D6BE0-CFF1-4075-94DF-8E180FFDCA08}"/>
    <cellStyle name="Normal 3 17 4 2 3" xfId="16411" xr:uid="{DE54F00E-58E7-4405-96AA-805C1BE6B079}"/>
    <cellStyle name="Normal 3 17 4 2 4" xfId="15215" xr:uid="{947EDD48-DF2A-4F70-B2DC-0295B473B867}"/>
    <cellStyle name="Normal 3 17 4 3" xfId="6793" xr:uid="{5FDEDFE8-A86C-4C6B-9F81-E73A6F346774}"/>
    <cellStyle name="Normal 3 17 4 3 2" xfId="9354" xr:uid="{2AA732C9-7AB8-4AD4-BB0E-9BB991E5AC9F}"/>
    <cellStyle name="Normal 3 17 4 3 2 2" xfId="19406" xr:uid="{4034CEAA-CCBD-44FC-835F-C49EAB4DFDB6}"/>
    <cellStyle name="Normal 3 17 4 3 3" xfId="16857" xr:uid="{17F6FED6-821E-43EF-B906-DD581CFC508E}"/>
    <cellStyle name="Normal 3 17 4 3 4" xfId="15780" xr:uid="{007C10AF-FDA1-483F-A0BD-CE980C2CE843}"/>
    <cellStyle name="Normal 3 17 4 4" xfId="6794" xr:uid="{4FB41599-3878-4A6F-9348-25CAF002E292}"/>
    <cellStyle name="Normal 3 17 4 4 2" xfId="17457" xr:uid="{2F93483B-E55C-4DEC-A9D6-EAE39DF96C0F}"/>
    <cellStyle name="Normal 3 17 4 4 3" xfId="14734" xr:uid="{5B206B0C-3B0A-496F-AD0C-3670338EFEF4}"/>
    <cellStyle name="Normal 3 17 4 5" xfId="6795" xr:uid="{1FAB7282-9833-487A-94E8-6FF6772E38C6}"/>
    <cellStyle name="Normal 3 17 4 5 2" xfId="18068" xr:uid="{D08BADB4-2DF8-4FF0-BC98-D17228E18FF7}"/>
    <cellStyle name="Normal 3 17 4 5 3" xfId="14373" xr:uid="{89A0D1FD-E35F-4230-8067-97FE82630D85}"/>
    <cellStyle name="Normal 3 17 4 6" xfId="8478" xr:uid="{A4E9F9FB-001B-44FD-8AE4-B599B82BDF13}"/>
    <cellStyle name="Normal 3 17 4 6 2" xfId="18530" xr:uid="{8E01C019-C25D-48F0-8712-54CE8529321A}"/>
    <cellStyle name="Normal 3 17 4 7" xfId="9943" xr:uid="{6FBE3A9E-DB06-4A9E-A1FB-0F70B67F1698}"/>
    <cellStyle name="Normal 3 17 4 8" xfId="10524" xr:uid="{214BE4D5-67DF-44BA-9DB8-689F4AF30309}"/>
    <cellStyle name="Normal 3 17 4 9" xfId="16000" xr:uid="{F1F66BDD-C8AB-4DFD-8A08-F4B41DADB5BD}"/>
    <cellStyle name="Normal 3 17 5" xfId="6796" xr:uid="{1893C795-8D97-44B5-8EB1-A733D4CD3534}"/>
    <cellStyle name="Normal 3 17 5 2" xfId="6797" xr:uid="{16FA76BD-53B4-4ABA-8F80-ED8123496554}"/>
    <cellStyle name="Normal 3 17 5 2 2" xfId="17279" xr:uid="{434BE5A0-0EC7-473C-B313-AEB2EE034C1E}"/>
    <cellStyle name="Normal 3 17 5 3" xfId="6798" xr:uid="{04156711-209D-4C39-B44C-DD02BF497F7E}"/>
    <cellStyle name="Normal 3 17 5 3 2" xfId="17893" xr:uid="{9C70B479-4A0A-490D-A417-BA7640B97552}"/>
    <cellStyle name="Normal 3 17 5 4" xfId="8722" xr:uid="{D155B02A-5415-4673-9B82-BA3D46A1E858}"/>
    <cellStyle name="Normal 3 17 5 4 2" xfId="18774" xr:uid="{836DEDDB-A3FE-4D20-A23E-2C94B31AAC14}"/>
    <cellStyle name="Normal 3 17 5 5" xfId="9769" xr:uid="{1A2E0C88-D590-4636-8D10-946531D29369}"/>
    <cellStyle name="Normal 3 17 5 6" xfId="10525" xr:uid="{0B86F948-54AF-4D35-B74B-50ADB4E0323C}"/>
    <cellStyle name="Normal 3 17 5 7" xfId="15381" xr:uid="{6C27A8CA-DE4D-4E96-AAF2-3B1D074FA563}"/>
    <cellStyle name="Normal 3 17 6" xfId="6799" xr:uid="{2A9252C9-2DCF-4729-8190-85E71FE4234D}"/>
    <cellStyle name="Normal 3 17 6 2" xfId="9170" xr:uid="{7B4D5E58-F567-44B6-8E25-0CF8CEE30526}"/>
    <cellStyle name="Normal 3 17 6 2 2" xfId="19222" xr:uid="{8F0F8CBF-96D8-4CE5-8C0B-CD308BEC9FB6}"/>
    <cellStyle name="Normal 3 17 6 3" xfId="16673" xr:uid="{0CD14428-9270-44D3-8A84-52E5173C382A}"/>
    <cellStyle name="Normal 3 17 6 4" xfId="14977" xr:uid="{64EACCE8-0F7A-48A4-A2DF-C5757F21853F}"/>
    <cellStyle name="Normal 3 17 7" xfId="6800" xr:uid="{E1E3330D-EEEC-489B-BC6B-630247590734}"/>
    <cellStyle name="Normal 3 17 7 2" xfId="17132" xr:uid="{DFB7EE9C-F629-4855-A41A-E2989516A9A7}"/>
    <cellStyle name="Normal 3 17 7 3" xfId="15572" xr:uid="{BD7757DE-7190-41AB-9EBF-033EAB456A60}"/>
    <cellStyle name="Normal 3 17 8" xfId="6801" xr:uid="{CE4A6907-4B01-48AD-8D4D-6512509613EB}"/>
    <cellStyle name="Normal 3 17 8 2" xfId="17742" xr:uid="{73F6380B-7FFC-41B7-8B26-64B958C42AAA}"/>
    <cellStyle name="Normal 3 17 8 3" xfId="14101" xr:uid="{170EA072-8209-4428-A9AF-6ADA2EBF056E}"/>
    <cellStyle name="Normal 3 17 9" xfId="8294" xr:uid="{3AF68528-C704-4DB4-A15C-7241A5DDA0E8}"/>
    <cellStyle name="Normal 3 17 9 2" xfId="18346" xr:uid="{718FE8E8-C18B-46D5-9FAC-A57581C4AA92}"/>
    <cellStyle name="Normal 3 18" xfId="2808" xr:uid="{D2A1DCF5-3F58-4881-8E51-D1979961E944}"/>
    <cellStyle name="Normal 3 18 10" xfId="10279" xr:uid="{6645E64D-733C-44C6-B71B-2C63C5E4D9C6}"/>
    <cellStyle name="Normal 3 18 11" xfId="12495" xr:uid="{F87A6417-175F-49A2-9E0E-3D4899044FA3}"/>
    <cellStyle name="Normal 3 18 11 2" xfId="16165" xr:uid="{B9BF4FE1-ACC1-4592-8E5E-3D5467BFF514}"/>
    <cellStyle name="Normal 3 18 11 3" xfId="20698" xr:uid="{53E66C2B-58E0-4866-B75C-9BE0F9E4EDA2}"/>
    <cellStyle name="Normal 3 18 2" xfId="4474" xr:uid="{08075950-08D3-4357-8DBC-2F8162C1B539}"/>
    <cellStyle name="Normal 3 18 2 2" xfId="6802" xr:uid="{1B77E993-1BC4-40D1-9F94-A361D994E0F7}"/>
    <cellStyle name="Normal 3 18 2 2 2" xfId="8907" xr:uid="{07324CF3-3427-44EA-8BBF-F7BD48282EFA}"/>
    <cellStyle name="Normal 3 18 2 2 2 2" xfId="18959" xr:uid="{CB4C28E8-C920-43E5-BF8F-DB9349C5561E}"/>
    <cellStyle name="Normal 3 18 2 2 3" xfId="16412" xr:uid="{78BF959F-29C6-48D4-BB10-394A9CD77D71}"/>
    <cellStyle name="Normal 3 18 2 2 4" xfId="15214" xr:uid="{C877B628-5116-45E7-9126-3A735CD2147B}"/>
    <cellStyle name="Normal 3 18 2 3" xfId="6803" xr:uid="{257D8BB3-EB27-4770-A303-4F23492040D6}"/>
    <cellStyle name="Normal 3 18 2 3 2" xfId="9355" xr:uid="{3C670CBE-B036-4929-9A8D-C5AFA40E95D7}"/>
    <cellStyle name="Normal 3 18 2 3 2 2" xfId="19407" xr:uid="{5606D940-6521-4E0D-934A-370675BCE625}"/>
    <cellStyle name="Normal 3 18 2 3 3" xfId="16858" xr:uid="{860CE51C-B434-47CD-8470-5D9377496A7A}"/>
    <cellStyle name="Normal 3 18 2 3 4" xfId="14189" xr:uid="{DC4FB752-3494-4AC8-982E-6C7C9D7A8418}"/>
    <cellStyle name="Normal 3 18 2 4" xfId="6804" xr:uid="{477E8DB9-AF3D-49E1-9792-A1630A237BFD}"/>
    <cellStyle name="Normal 3 18 2 4 2" xfId="17458" xr:uid="{5E8AFD83-414D-469A-83AA-1BAF5B41D5D9}"/>
    <cellStyle name="Normal 3 18 2 4 3" xfId="14733" xr:uid="{1A2B18CC-6337-44EC-A8BC-BFFF7E460128}"/>
    <cellStyle name="Normal 3 18 2 5" xfId="6805" xr:uid="{11364519-5C5F-442F-A4B2-236219D44F6D}"/>
    <cellStyle name="Normal 3 18 2 5 2" xfId="18069" xr:uid="{4DA68B9E-13D8-44D5-9A4D-311D6E35968B}"/>
    <cellStyle name="Normal 3 18 2 5 3" xfId="14372" xr:uid="{B8142764-4E51-4CE7-92FD-A6B99FEB2334}"/>
    <cellStyle name="Normal 3 18 2 6" xfId="8479" xr:uid="{9733B0B6-8809-43A6-8BD1-DDFB43E92676}"/>
    <cellStyle name="Normal 3 18 2 6 2" xfId="18531" xr:uid="{32CFD614-9606-4E7E-B277-366A78B415AA}"/>
    <cellStyle name="Normal 3 18 2 7" xfId="9944" xr:uid="{A596A545-1389-41A3-865E-52362917D3EF}"/>
    <cellStyle name="Normal 3 18 2 8" xfId="10526" xr:uid="{FCA87C38-FBDE-4A19-A779-1389656D4CEB}"/>
    <cellStyle name="Normal 3 18 2 9" xfId="15999" xr:uid="{15B1D1FB-A2BC-462D-8FE8-C29464CE5248}"/>
    <cellStyle name="Normal 3 18 3" xfId="4475" xr:uid="{2436530B-07B3-43B8-B2D8-F22973F46D3B}"/>
    <cellStyle name="Normal 3 18 3 2" xfId="6806" xr:uid="{D90486C9-C1E6-45B7-BCC2-2A5D73C8DCBD}"/>
    <cellStyle name="Normal 3 18 3 2 2" xfId="8908" xr:uid="{5DD53B55-5691-4491-A8AA-453D768BD086}"/>
    <cellStyle name="Normal 3 18 3 2 2 2" xfId="18960" xr:uid="{5604B313-75BA-46DB-BE6A-B1680221A346}"/>
    <cellStyle name="Normal 3 18 3 2 3" xfId="16413" xr:uid="{C6575295-9348-4EE2-9389-E75876D0FC34}"/>
    <cellStyle name="Normal 3 18 3 2 4" xfId="15213" xr:uid="{7CA66564-97CE-4EFB-B1DB-F2E6B17238E5}"/>
    <cellStyle name="Normal 3 18 3 3" xfId="6807" xr:uid="{C4E1FD34-25A2-40B4-8F37-581F19A45E9B}"/>
    <cellStyle name="Normal 3 18 3 3 2" xfId="9356" xr:uid="{576C019F-D929-40C3-9127-E080707B2037}"/>
    <cellStyle name="Normal 3 18 3 3 2 2" xfId="19408" xr:uid="{9477F6D7-B488-42E4-A052-D0A264AAF3F3}"/>
    <cellStyle name="Normal 3 18 3 3 3" xfId="16859" xr:uid="{4966C20F-5CA1-4C57-87F8-0C337933B84F}"/>
    <cellStyle name="Normal 3 18 3 3 4" xfId="15779" xr:uid="{87C46594-BD1A-46B0-B945-A9A4400E276E}"/>
    <cellStyle name="Normal 3 18 3 4" xfId="6808" xr:uid="{EC32359B-7A4E-4E75-B8C6-EEA43DA13122}"/>
    <cellStyle name="Normal 3 18 3 4 2" xfId="17459" xr:uid="{22DEAB62-EC6C-4CBF-A7CD-0879F4294B13}"/>
    <cellStyle name="Normal 3 18 3 4 3" xfId="14732" xr:uid="{42245CDC-36BA-4FE2-83D8-026012D3EC64}"/>
    <cellStyle name="Normal 3 18 3 5" xfId="6809" xr:uid="{A01EEB89-47BD-41F7-9835-F9848BFC050D}"/>
    <cellStyle name="Normal 3 18 3 5 2" xfId="18070" xr:uid="{3828E258-15E4-4E92-B0F5-8354D536E537}"/>
    <cellStyle name="Normal 3 18 3 5 3" xfId="14371" xr:uid="{F7DB4E63-CF04-4146-B43F-0ECF1C48B9F3}"/>
    <cellStyle name="Normal 3 18 3 6" xfId="8480" xr:uid="{4E105330-ECDF-4B4C-9D89-C6D9EB28B91B}"/>
    <cellStyle name="Normal 3 18 3 6 2" xfId="18532" xr:uid="{9C149C5A-1C7F-4023-8F58-028119575E4F}"/>
    <cellStyle name="Normal 3 18 3 7" xfId="9945" xr:uid="{1C6FEB63-54FA-4064-B8DB-E161BA4C1DCC}"/>
    <cellStyle name="Normal 3 18 3 8" xfId="10527" xr:uid="{B1373524-5038-4C9A-9FEC-E22612D6A09A}"/>
    <cellStyle name="Normal 3 18 3 9" xfId="15998" xr:uid="{6C704EBC-B1D0-483E-B16D-4A28E3D72657}"/>
    <cellStyle name="Normal 3 18 4" xfId="6810" xr:uid="{28DA88BE-D64E-41B9-AE7B-EFC7F06455D9}"/>
    <cellStyle name="Normal 3 18 4 2" xfId="6811" xr:uid="{F510A1A6-F302-4404-B0D3-F999B281B2F4}"/>
    <cellStyle name="Normal 3 18 4 2 2" xfId="17281" xr:uid="{BAD5B88F-77EB-4D83-BE92-6B0FE85273E1}"/>
    <cellStyle name="Normal 3 18 4 3" xfId="6812" xr:uid="{50C474DC-AF12-414F-AFEE-198E3A6EC1F6}"/>
    <cellStyle name="Normal 3 18 4 3 2" xfId="17895" xr:uid="{B15ECB29-1919-4F46-857B-FAC0328A566A}"/>
    <cellStyle name="Normal 3 18 4 4" xfId="8724" xr:uid="{64102A93-3805-48FB-B4C2-183FE6E88DC3}"/>
    <cellStyle name="Normal 3 18 4 4 2" xfId="18776" xr:uid="{8D5B6C5D-D271-4462-8525-8FC056C4B2FA}"/>
    <cellStyle name="Normal 3 18 4 5" xfId="9771" xr:uid="{55FC0E91-54BE-4F61-947F-53165F57C712}"/>
    <cellStyle name="Normal 3 18 4 6" xfId="10528" xr:uid="{386D4B01-32CD-4D2F-80C4-AEB55383B6D2}"/>
    <cellStyle name="Normal 3 18 4 7" xfId="15379" xr:uid="{F242F7E5-D7E4-4F15-AA5E-C8C172B0CEA6}"/>
    <cellStyle name="Normal 3 18 5" xfId="6813" xr:uid="{ECF58ED0-5AF8-4004-8CC6-23E03E5C96AF}"/>
    <cellStyle name="Normal 3 18 5 2" xfId="9172" xr:uid="{94F8ECE3-3CD6-4F9C-8561-BA5B7F6D6822}"/>
    <cellStyle name="Normal 3 18 5 2 2" xfId="19224" xr:uid="{8D56B715-9B8F-493C-96AA-51673E122EFC}"/>
    <cellStyle name="Normal 3 18 5 3" xfId="16675" xr:uid="{1C09A0E9-061F-4DF0-A06A-4AE6AA393773}"/>
    <cellStyle name="Normal 3 18 5 4" xfId="14975" xr:uid="{B7502D1E-20DC-463E-9208-3B1081B3C994}"/>
    <cellStyle name="Normal 3 18 6" xfId="6814" xr:uid="{5D4CA88D-47B9-434F-80C1-C1B6BB42F6AD}"/>
    <cellStyle name="Normal 3 18 6 2" xfId="17134" xr:uid="{05F53029-9670-426B-84DD-A7F8E54E222B}"/>
    <cellStyle name="Normal 3 18 6 3" xfId="15571" xr:uid="{660505F0-0B87-41C4-A50A-CDEBEA9747B0}"/>
    <cellStyle name="Normal 3 18 7" xfId="6815" xr:uid="{EDF58F4B-6F16-49D7-AA49-26DC9C5942EE}"/>
    <cellStyle name="Normal 3 18 7 2" xfId="17744" xr:uid="{FB95F80D-E901-42C7-85BF-864A5D909E42}"/>
    <cellStyle name="Normal 3 18 7 3" xfId="14520" xr:uid="{7685079B-70CC-427F-AD68-1D3E7C3EFC60}"/>
    <cellStyle name="Normal 3 18 8" xfId="8296" xr:uid="{1C80CC2E-B26E-4349-B13B-5EA3EE121172}"/>
    <cellStyle name="Normal 3 18 8 2" xfId="18348" xr:uid="{4D3E95F8-AA57-4E06-81F4-A2C10B11863B}"/>
    <cellStyle name="Normal 3 18 9" xfId="9625" xr:uid="{3EC8D789-F2D3-4DD4-9982-14F3D105FE72}"/>
    <cellStyle name="Normal 3 19" xfId="412" xr:uid="{AE29D7B2-BDBD-4527-9346-5D1BE10F4B23}"/>
    <cellStyle name="Normal 3 19 2" xfId="19678" xr:uid="{AAE1A53A-6CFF-49B2-9F31-D5A3BB4D1AF2}"/>
    <cellStyle name="Normal 3 2" xfId="8" xr:uid="{885CD640-434C-4C7D-8D67-84EDEC1ECD40}"/>
    <cellStyle name="Normal 3 2 10" xfId="2809" xr:uid="{E19DC231-DDF9-45F9-B1AA-9BAF7AE6FF8E}"/>
    <cellStyle name="Normal 3 2 10 2" xfId="6816" xr:uid="{1DED5D1A-3440-4A5E-84DF-3D63F9BD0677}"/>
    <cellStyle name="Normal 3 2 10 2 2" xfId="8725" xr:uid="{B9DB1537-3885-4876-822E-D29B3D19B832}"/>
    <cellStyle name="Normal 3 2 10 2 2 2" xfId="18777" xr:uid="{C4557643-7ED8-42C1-9391-7800EF89E918}"/>
    <cellStyle name="Normal 3 2 10 2 3" xfId="16333" xr:uid="{38328EC0-708B-473B-9112-163A735E2361}"/>
    <cellStyle name="Normal 3 2 10 2 4" xfId="15378" xr:uid="{035F82DE-DCD5-44F2-9DBC-F3C50C685D21}"/>
    <cellStyle name="Normal 3 2 10 3" xfId="6817" xr:uid="{84FEEF2F-56FF-4083-B7E1-D03A6706B56A}"/>
    <cellStyle name="Normal 3 2 10 3 2" xfId="9173" xr:uid="{2B5285FE-A894-482D-BD7F-7E1B5F7A2937}"/>
    <cellStyle name="Normal 3 2 10 3 2 2" xfId="19225" xr:uid="{7337E9CD-8964-488B-9796-1C11C94FD6C0}"/>
    <cellStyle name="Normal 3 2 10 3 3" xfId="16676" xr:uid="{3D1F384F-404E-40C9-AE99-45086841972F}"/>
    <cellStyle name="Normal 3 2 10 3 4" xfId="14974" xr:uid="{6585BB9B-EA54-4C4B-931C-926EC01ADF1A}"/>
    <cellStyle name="Normal 3 2 10 4" xfId="6818" xr:uid="{55A9CD10-C5D7-4015-8845-10878B97E92B}"/>
    <cellStyle name="Normal 3 2 10 4 2" xfId="17460" xr:uid="{0AB6BB00-37BE-49EC-A308-DC0E8F4B1542}"/>
    <cellStyle name="Normal 3 2 10 4 3" xfId="14731" xr:uid="{C4DABA00-323A-4517-87C3-3F243CFE4FE8}"/>
    <cellStyle name="Normal 3 2 10 5" xfId="6819" xr:uid="{61FFFBDA-3405-47AD-A859-FE243DCE7A36}"/>
    <cellStyle name="Normal 3 2 10 5 2" xfId="18071" xr:uid="{CB6FF2B2-9676-40AF-A638-4CC2569F6F2B}"/>
    <cellStyle name="Normal 3 2 10 5 3" xfId="14079" xr:uid="{3640ECA3-31AD-4EC7-9606-23513C452836}"/>
    <cellStyle name="Normal 3 2 10 6" xfId="8297" xr:uid="{A9CA628D-9E94-4B1F-BAD6-D81F37DD8930}"/>
    <cellStyle name="Normal 3 2 10 6 2" xfId="18349" xr:uid="{636B11F9-5DDC-4317-A142-DF64EED45F36}"/>
    <cellStyle name="Normal 3 2 10 7" xfId="9946" xr:uid="{EE486076-50AF-4DE5-9AAB-3D9DC1B37E2A}"/>
    <cellStyle name="Normal 3 2 10 8" xfId="10529" xr:uid="{7816ABCE-BCBD-4B63-8A57-D4D2DB6E1B9E}"/>
    <cellStyle name="Normal 3 2 10 9" xfId="16164" xr:uid="{EE20B7FE-34F0-4F17-BD17-10566341106D}"/>
    <cellStyle name="Normal 3 2 11" xfId="4476" xr:uid="{9DB72C05-098F-4D5F-9927-7E71A0FDF7D5}"/>
    <cellStyle name="Normal 3 2 11 2" xfId="6820" xr:uid="{3829A134-1322-4C19-BC61-868218095A99}"/>
    <cellStyle name="Normal 3 2 11 2 2" xfId="8909" xr:uid="{DDA10474-0310-4E80-9725-0586199DEC93}"/>
    <cellStyle name="Normal 3 2 11 2 2 2" xfId="18961" xr:uid="{0DE6D4C0-6CBD-4F7F-B0F8-6FD51B0D4DD4}"/>
    <cellStyle name="Normal 3 2 11 2 3" xfId="16414" xr:uid="{59B5ACBB-10A1-4A39-BB0F-E9866E1BE8CB}"/>
    <cellStyle name="Normal 3 2 11 2 4" xfId="15212" xr:uid="{D3221B9E-50F8-45A8-8408-E511A2CD26D7}"/>
    <cellStyle name="Normal 3 2 11 3" xfId="6821" xr:uid="{F67F020B-8049-44C2-902E-9524BA4EB9A5}"/>
    <cellStyle name="Normal 3 2 11 3 2" xfId="9357" xr:uid="{4A95F5C1-C601-47B1-A535-7C9D98CAECC1}"/>
    <cellStyle name="Normal 3 2 11 3 2 2" xfId="19409" xr:uid="{A0BB2112-92F4-41FD-84D0-725DEBE35E4C}"/>
    <cellStyle name="Normal 3 2 11 3 3" xfId="16860" xr:uid="{3AED0190-FEFF-4D0B-BFA2-4DA1CA194BAC}"/>
    <cellStyle name="Normal 3 2 11 3 4" xfId="15778" xr:uid="{3CF2DF55-883D-4413-AD92-7726309CE313}"/>
    <cellStyle name="Normal 3 2 11 4" xfId="6822" xr:uid="{B0EAA751-EFB7-4C91-9167-51B61DB8569F}"/>
    <cellStyle name="Normal 3 2 11 4 2" xfId="17461" xr:uid="{97C9E55E-6D19-4928-887B-CB9C9A83AA9C}"/>
    <cellStyle name="Normal 3 2 11 4 3" xfId="14730" xr:uid="{7F66AFC6-F05E-4D64-B0C9-705866B9E470}"/>
    <cellStyle name="Normal 3 2 11 5" xfId="6823" xr:uid="{B4A7B607-B3F5-41FA-B40E-9776C430DEFD}"/>
    <cellStyle name="Normal 3 2 11 5 2" xfId="18072" xr:uid="{C8243CDF-21CF-4900-BDCC-D1491658AC8C}"/>
    <cellStyle name="Normal 3 2 11 5 3" xfId="14017" xr:uid="{2DDC3E37-DD84-4E2A-A9C9-598116DFAADE}"/>
    <cellStyle name="Normal 3 2 11 6" xfId="8481" xr:uid="{3C758678-F583-4C49-BA9D-A19C307C4B74}"/>
    <cellStyle name="Normal 3 2 11 6 2" xfId="18533" xr:uid="{8E3E2308-D457-470D-816B-4F663E14F53D}"/>
    <cellStyle name="Normal 3 2 11 7" xfId="9947" xr:uid="{9CCE9799-7EF5-4867-B00D-1DE66332FF58}"/>
    <cellStyle name="Normal 3 2 11 8" xfId="10530" xr:uid="{61BDD0E5-5A10-4D2B-B810-A5014EFA2A76}"/>
    <cellStyle name="Normal 3 2 11 9" xfId="15997" xr:uid="{36FB1295-00BE-4B27-98D0-D0F822C2DE09}"/>
    <cellStyle name="Normal 3 2 12" xfId="413" xr:uid="{6EF96B37-CDB7-4B49-BF5C-30692125D4D0}"/>
    <cellStyle name="Normal 3 2 12 2" xfId="6824" xr:uid="{3B85AB32-09BB-4769-838E-8C6BC9494CFB}"/>
    <cellStyle name="Normal 3 2 12 2 2" xfId="9131" xr:uid="{4AECCD82-B521-474C-B5CB-36AE9A782DC2}"/>
    <cellStyle name="Normal 3 2 12 2 2 2" xfId="19183" xr:uid="{58A1DB67-0556-46F1-9597-AD7E34B83220}"/>
    <cellStyle name="Normal 3 2 12 2 3" xfId="16634" xr:uid="{9F771E3E-129E-4B13-9150-F9111829D547}"/>
    <cellStyle name="Normal 3 2 12 2 4" xfId="15012" xr:uid="{5B26D4D8-C626-4EB6-A841-BD097862B650}"/>
    <cellStyle name="Normal 3 2 12 3" xfId="6825" xr:uid="{E021EAD9-D1E6-4FC4-ADE9-4A153D1FE708}"/>
    <cellStyle name="Normal 3 2 12 3 2" xfId="17282" xr:uid="{12949A89-FE37-4E49-9EF0-C4F4335AEE61}"/>
    <cellStyle name="Normal 3 2 12 3 3" xfId="15486" xr:uid="{00577743-0C6C-4163-A527-B416277E490C}"/>
    <cellStyle name="Normal 3 2 12 4" xfId="6826" xr:uid="{D3A2711D-7430-4CE6-9DB8-42B13DE622FE}"/>
    <cellStyle name="Normal 3 2 12 4 2" xfId="17896" xr:uid="{CA66C66B-8987-489E-89D4-164ECDDF3507}"/>
    <cellStyle name="Normal 3 2 12 4 3" xfId="14433" xr:uid="{0AE206BC-38F2-43C3-8FCC-77477EB1FC34}"/>
    <cellStyle name="Normal 3 2 12 5" xfId="8684" xr:uid="{8E9623EF-2D20-4E65-AF72-0EEBDABC6CF8}"/>
    <cellStyle name="Normal 3 2 12 5 2" xfId="18736" xr:uid="{A6E55458-5C5C-4F17-874C-8B5DC0DA1BF0}"/>
    <cellStyle name="Normal 3 2 12 6" xfId="9772" xr:uid="{B5C02810-8AED-40D9-A504-DEA8597848FE}"/>
    <cellStyle name="Normal 3 2 12 7" xfId="10531" xr:uid="{14475255-5FDD-49C7-8990-33A987EAA360}"/>
    <cellStyle name="Normal 3 2 12 8" xfId="15828" xr:uid="{E61E79BC-BAF5-4AB6-9453-905A7466D7BF}"/>
    <cellStyle name="Normal 3 2 13" xfId="6827" xr:uid="{08B03627-926F-4DF3-A361-5FF795377358}"/>
    <cellStyle name="Normal 3 2 13 2" xfId="9111" xr:uid="{DAEDFE04-E55D-4171-BECD-CB38D2D6B482}"/>
    <cellStyle name="Normal 3 2 13 2 2" xfId="19163" xr:uid="{493E0274-FC5E-4876-A347-756027D3516B}"/>
    <cellStyle name="Normal 3 2 13 3" xfId="16615" xr:uid="{B2572F5B-E592-4637-87BE-4E4A65404E3A}"/>
    <cellStyle name="Normal 3 2 13 4" xfId="15030" xr:uid="{AACEBB28-6E27-4DD5-B0D4-F94673B96263}"/>
    <cellStyle name="Normal 3 2 14" xfId="6828" xr:uid="{631B6C40-67C4-471E-A527-19285F6C8552}"/>
    <cellStyle name="Normal 3 2 14 2" xfId="17135" xr:uid="{53BC2C2D-1D29-4A85-8B2F-44F24EA6446C}"/>
    <cellStyle name="Normal 3 2 14 3" xfId="15570" xr:uid="{3FCA683F-1DC8-4E79-B042-6271CB202A89}"/>
    <cellStyle name="Normal 3 2 15" xfId="6829" xr:uid="{D0FD21EC-B54F-4436-8A71-4F8273E098AB}"/>
    <cellStyle name="Normal 3 2 15 2" xfId="17745" xr:uid="{D85588D1-96ED-44E1-86D7-3B9CFD06A206}"/>
    <cellStyle name="Normal 3 2 15 3" xfId="14519" xr:uid="{FEC3B687-EBDB-4163-B937-0BC7860AC25F}"/>
    <cellStyle name="Normal 3 2 16" xfId="8256" xr:uid="{A7E32B50-249B-4525-A86A-72EC6C51EB26}"/>
    <cellStyle name="Normal 3 2 16 2" xfId="18308" xr:uid="{0C412781-FCE9-4433-BBFA-91DDA9A799BE}"/>
    <cellStyle name="Normal 3 2 16 3" xfId="14208" xr:uid="{84437E1D-C03B-47AE-A81E-1D2FF23BB040}"/>
    <cellStyle name="Normal 3 2 17" xfId="9626" xr:uid="{A20B6CF8-7B39-40D1-A059-58011155655F}"/>
    <cellStyle name="Normal 3 2 18" xfId="10280" xr:uid="{A91D3F68-0970-4FB1-8052-DB81228BB1FD}"/>
    <cellStyle name="Normal 3 2 19" xfId="11407" xr:uid="{F2972105-3103-4DD4-ADED-0D622021C8AD}"/>
    <cellStyle name="Normal 3 2 19 2" xfId="16199" xr:uid="{9379FB71-3BC2-4C87-AF58-583F8313F204}"/>
    <cellStyle name="Normal 3 2 19 3" xfId="20565" xr:uid="{2C0E1C7D-0AD5-48D4-B3FC-2BDBBCE6FB28}"/>
    <cellStyle name="Normal 3 2 2" xfId="156" xr:uid="{DB26E741-842E-44D3-936B-AFABE1842A34}"/>
    <cellStyle name="Normal 3 2 2 10" xfId="9627" xr:uid="{C5BEEB31-2360-40DD-9A45-B1698D358544}"/>
    <cellStyle name="Normal 3 2 2 10 2" xfId="11729" xr:uid="{FB5C91B4-DADA-4A3D-8338-5BAD9564F3A3}"/>
    <cellStyle name="Normal 3 2 2 11" xfId="10281" xr:uid="{B4D7FCCA-5808-4279-85E8-C2B0B1C82A02}"/>
    <cellStyle name="Normal 3 2 2 11 2" xfId="12886" xr:uid="{C9D2156E-5862-4D69-B483-2356747D5AB9}"/>
    <cellStyle name="Normal 3 2 2 12" xfId="13952" xr:uid="{18CA2D73-C4AE-4E39-85E8-94B577D482D3}"/>
    <cellStyle name="Normal 3 2 2 12 2" xfId="16163" xr:uid="{DB09DA4E-C6FB-4C94-ABFB-B7CF159E7524}"/>
    <cellStyle name="Normal 3 2 2 12 3" xfId="20830" xr:uid="{051509CD-099B-4D87-8031-21F47DA6EE75}"/>
    <cellStyle name="Normal 3 2 2 13" xfId="12538" xr:uid="{F49E71AF-0C55-4059-AC61-0B59B23A8D8C}"/>
    <cellStyle name="Normal 3 2 2 14" xfId="11085" xr:uid="{D4FF2CDA-80BF-42AD-BFC0-7DE252178163}"/>
    <cellStyle name="Normal 3 2 2 15" xfId="12887" xr:uid="{A4F5B76D-7DF1-4CB9-B8B1-5DE8AA66D8B8}"/>
    <cellStyle name="Normal 3 2 2 16" xfId="12888" xr:uid="{DB3C7CCB-F949-41FC-8BB1-C809F83160F3}"/>
    <cellStyle name="Normal 3 2 2 17" xfId="11704" xr:uid="{D4023EDF-DEF7-4927-8EDB-27029F6B42A6}"/>
    <cellStyle name="Normal 3 2 2 18" xfId="11958" xr:uid="{CA3FAEEA-4F12-4867-A04F-57CF83310A90}"/>
    <cellStyle name="Normal 3 2 2 19" xfId="11673" xr:uid="{3B5C5774-2EC8-4DA2-B76C-CE6E1F3C3147}"/>
    <cellStyle name="Normal 3 2 2 2" xfId="2811" xr:uid="{87B9838E-A31F-4978-A798-9189D285D5D8}"/>
    <cellStyle name="Normal 3 2 2 2 10" xfId="10282" xr:uid="{839F0C19-E3BE-4C4F-BCDD-B9DAC6A2B9A8}"/>
    <cellStyle name="Normal 3 2 2 2 11" xfId="10927" xr:uid="{92FAABD0-4668-4055-AE40-BBC74745AC1C}"/>
    <cellStyle name="Normal 3 2 2 2 11 2" xfId="16162" xr:uid="{6BF5595D-BB71-44FA-A8D6-9C6E3DAD5188}"/>
    <cellStyle name="Normal 3 2 2 2 11 3" xfId="20487" xr:uid="{3AA830AE-F721-491B-B137-012E799F9F9C}"/>
    <cellStyle name="Normal 3 2 2 2 2" xfId="4477" xr:uid="{BB6E971A-409A-462F-B7D6-99DBD5F2A9B0}"/>
    <cellStyle name="Normal 3 2 2 2 2 2" xfId="6830" xr:uid="{12FB3E83-C7D6-4F68-8092-274927521B7C}"/>
    <cellStyle name="Normal 3 2 2 2 2 2 2" xfId="8910" xr:uid="{909512B4-3D3F-42D7-90C1-CB5285195EBA}"/>
    <cellStyle name="Normal 3 2 2 2 2 2 2 2" xfId="18962" xr:uid="{C272ED1E-940D-4416-A6C4-7BF099ED28EA}"/>
    <cellStyle name="Normal 3 2 2 2 2 2 3" xfId="16415" xr:uid="{5B78FF0D-95FC-417B-80C7-3EFB774CBE7C}"/>
    <cellStyle name="Normal 3 2 2 2 2 2 4" xfId="15211" xr:uid="{02DB0090-E14E-426C-BBA1-9FD18CBDBED8}"/>
    <cellStyle name="Normal 3 2 2 2 2 3" xfId="6831" xr:uid="{F1503B19-476D-4452-A9DF-2B1D5002F67C}"/>
    <cellStyle name="Normal 3 2 2 2 2 3 2" xfId="9358" xr:uid="{6AE0DD52-0ED2-4C24-B768-C925FE2C3A60}"/>
    <cellStyle name="Normal 3 2 2 2 2 3 2 2" xfId="19410" xr:uid="{F84446FA-B590-4763-B9B3-213E5DC1B0F5}"/>
    <cellStyle name="Normal 3 2 2 2 2 3 3" xfId="16861" xr:uid="{AC60B77E-3E4B-42F9-90B2-9F53177AA089}"/>
    <cellStyle name="Normal 3 2 2 2 2 3 4" xfId="15777" xr:uid="{CA9352B8-D214-451A-BF1A-4812C71DA0C6}"/>
    <cellStyle name="Normal 3 2 2 2 2 4" xfId="6832" xr:uid="{85CB6279-B79E-486B-A6D0-04EC5EC967C6}"/>
    <cellStyle name="Normal 3 2 2 2 2 4 2" xfId="17462" xr:uid="{DCFEF576-C29C-496C-9536-71CE22CF23D7}"/>
    <cellStyle name="Normal 3 2 2 2 2 4 3" xfId="14729" xr:uid="{0D84A6B8-03DC-475C-9EE8-6310E196CE18}"/>
    <cellStyle name="Normal 3 2 2 2 2 5" xfId="6833" xr:uid="{B9872153-1D45-42B3-A7D9-5690393C1E10}"/>
    <cellStyle name="Normal 3 2 2 2 2 5 2" xfId="18073" xr:uid="{446E4A7A-A0AA-4F7E-978E-C33160669288}"/>
    <cellStyle name="Normal 3 2 2 2 2 5 3" xfId="14370" xr:uid="{3075D045-B83B-4A01-920D-E273E2719245}"/>
    <cellStyle name="Normal 3 2 2 2 2 6" xfId="8482" xr:uid="{E5FED712-2187-4D6A-A885-85F797CC6BA4}"/>
    <cellStyle name="Normal 3 2 2 2 2 6 2" xfId="18534" xr:uid="{37FEC148-DC47-476E-9CCA-E0FC5AA6C97B}"/>
    <cellStyle name="Normal 3 2 2 2 2 7" xfId="9948" xr:uid="{C3063807-87FD-4A39-BCB4-4A7FF60E7B0E}"/>
    <cellStyle name="Normal 3 2 2 2 2 8" xfId="10532" xr:uid="{C5C3B456-EE5D-4AAE-9545-6E6A9E5E3588}"/>
    <cellStyle name="Normal 3 2 2 2 2 9" xfId="15996" xr:uid="{2599902B-66F8-4C8B-8340-77329FC6B250}"/>
    <cellStyle name="Normal 3 2 2 2 3" xfId="4478" xr:uid="{FC3BE34E-3B4F-4E92-BAC3-AB80CB2E04B4}"/>
    <cellStyle name="Normal 3 2 2 2 3 2" xfId="6834" xr:uid="{D8AAB392-45EE-44BA-89E4-A3252403CB81}"/>
    <cellStyle name="Normal 3 2 2 2 3 2 2" xfId="8911" xr:uid="{087D481D-B539-44B1-B564-9AB989FEB4B5}"/>
    <cellStyle name="Normal 3 2 2 2 3 2 2 2" xfId="18963" xr:uid="{31C4318F-3E91-4C1B-8EC5-BB2ACB0B4BD8}"/>
    <cellStyle name="Normal 3 2 2 2 3 2 3" xfId="16416" xr:uid="{1A9F398B-776A-4B0C-8E06-05A35D55520C}"/>
    <cellStyle name="Normal 3 2 2 2 3 2 4" xfId="15210" xr:uid="{328214DD-5321-4F73-8ED3-22629BB7D050}"/>
    <cellStyle name="Normal 3 2 2 2 3 3" xfId="6835" xr:uid="{38A354D9-F188-4475-AA88-6E5AADC3925A}"/>
    <cellStyle name="Normal 3 2 2 2 3 3 2" xfId="9359" xr:uid="{21075A84-4F6C-4421-A82C-F677961EADCB}"/>
    <cellStyle name="Normal 3 2 2 2 3 3 2 2" xfId="19411" xr:uid="{4AB9564D-7844-499D-9914-1A86D7EAFC93}"/>
    <cellStyle name="Normal 3 2 2 2 3 3 3" xfId="16862" xr:uid="{B79CAB96-379B-46CB-B04F-A9E85CB8BA43}"/>
    <cellStyle name="Normal 3 2 2 2 3 3 4" xfId="15776" xr:uid="{4AD477B5-4CB4-4B1D-B92E-AEBCCB68F7C1}"/>
    <cellStyle name="Normal 3 2 2 2 3 4" xfId="6836" xr:uid="{1ADC90B8-5F94-48B0-BEDA-4AEBBEE1931F}"/>
    <cellStyle name="Normal 3 2 2 2 3 4 2" xfId="17463" xr:uid="{E89973AB-4308-4B93-A322-117FA6523194}"/>
    <cellStyle name="Normal 3 2 2 2 3 4 3" xfId="14728" xr:uid="{2EC9EDA5-2F5B-417D-A83A-5B938A16EF9A}"/>
    <cellStyle name="Normal 3 2 2 2 3 5" xfId="6837" xr:uid="{9008BDF9-9E23-4375-8DE4-3816C35BDF3A}"/>
    <cellStyle name="Normal 3 2 2 2 3 5 2" xfId="18074" xr:uid="{52AACA0F-9C6A-437F-8C1C-352CEDD7EF15}"/>
    <cellStyle name="Normal 3 2 2 2 3 5 3" xfId="14369" xr:uid="{0AA40C0C-2E08-4744-856F-A3B541861C3F}"/>
    <cellStyle name="Normal 3 2 2 2 3 6" xfId="8483" xr:uid="{BA4FEBF6-36D2-49FC-97FC-0E11ADA62EEC}"/>
    <cellStyle name="Normal 3 2 2 2 3 6 2" xfId="18535" xr:uid="{6E21AE79-58D3-4F6E-95BE-431F605B2292}"/>
    <cellStyle name="Normal 3 2 2 2 3 7" xfId="9949" xr:uid="{6F4E3167-F78C-46F5-89CD-96C9BA9420FF}"/>
    <cellStyle name="Normal 3 2 2 2 3 8" xfId="10533" xr:uid="{55673CF7-991C-4CC6-96BF-78B258138533}"/>
    <cellStyle name="Normal 3 2 2 2 3 9" xfId="15995" xr:uid="{C53DFF17-CA88-4A28-8A74-0367D6E267A7}"/>
    <cellStyle name="Normal 3 2 2 2 4" xfId="6838" xr:uid="{7AE6D4EC-340B-45EA-A61A-B0E9C041D2ED}"/>
    <cellStyle name="Normal 3 2 2 2 4 2" xfId="6839" xr:uid="{DAEF292A-A2F5-499B-84BF-C9F0972E4776}"/>
    <cellStyle name="Normal 3 2 2 2 4 2 2" xfId="17284" xr:uid="{ECF89608-31B9-4C08-B13E-633B2F59FCD9}"/>
    <cellStyle name="Normal 3 2 2 2 4 3" xfId="6840" xr:uid="{799FB7C0-CE63-400B-AD89-A41CAB017E92}"/>
    <cellStyle name="Normal 3 2 2 2 4 3 2" xfId="17898" xr:uid="{B8DFDC5D-3499-41EA-9CD6-97EE75576824}"/>
    <cellStyle name="Normal 3 2 2 2 4 4" xfId="8727" xr:uid="{253DF0A2-0BDB-47CF-9AE8-F17D1612623A}"/>
    <cellStyle name="Normal 3 2 2 2 4 4 2" xfId="18779" xr:uid="{425089FC-C9FA-444A-B991-B7352C72447D}"/>
    <cellStyle name="Normal 3 2 2 2 4 5" xfId="9774" xr:uid="{E4DC7EFF-851E-4B51-85CA-F0650E517FA7}"/>
    <cellStyle name="Normal 3 2 2 2 4 6" xfId="10534" xr:uid="{04B7992B-ADC2-473C-AF1B-EF0BC5DD3D51}"/>
    <cellStyle name="Normal 3 2 2 2 4 7" xfId="15376" xr:uid="{674326D8-FDCE-4B12-BCBA-FC2EA6FB6987}"/>
    <cellStyle name="Normal 3 2 2 2 5" xfId="6841" xr:uid="{58D88A91-10F8-4408-8645-3A74A5ABB13E}"/>
    <cellStyle name="Normal 3 2 2 2 5 2" xfId="9175" xr:uid="{CF4E120D-CF64-4D4C-BA11-0402979B660E}"/>
    <cellStyle name="Normal 3 2 2 2 5 2 2" xfId="19227" xr:uid="{4B86F8FE-8F66-4FD8-A0E3-13D81569BFA3}"/>
    <cellStyle name="Normal 3 2 2 2 5 3" xfId="16678" xr:uid="{174F4931-9748-45A4-953E-F7D23020EAC1}"/>
    <cellStyle name="Normal 3 2 2 2 5 4" xfId="14044" xr:uid="{60D8BAF5-C77C-4F3D-A92C-5D8722B2440D}"/>
    <cellStyle name="Normal 3 2 2 2 6" xfId="6842" xr:uid="{342C502D-D29D-40DE-8344-1FBEE048396E}"/>
    <cellStyle name="Normal 3 2 2 2 6 2" xfId="17137" xr:uid="{D98066D1-3F06-443F-AB05-070C1A4DEC16}"/>
    <cellStyle name="Normal 3 2 2 2 6 3" xfId="15568" xr:uid="{4F61BB33-3370-4641-8C13-C7C882A8F8F9}"/>
    <cellStyle name="Normal 3 2 2 2 7" xfId="6843" xr:uid="{7C08BA34-AD9A-4C0A-9757-F0033986891B}"/>
    <cellStyle name="Normal 3 2 2 2 7 2" xfId="17747" xr:uid="{88588B1F-4912-4AC7-8F84-87ECEAF6DBB1}"/>
    <cellStyle name="Normal 3 2 2 2 7 3" xfId="14517" xr:uid="{9CFB2AD7-FB10-47EC-AD81-5F334AB050D8}"/>
    <cellStyle name="Normal 3 2 2 2 8" xfId="8299" xr:uid="{2E2FE1E6-92B0-4E0C-8C8C-2B8BB4409047}"/>
    <cellStyle name="Normal 3 2 2 2 8 2" xfId="18351" xr:uid="{1BAEDCD4-F60E-48C4-ABCC-F3A6D7323C6A}"/>
    <cellStyle name="Normal 3 2 2 2 9" xfId="9628" xr:uid="{998AE380-FBC3-4540-B3A0-1FF3200377ED}"/>
    <cellStyle name="Normal 3 2 2 20" xfId="12566" xr:uid="{685AB621-8303-41B9-A00E-F5E66C96BD25}"/>
    <cellStyle name="Normal 3 2 2 21" xfId="12889" xr:uid="{621BF03E-0872-42D5-9FF9-C51AFA8ADAAB}"/>
    <cellStyle name="Normal 3 2 2 22" xfId="12890" xr:uid="{3E3A844B-46B7-41BA-9013-ED791B3DF6C8}"/>
    <cellStyle name="Normal 3 2 2 23" xfId="12891" xr:uid="{2A50F792-5398-4485-913D-E3ED1F209812}"/>
    <cellStyle name="Normal 3 2 2 24" xfId="12885" xr:uid="{CDF58766-FBBA-4FD2-BAC3-59D69D9C6899}"/>
    <cellStyle name="Normal 3 2 2 3" xfId="4479" xr:uid="{2846986A-FE8A-4E70-8D1F-62B88FCB3B9E}"/>
    <cellStyle name="Normal 3 2 2 3 2" xfId="6844" xr:uid="{4F1B88FD-AA39-4CA0-9623-53F822E1A5DB}"/>
    <cellStyle name="Normal 3 2 2 3 2 2" xfId="8912" xr:uid="{83292896-7C9C-408E-809D-A8CF76353FCA}"/>
    <cellStyle name="Normal 3 2 2 3 2 2 2" xfId="18964" xr:uid="{FFCAA28E-6569-4231-8388-5F47A63D1574}"/>
    <cellStyle name="Normal 3 2 2 3 2 3" xfId="16417" xr:uid="{0B010C37-872F-4F91-8368-A4E3CD8AB168}"/>
    <cellStyle name="Normal 3 2 2 3 2 4" xfId="15209" xr:uid="{17D48834-1ED7-4AD4-BFCE-15E6144CEC72}"/>
    <cellStyle name="Normal 3 2 2 3 3" xfId="6845" xr:uid="{55FE0FF6-C4F3-4678-A623-664D1FB83A4C}"/>
    <cellStyle name="Normal 3 2 2 3 3 2" xfId="9360" xr:uid="{181B7357-FE2C-4F57-A4C6-13C728344364}"/>
    <cellStyle name="Normal 3 2 2 3 3 2 2" xfId="19412" xr:uid="{5D928A5C-AE6B-47D2-939B-67FB2AA0A9D9}"/>
    <cellStyle name="Normal 3 2 2 3 3 3" xfId="16863" xr:uid="{D0BF86CB-6358-4A74-B18C-8D2D86294F2D}"/>
    <cellStyle name="Normal 3 2 2 3 3 4" xfId="15775" xr:uid="{8730FC98-1E38-4B56-B809-0FA677493147}"/>
    <cellStyle name="Normal 3 2 2 3 4" xfId="6846" xr:uid="{D12CDE94-E927-4109-BA5B-7E5DA6B608B1}"/>
    <cellStyle name="Normal 3 2 2 3 4 2" xfId="17464" xr:uid="{C2D3BA45-FF92-4142-8A5F-4DDDADD30FA4}"/>
    <cellStyle name="Normal 3 2 2 3 4 3" xfId="14727" xr:uid="{C36EB6F4-4770-4500-934A-58B5D69B49A6}"/>
    <cellStyle name="Normal 3 2 2 3 5" xfId="6847" xr:uid="{275B9B70-C64E-4FD2-B2D1-DD14CE6F005C}"/>
    <cellStyle name="Normal 3 2 2 3 5 2" xfId="18075" xr:uid="{05E46EC9-A0D0-4BC5-A160-8A2471480AA8}"/>
    <cellStyle name="Normal 3 2 2 3 5 3" xfId="14368" xr:uid="{1026ABB4-EF2D-4B49-B3BC-1B51F1FA3066}"/>
    <cellStyle name="Normal 3 2 2 3 6" xfId="8484" xr:uid="{A97598E3-BC6E-441F-8B63-4B227C008B74}"/>
    <cellStyle name="Normal 3 2 2 3 6 2" xfId="18536" xr:uid="{097F34C2-C8DB-4C02-A625-542281D04CB5}"/>
    <cellStyle name="Normal 3 2 2 3 7" xfId="9950" xr:uid="{68F644CA-52A6-4420-A483-43CF7156FE0F}"/>
    <cellStyle name="Normal 3 2 2 3 8" xfId="10535" xr:uid="{03238140-6CD1-4BD5-B66C-A1E00C522DA9}"/>
    <cellStyle name="Normal 3 2 2 3 9" xfId="11660" xr:uid="{BEDC6057-6569-42A4-9030-B461D9BEBC76}"/>
    <cellStyle name="Normal 3 2 2 3 9 2" xfId="15417" xr:uid="{BF034C1F-B0B8-480A-8D45-E584F37F1E26}"/>
    <cellStyle name="Normal 3 2 2 3 9 3" xfId="20583" xr:uid="{70763999-93A1-4E48-801D-F864C19697CC}"/>
    <cellStyle name="Normal 3 2 2 4" xfId="4480" xr:uid="{4DA07797-CAF6-4898-95E7-E0DEB409853C}"/>
    <cellStyle name="Normal 3 2 2 4 2" xfId="6848" xr:uid="{ADA85367-7A2B-40C3-B303-975D391911B1}"/>
    <cellStyle name="Normal 3 2 2 4 2 2" xfId="8913" xr:uid="{ECC55558-847E-4AD0-B4C7-F0FAE9EF6D66}"/>
    <cellStyle name="Normal 3 2 2 4 2 2 2" xfId="18965" xr:uid="{0C8750E6-1C64-490C-9B45-C9D429905591}"/>
    <cellStyle name="Normal 3 2 2 4 2 3" xfId="16418" xr:uid="{A52F30B6-750A-4B4D-AA85-9519337DF511}"/>
    <cellStyle name="Normal 3 2 2 4 2 4" xfId="15208" xr:uid="{B0DE0939-525D-4AE0-BC0F-9187C44036BD}"/>
    <cellStyle name="Normal 3 2 2 4 3" xfId="6849" xr:uid="{A750E610-08E5-4517-A4F3-6583C0D50E98}"/>
    <cellStyle name="Normal 3 2 2 4 3 2" xfId="9361" xr:uid="{3D85561C-EE80-4C05-9001-A53A0DE101D3}"/>
    <cellStyle name="Normal 3 2 2 4 3 2 2" xfId="19413" xr:uid="{6538B9D9-E1DD-453C-94D9-59515413B5DF}"/>
    <cellStyle name="Normal 3 2 2 4 3 3" xfId="16864" xr:uid="{140A5F63-D29E-4A44-8AFE-54D7F69CA4CB}"/>
    <cellStyle name="Normal 3 2 2 4 3 4" xfId="15774" xr:uid="{0AAE867D-AB69-4EBC-A055-CB4F130DB65F}"/>
    <cellStyle name="Normal 3 2 2 4 4" xfId="6850" xr:uid="{E5C1F32E-8E04-429A-BC02-701C03547666}"/>
    <cellStyle name="Normal 3 2 2 4 4 2" xfId="17465" xr:uid="{A65D58BD-7251-4F67-B81A-9EAFE06AC1F5}"/>
    <cellStyle name="Normal 3 2 2 4 4 3" xfId="14726" xr:uid="{BFA95DA7-9496-4B95-9994-B98FAD87DB2E}"/>
    <cellStyle name="Normal 3 2 2 4 5" xfId="6851" xr:uid="{D9E17419-4F71-4C90-9462-EA5CEF59860F}"/>
    <cellStyle name="Normal 3 2 2 4 5 2" xfId="18076" xr:uid="{5113B3F8-373F-4354-A74E-52D835ECC816}"/>
    <cellStyle name="Normal 3 2 2 4 5 3" xfId="14367" xr:uid="{BD3AC24F-B49E-4568-8FEE-13733119AEEB}"/>
    <cellStyle name="Normal 3 2 2 4 6" xfId="8485" xr:uid="{546374D1-5A31-4085-9178-05AF207DF658}"/>
    <cellStyle name="Normal 3 2 2 4 6 2" xfId="18537" xr:uid="{079CB7B0-BCE5-476C-9517-68926EA4AB0C}"/>
    <cellStyle name="Normal 3 2 2 4 7" xfId="9951" xr:uid="{8BBC5288-C3A5-4C2B-B9D6-D4E4A6BF54BB}"/>
    <cellStyle name="Normal 3 2 2 4 8" xfId="10536" xr:uid="{3555D75E-05E4-40D5-A711-0F492A9700EC}"/>
    <cellStyle name="Normal 3 2 2 4 9" xfId="11927" xr:uid="{1C2A300B-AA7F-43EF-996F-3B1F4F2B9976}"/>
    <cellStyle name="Normal 3 2 2 4 9 2" xfId="15994" xr:uid="{7197F93C-0270-442F-8F2C-A30B1B88378D}"/>
    <cellStyle name="Normal 3 2 2 4 9 3" xfId="20636" xr:uid="{A2243400-B7A3-4848-86C2-1476DD2F5A4A}"/>
    <cellStyle name="Normal 3 2 2 5" xfId="2810" xr:uid="{85C91647-6D9C-477B-8782-824813765717}"/>
    <cellStyle name="Normal 3 2 2 5 2" xfId="6852" xr:uid="{98E69CA0-137B-4464-A56E-D823B0824588}"/>
    <cellStyle name="Normal 3 2 2 5 2 2" xfId="9174" xr:uid="{ABE21F5F-25FD-4FCE-97B5-A48474450E28}"/>
    <cellStyle name="Normal 3 2 2 5 2 2 2" xfId="19226" xr:uid="{D09DD686-DF46-40CD-B7DB-026F6A6CAF4C}"/>
    <cellStyle name="Normal 3 2 2 5 2 3" xfId="16677" xr:uid="{B6437A6B-6FB1-4572-859E-9E691BA35E8C}"/>
    <cellStyle name="Normal 3 2 2 5 2 4" xfId="14045" xr:uid="{FA9AECF4-4DD2-4940-8F6B-90E1BE6442EA}"/>
    <cellStyle name="Normal 3 2 2 5 3" xfId="6853" xr:uid="{D704B8CA-7D61-4937-BE38-B6EB4A564ACB}"/>
    <cellStyle name="Normal 3 2 2 5 3 2" xfId="17283" xr:uid="{7F5622BF-C714-4EBD-9618-CCF5D7476E83}"/>
    <cellStyle name="Normal 3 2 2 5 3 3" xfId="15485" xr:uid="{A464AE9A-A781-46E0-AA8D-E6D3BD9E9D91}"/>
    <cellStyle name="Normal 3 2 2 5 4" xfId="6854" xr:uid="{3956665F-0179-4369-97AD-8D2623C405F5}"/>
    <cellStyle name="Normal 3 2 2 5 4 2" xfId="17897" xr:uid="{B59F871C-E495-42FC-8022-62B983DBD6A6}"/>
    <cellStyle name="Normal 3 2 2 5 4 3" xfId="14432" xr:uid="{ED17CAD5-1CD7-444E-BE38-7B3C883ADD9F}"/>
    <cellStyle name="Normal 3 2 2 5 5" xfId="8726" xr:uid="{4B4BAD49-27DB-4EFB-817F-F0D54E6D06CE}"/>
    <cellStyle name="Normal 3 2 2 5 5 2" xfId="18778" xr:uid="{BE023B85-4903-4ADB-BF4C-AF5E36524349}"/>
    <cellStyle name="Normal 3 2 2 5 6" xfId="9773" xr:uid="{B29A0671-0BB9-487C-86B7-A4FB866140D9}"/>
    <cellStyle name="Normal 3 2 2 5 7" xfId="10537" xr:uid="{64847111-0420-410E-89C2-E01EB0DC1AB2}"/>
    <cellStyle name="Normal 3 2 2 5 8" xfId="11054" xr:uid="{E26BB3DC-A93B-4B1E-BD6B-5A0FCE5FD2AF}"/>
    <cellStyle name="Normal 3 2 2 5 8 2" xfId="15377" xr:uid="{32685333-9CAF-4033-BE80-FE4C085C31C9}"/>
    <cellStyle name="Normal 3 2 2 5 8 3" xfId="20505" xr:uid="{1724872C-F08E-4A38-BFB0-64A0ED654BE8}"/>
    <cellStyle name="Normal 3 2 2 6" xfId="6855" xr:uid="{7A76C0A0-B4C0-4B9B-9C7E-635F1C94538A}"/>
    <cellStyle name="Normal 3 2 2 6 2" xfId="9128" xr:uid="{4A3988CA-6A21-4426-A396-71379D765F26}"/>
    <cellStyle name="Normal 3 2 2 6 2 2" xfId="19180" xr:uid="{24CE27BA-3A2B-48ED-BEBC-9CD1D33FB17E}"/>
    <cellStyle name="Normal 3 2 2 6 3" xfId="12892" xr:uid="{F6779A7C-6884-49B0-A04D-98F20B1EA675}"/>
    <cellStyle name="Normal 3 2 2 6 3 2" xfId="16631" xr:uid="{53A2DA17-75FB-4846-ACDA-A1D9AE924F7B}"/>
    <cellStyle name="Normal 3 2 2 6 3 3" xfId="20743" xr:uid="{0A033E6C-49DC-4655-B3C9-3B6D4480F04B}"/>
    <cellStyle name="Normal 3 2 2 6 4" xfId="15016" xr:uid="{239BF571-1C51-40C3-8C34-AE56F7CD3704}"/>
    <cellStyle name="Normal 3 2 2 7" xfId="6856" xr:uid="{67A9D064-C2D5-4510-A38E-07C5A6378D29}"/>
    <cellStyle name="Normal 3 2 2 7 2" xfId="12893" xr:uid="{D0D857E6-59F9-4C4F-B1F6-5CD96708D78E}"/>
    <cellStyle name="Normal 3 2 2 7 2 2" xfId="17136" xr:uid="{C7C04121-77AD-44EF-9D2D-C1A36D43C2D4}"/>
    <cellStyle name="Normal 3 2 2 7 2 3" xfId="20744" xr:uid="{E2535966-4D67-410B-9D20-348C0C4F3829}"/>
    <cellStyle name="Normal 3 2 2 7 3" xfId="15569" xr:uid="{FCC6BFC7-A796-472A-A4FC-2DADBC561659}"/>
    <cellStyle name="Normal 3 2 2 8" xfId="6857" xr:uid="{72CA95D3-E2B0-4B83-96C9-FDDDC6657C80}"/>
    <cellStyle name="Normal 3 2 2 8 2" xfId="11408" xr:uid="{30B41753-CBFA-475E-8D4D-B9CF9D36AAD5}"/>
    <cellStyle name="Normal 3 2 2 8 2 2" xfId="17746" xr:uid="{57E815E4-6B85-4381-8BF8-6BF48792F315}"/>
    <cellStyle name="Normal 3 2 2 8 2 3" xfId="20566" xr:uid="{8738824F-2E0D-4AF2-89D2-ACE9B9554AB7}"/>
    <cellStyle name="Normal 3 2 2 8 3" xfId="14518" xr:uid="{ADAF505F-304C-49CE-8581-D5A8F71E939C}"/>
    <cellStyle name="Normal 3 2 2 9" xfId="8298" xr:uid="{905C0D3A-04DB-4233-BE7B-E80C6FDA01AD}"/>
    <cellStyle name="Normal 3 2 2 9 2" xfId="12381" xr:uid="{9E50CD9D-6505-48B7-915D-C3E381B68322}"/>
    <cellStyle name="Normal 3 2 2 9 2 2" xfId="18350" xr:uid="{832820E1-A6CF-4431-88B9-36AAC005384A}"/>
    <cellStyle name="Normal 3 2 2 9 2 3" xfId="20678" xr:uid="{F38CE52E-5C73-46B6-99AB-47C164F112E9}"/>
    <cellStyle name="Normal 3 2 3" xfId="2812" xr:uid="{83A6311A-4178-4C94-9CBB-096186F09493}"/>
    <cellStyle name="Normal 3 2 3 10" xfId="9629" xr:uid="{9E29B943-7DC5-4FD3-8714-92E629B4A688}"/>
    <cellStyle name="Normal 3 2 3 10 2" xfId="11111" xr:uid="{E68A2357-E920-42F6-A171-6CEF5EA20CB6}"/>
    <cellStyle name="Normal 3 2 3 11" xfId="10283" xr:uid="{8B6842E7-F9D4-4AF1-90B0-6740DFC87FAC}"/>
    <cellStyle name="Normal 3 2 3 11 2" xfId="12319" xr:uid="{363C1605-98F7-4E3C-B15D-F637B186929A}"/>
    <cellStyle name="Normal 3 2 3 12" xfId="12757" xr:uid="{B42ADD50-4097-4342-B4C1-D3F7C0A14D5B}"/>
    <cellStyle name="Normal 3 2 3 12 2" xfId="16161" xr:uid="{3C73942F-6C59-42B5-A55E-75FE3C99DC2E}"/>
    <cellStyle name="Normal 3 2 3 12 3" xfId="20718" xr:uid="{A43EB6A0-6C4A-432A-BFDC-82AC1457A77C}"/>
    <cellStyle name="Normal 3 2 3 13" xfId="11928" xr:uid="{3546F407-7ACC-4EE0-91E1-8B5153605623}"/>
    <cellStyle name="Normal 3 2 3 14" xfId="10955" xr:uid="{AF5BFC40-8F74-4236-B425-5D36F465931E}"/>
    <cellStyle name="Normal 3 2 3 15" xfId="12519" xr:uid="{0E6B549F-6846-4399-B43B-C052D7D9290F}"/>
    <cellStyle name="Normal 3 2 3 16" xfId="11244" xr:uid="{AA624AFE-9BEC-4DAE-8944-8032A7592182}"/>
    <cellStyle name="Normal 3 2 3 17" xfId="11409" xr:uid="{2B623D8A-213E-4B7C-B299-9A851A36E9AB}"/>
    <cellStyle name="Normal 3 2 3 18" xfId="11462" xr:uid="{D8F6AC25-3EC0-410C-B6F4-65A8DEEE52FA}"/>
    <cellStyle name="Normal 3 2 3 19" xfId="11731" xr:uid="{D283DF55-34C8-414B-A7D4-BF5C1B3BEBE2}"/>
    <cellStyle name="Normal 3 2 3 2" xfId="2813" xr:uid="{B49E8078-7DC8-4D50-B391-801499A218A9}"/>
    <cellStyle name="Normal 3 2 3 2 10" xfId="10284" xr:uid="{8F26E876-7076-4AF3-B302-AC156F52C16D}"/>
    <cellStyle name="Normal 3 2 3 2 11" xfId="11308" xr:uid="{6BABB847-8958-4536-9472-98AF2C668FD8}"/>
    <cellStyle name="Normal 3 2 3 2 11 2" xfId="16160" xr:uid="{840DE43C-09BB-4FE4-802C-E5A899EED7D5}"/>
    <cellStyle name="Normal 3 2 3 2 11 3" xfId="20539" xr:uid="{7C8B95E6-2573-4CF7-AF13-051403061092}"/>
    <cellStyle name="Normal 3 2 3 2 2" xfId="4481" xr:uid="{D50A45D3-643E-450D-A6BC-EE45EA832266}"/>
    <cellStyle name="Normal 3 2 3 2 2 2" xfId="6858" xr:uid="{44C54B40-E79B-46A2-9033-3CA273FB9B7F}"/>
    <cellStyle name="Normal 3 2 3 2 2 2 2" xfId="8914" xr:uid="{F86AC8B8-F674-4B56-ADE3-BA1EC8E49629}"/>
    <cellStyle name="Normal 3 2 3 2 2 2 2 2" xfId="18966" xr:uid="{F956DB75-698C-4978-AD07-97C4CE8F871A}"/>
    <cellStyle name="Normal 3 2 3 2 2 2 3" xfId="16419" xr:uid="{ECE38577-BBC2-41BC-8173-F30BABFDC062}"/>
    <cellStyle name="Normal 3 2 3 2 2 2 4" xfId="15207" xr:uid="{6C08D28B-4C82-43CD-9292-D66D3B9C7A84}"/>
    <cellStyle name="Normal 3 2 3 2 2 3" xfId="6859" xr:uid="{08CF1BC7-8790-41CD-8383-7CEA2E0A1A41}"/>
    <cellStyle name="Normal 3 2 3 2 2 3 2" xfId="9362" xr:uid="{8394EC57-3CF9-40AE-AB37-AFCDE6DB5D22}"/>
    <cellStyle name="Normal 3 2 3 2 2 3 2 2" xfId="19414" xr:uid="{591B69A4-1B81-421B-976D-9864FA850C84}"/>
    <cellStyle name="Normal 3 2 3 2 2 3 3" xfId="16865" xr:uid="{EA671B4D-2425-48C6-BB1B-BEE28D0E0F32}"/>
    <cellStyle name="Normal 3 2 3 2 2 3 4" xfId="14843" xr:uid="{8C61846D-DCB0-4BE1-9065-36989D632374}"/>
    <cellStyle name="Normal 3 2 3 2 2 4" xfId="6860" xr:uid="{10176105-B1C9-451B-B2DD-3F13BB5413EF}"/>
    <cellStyle name="Normal 3 2 3 2 2 4 2" xfId="17466" xr:uid="{C6A2A3EC-C3C9-4488-AEAD-3E87AE7EDB2D}"/>
    <cellStyle name="Normal 3 2 3 2 2 4 3" xfId="14725" xr:uid="{B6E68750-DE16-4EAA-8D14-FC1F109462A4}"/>
    <cellStyle name="Normal 3 2 3 2 2 5" xfId="6861" xr:uid="{92DD1DF8-4127-4A05-BDD8-2FB96F47F6D2}"/>
    <cellStyle name="Normal 3 2 3 2 2 5 2" xfId="18077" xr:uid="{9CEC2EED-12CC-4686-9D1C-9AE4564EEED0}"/>
    <cellStyle name="Normal 3 2 3 2 2 5 3" xfId="14366" xr:uid="{BBB551E5-E6EB-418B-B2EB-2EE7EAB6C782}"/>
    <cellStyle name="Normal 3 2 3 2 2 6" xfId="8486" xr:uid="{83DB02A8-F31B-44DA-BD7C-B63CF2791678}"/>
    <cellStyle name="Normal 3 2 3 2 2 6 2" xfId="18538" xr:uid="{41B3FB1F-B840-49CF-B24C-5880E13679FD}"/>
    <cellStyle name="Normal 3 2 3 2 2 7" xfId="9952" xr:uid="{D293858F-4ECF-4302-90A0-665F4E38D52D}"/>
    <cellStyle name="Normal 3 2 3 2 2 8" xfId="10538" xr:uid="{8F96DAF4-2285-466E-9945-86B20C75DFC9}"/>
    <cellStyle name="Normal 3 2 3 2 2 9" xfId="15993" xr:uid="{3C7878B4-E433-4DBD-BF51-FA3A87C340D5}"/>
    <cellStyle name="Normal 3 2 3 2 3" xfId="4482" xr:uid="{0127816C-DF59-40C8-B5F2-923FC38C08A7}"/>
    <cellStyle name="Normal 3 2 3 2 3 2" xfId="6862" xr:uid="{24EFCFB8-DB6B-4479-84D8-18FAA953A98F}"/>
    <cellStyle name="Normal 3 2 3 2 3 2 2" xfId="8915" xr:uid="{999F15F4-BBB3-4119-ACA3-3FDAA285B5BC}"/>
    <cellStyle name="Normal 3 2 3 2 3 2 2 2" xfId="18967" xr:uid="{CCF92ACD-F37D-4DA8-8446-7DAB112D4888}"/>
    <cellStyle name="Normal 3 2 3 2 3 2 3" xfId="16420" xr:uid="{D3DF0393-408C-4AB0-B9D9-962277C1015A}"/>
    <cellStyle name="Normal 3 2 3 2 3 2 4" xfId="15206" xr:uid="{2B5E1E17-06BB-4E03-B4E2-842ACEAFF423}"/>
    <cellStyle name="Normal 3 2 3 2 3 3" xfId="6863" xr:uid="{73EB446D-C0FC-43D0-8112-7B393E094B35}"/>
    <cellStyle name="Normal 3 2 3 2 3 3 2" xfId="9363" xr:uid="{4CD8C488-6C60-4B60-9422-D6C734E1B7B0}"/>
    <cellStyle name="Normal 3 2 3 2 3 3 2 2" xfId="19415" xr:uid="{D3223019-B28F-48B2-A538-08274469B02B}"/>
    <cellStyle name="Normal 3 2 3 2 3 3 3" xfId="16866" xr:uid="{9EEFE7A9-726D-4D0E-8350-7CA49BB9A6F1}"/>
    <cellStyle name="Normal 3 2 3 2 3 3 4" xfId="15773" xr:uid="{0C8B2774-3275-4C96-9827-A2AEF15FD044}"/>
    <cellStyle name="Normal 3 2 3 2 3 4" xfId="6864" xr:uid="{9175BEB3-C262-4643-8866-3B56037E0431}"/>
    <cellStyle name="Normal 3 2 3 2 3 4 2" xfId="17467" xr:uid="{B339F966-80DB-47DE-9030-DA899B96847B}"/>
    <cellStyle name="Normal 3 2 3 2 3 4 3" xfId="14116" xr:uid="{D2C96120-B9E8-4A37-B34E-A0E3B2BEBB95}"/>
    <cellStyle name="Normal 3 2 3 2 3 5" xfId="6865" xr:uid="{ABCB59FA-848D-4A04-9AEA-D703BB0FC49E}"/>
    <cellStyle name="Normal 3 2 3 2 3 5 2" xfId="18078" xr:uid="{582C9729-4014-4CBD-99DB-345EA820D2D2}"/>
    <cellStyle name="Normal 3 2 3 2 3 5 3" xfId="14365" xr:uid="{EFFC7E52-A6AB-4FCB-9791-7C0E239DC0CD}"/>
    <cellStyle name="Normal 3 2 3 2 3 6" xfId="8487" xr:uid="{06B8D812-4861-4DB7-A247-B7643B70C9DD}"/>
    <cellStyle name="Normal 3 2 3 2 3 6 2" xfId="18539" xr:uid="{8C549AF2-C60C-46A5-88C2-FFF456FEE0D9}"/>
    <cellStyle name="Normal 3 2 3 2 3 7" xfId="9953" xr:uid="{697D8102-4886-4DBD-8119-F3240A693D6F}"/>
    <cellStyle name="Normal 3 2 3 2 3 8" xfId="10539" xr:uid="{969AE209-53A5-4F67-A9BE-6B024BE2A304}"/>
    <cellStyle name="Normal 3 2 3 2 3 9" xfId="15992" xr:uid="{7F89CD7B-843B-404E-A39C-F5B634B5266F}"/>
    <cellStyle name="Normal 3 2 3 2 4" xfId="6866" xr:uid="{587A629E-195F-4A2A-A534-E9063710E9C3}"/>
    <cellStyle name="Normal 3 2 3 2 4 2" xfId="6867" xr:uid="{4BA5AFB3-50D3-49A2-B511-1ED545A9438E}"/>
    <cellStyle name="Normal 3 2 3 2 4 2 2" xfId="17286" xr:uid="{2F3C94C6-5849-453C-9DA3-8465E4442914}"/>
    <cellStyle name="Normal 3 2 3 2 4 3" xfId="6868" xr:uid="{CCC43A9F-06FD-42D3-B733-365474C44C56}"/>
    <cellStyle name="Normal 3 2 3 2 4 3 2" xfId="17900" xr:uid="{4AC6672E-10B1-4FBE-8732-B8AD785AB01B}"/>
    <cellStyle name="Normal 3 2 3 2 4 4" xfId="8729" xr:uid="{07DF0C65-7897-4B28-8BE8-37DFB6204F3F}"/>
    <cellStyle name="Normal 3 2 3 2 4 4 2" xfId="18781" xr:uid="{0AD0EF53-9A64-4A6B-8366-7E16C11EA11C}"/>
    <cellStyle name="Normal 3 2 3 2 4 5" xfId="9776" xr:uid="{34276722-E3D3-405F-A55E-342D13F4D6BC}"/>
    <cellStyle name="Normal 3 2 3 2 4 6" xfId="10540" xr:uid="{6E9CC135-FB1A-48B6-BC27-661FD294007A}"/>
    <cellStyle name="Normal 3 2 3 2 4 7" xfId="15375" xr:uid="{E7469719-EF18-4C10-85CA-387D0CB36224}"/>
    <cellStyle name="Normal 3 2 3 2 5" xfId="6869" xr:uid="{5EE041DB-8084-4C09-A6D4-FE0888FFE18E}"/>
    <cellStyle name="Normal 3 2 3 2 5 2" xfId="9177" xr:uid="{681C5396-CDAB-4B21-80F7-0C6BE23276D4}"/>
    <cellStyle name="Normal 3 2 3 2 5 2 2" xfId="19229" xr:uid="{4B88C5AD-ACA4-4D45-B7CA-1E37AFA2A980}"/>
    <cellStyle name="Normal 3 2 3 2 5 3" xfId="16680" xr:uid="{9B2AD73D-814E-43D4-BC52-E5D7734C43FC}"/>
    <cellStyle name="Normal 3 2 3 2 5 4" xfId="14042" xr:uid="{FD495BB1-E6BE-44E8-AA85-4AB0C53E4AA1}"/>
    <cellStyle name="Normal 3 2 3 2 6" xfId="6870" xr:uid="{6007CA9C-287C-4A04-8D31-24C2E6FBE63D}"/>
    <cellStyle name="Normal 3 2 3 2 6 2" xfId="17139" xr:uid="{98CDF666-7A94-4438-81B8-A82F3F5D4DCA}"/>
    <cellStyle name="Normal 3 2 3 2 6 3" xfId="15566" xr:uid="{FC09D261-5F15-4D62-AEA4-39853BC06D9E}"/>
    <cellStyle name="Normal 3 2 3 2 7" xfId="6871" xr:uid="{3829E5A9-99DF-490D-A4F1-96445D7CFAC8}"/>
    <cellStyle name="Normal 3 2 3 2 7 2" xfId="17749" xr:uid="{D2A9C287-3932-454E-9412-32BD33A07C29}"/>
    <cellStyle name="Normal 3 2 3 2 7 3" xfId="14515" xr:uid="{A47CCB60-43BF-429F-A76A-D1D8FF32792B}"/>
    <cellStyle name="Normal 3 2 3 2 8" xfId="8301" xr:uid="{93615CCF-97FD-4470-8ADF-543B0664D4B9}"/>
    <cellStyle name="Normal 3 2 3 2 8 2" xfId="18353" xr:uid="{F9AAF65B-1BFE-4DF9-88FC-25DEC1A5D3D9}"/>
    <cellStyle name="Normal 3 2 3 2 9" xfId="9630" xr:uid="{9B755772-090F-4D7F-9BF1-D1434E5D8FA6}"/>
    <cellStyle name="Normal 3 2 3 20" xfId="11517" xr:uid="{B70BCDDB-780A-41FB-926F-0D40696EC6E5}"/>
    <cellStyle name="Normal 3 2 3 21" xfId="11899" xr:uid="{40B0A009-569E-4026-8547-ABBB7612D811}"/>
    <cellStyle name="Normal 3 2 3 22" xfId="13603" xr:uid="{45495A36-D09F-48AB-A697-FE62F3279C46}"/>
    <cellStyle name="Normal 3 2 3 23" xfId="11900" xr:uid="{18F624B2-4FDA-495D-ABA9-0A2A8222B032}"/>
    <cellStyle name="Normal 3 2 3 24" xfId="11730" xr:uid="{78485040-AB3F-4B0A-B741-266B8D0F2508}"/>
    <cellStyle name="Normal 3 2 3 3" xfId="4483" xr:uid="{DEE00D70-7D6F-4D63-B5BD-A572AB618A9D}"/>
    <cellStyle name="Normal 3 2 3 3 2" xfId="6872" xr:uid="{DE3E871F-8DD0-417E-BCB5-FA31C7DD07FA}"/>
    <cellStyle name="Normal 3 2 3 3 2 2" xfId="8916" xr:uid="{F1FCEC36-134A-4185-AD06-1995351A4994}"/>
    <cellStyle name="Normal 3 2 3 3 2 2 2" xfId="18968" xr:uid="{42C3CBA9-F690-4D38-B05B-F6E880D0EB74}"/>
    <cellStyle name="Normal 3 2 3 3 2 3" xfId="16421" xr:uid="{0ADA50C5-0EF5-4706-853E-677C5D7AA702}"/>
    <cellStyle name="Normal 3 2 3 3 2 4" xfId="15205" xr:uid="{45CE1252-8F01-41D3-8589-FDAB88635446}"/>
    <cellStyle name="Normal 3 2 3 3 3" xfId="6873" xr:uid="{C1BEDC83-BAEF-42D2-9723-2D89E7A5DC28}"/>
    <cellStyle name="Normal 3 2 3 3 3 2" xfId="9364" xr:uid="{1FDF13D4-D9FB-4549-BA27-ACAC05C2D201}"/>
    <cellStyle name="Normal 3 2 3 3 3 2 2" xfId="19416" xr:uid="{6E8375FF-E032-4030-B191-AF707AB90040}"/>
    <cellStyle name="Normal 3 2 3 3 3 3" xfId="16867" xr:uid="{0F838A55-6CDD-4E7A-B2FD-7C2AD09FBAA1}"/>
    <cellStyle name="Normal 3 2 3 3 3 4" xfId="15772" xr:uid="{4549FC9D-D9E4-4AE6-ADE0-07095B8EDD02}"/>
    <cellStyle name="Normal 3 2 3 3 4" xfId="6874" xr:uid="{D6105530-FF17-46A3-8734-4124989A1361}"/>
    <cellStyle name="Normal 3 2 3 3 4 2" xfId="17468" xr:uid="{384599DE-231B-419F-8299-88602925A532}"/>
    <cellStyle name="Normal 3 2 3 3 4 3" xfId="14724" xr:uid="{7D412C65-4CBD-4CBD-B0BB-43BB2A728098}"/>
    <cellStyle name="Normal 3 2 3 3 5" xfId="6875" xr:uid="{4B7F6D59-7B4B-4672-8FA3-58EFA467FE5D}"/>
    <cellStyle name="Normal 3 2 3 3 5 2" xfId="18079" xr:uid="{791AE71D-D6AE-4B97-9B2B-FB6246536648}"/>
    <cellStyle name="Normal 3 2 3 3 5 3" xfId="14364" xr:uid="{B5D63F4A-71D1-40BC-B384-0F3B467EC1D8}"/>
    <cellStyle name="Normal 3 2 3 3 6" xfId="8488" xr:uid="{B91D52DB-6AFC-40E1-B305-8F3DCB9B6934}"/>
    <cellStyle name="Normal 3 2 3 3 6 2" xfId="18540" xr:uid="{A7A5959D-1E41-43C1-9601-51D41F6417AB}"/>
    <cellStyle name="Normal 3 2 3 3 7" xfId="9954" xr:uid="{2B4C318D-A953-48FB-BC8D-EFBC345E5424}"/>
    <cellStyle name="Normal 3 2 3 3 8" xfId="10541" xr:uid="{4BC5816A-E01C-451D-9B36-D4490A8FE777}"/>
    <cellStyle name="Normal 3 2 3 3 9" xfId="12539" xr:uid="{C0EEEDE2-DC8D-476A-BA16-EC28EA638583}"/>
    <cellStyle name="Normal 3 2 3 3 9 2" xfId="15991" xr:uid="{0D4C7FCD-401A-4F52-80B6-B27D8A4E2B7C}"/>
    <cellStyle name="Normal 3 2 3 3 9 3" xfId="20703" xr:uid="{705D7C5D-F58F-4989-B7EC-A246DADE4721}"/>
    <cellStyle name="Normal 3 2 3 4" xfId="4484" xr:uid="{0745DD03-0680-47E4-A3C9-098AA98B96B9}"/>
    <cellStyle name="Normal 3 2 3 4 2" xfId="6876" xr:uid="{9A741AD8-9524-4BA4-9C7F-CF1BB315DC39}"/>
    <cellStyle name="Normal 3 2 3 4 2 2" xfId="8917" xr:uid="{A897BB30-6740-44EF-8691-6E08A6291847}"/>
    <cellStyle name="Normal 3 2 3 4 2 2 2" xfId="18969" xr:uid="{54960D28-2D06-4B24-8AB4-AE53D1D6B772}"/>
    <cellStyle name="Normal 3 2 3 4 2 3" xfId="16422" xr:uid="{68AAD183-5F9F-4E8B-AB22-51D849007418}"/>
    <cellStyle name="Normal 3 2 3 4 2 4" xfId="15204" xr:uid="{6D750CD5-DFCE-4F64-A2F4-A80BF17B2FA1}"/>
    <cellStyle name="Normal 3 2 3 4 3" xfId="6877" xr:uid="{029CF23F-171F-44A8-A3F4-E040FB58F094}"/>
    <cellStyle name="Normal 3 2 3 4 3 2" xfId="9365" xr:uid="{3DB9F241-3D6C-4A17-9C40-EF61E1345A7A}"/>
    <cellStyle name="Normal 3 2 3 4 3 2 2" xfId="19417" xr:uid="{39F7FF41-0C98-41F3-9951-7564BCE4C8A6}"/>
    <cellStyle name="Normal 3 2 3 4 3 3" xfId="16868" xr:uid="{ADAEA5ED-2AE6-4256-8E36-EA33EB6AAB0A}"/>
    <cellStyle name="Normal 3 2 3 4 3 4" xfId="15771" xr:uid="{B582AA4F-B19E-4C4F-9CBD-266F33A79348}"/>
    <cellStyle name="Normal 3 2 3 4 4" xfId="6878" xr:uid="{8FCE0194-7EC0-4DD6-84AA-0FE0051125E9}"/>
    <cellStyle name="Normal 3 2 3 4 4 2" xfId="17469" xr:uid="{8AC30B21-A430-443A-A401-7FC73E62AD89}"/>
    <cellStyle name="Normal 3 2 3 4 4 3" xfId="14723" xr:uid="{5D51F8DB-155B-477D-9B09-2132F349AB9D}"/>
    <cellStyle name="Normal 3 2 3 4 5" xfId="6879" xr:uid="{45A94A6B-392F-4A73-BB2C-2518FEB67A54}"/>
    <cellStyle name="Normal 3 2 3 4 5 2" xfId="18080" xr:uid="{A6ED679A-5B56-45B1-A1B4-B261FC2A3806}"/>
    <cellStyle name="Normal 3 2 3 4 5 3" xfId="14363" xr:uid="{8EF17CFB-87F0-47CC-BCC1-B15869A6AA18}"/>
    <cellStyle name="Normal 3 2 3 4 6" xfId="8489" xr:uid="{45F7008B-EB47-40A6-B4E8-922256D61C5B}"/>
    <cellStyle name="Normal 3 2 3 4 6 2" xfId="18541" xr:uid="{BA56BE05-FE39-493A-9B48-D8224C43C57E}"/>
    <cellStyle name="Normal 3 2 3 4 7" xfId="9955" xr:uid="{B27D9B36-E5C6-4FC8-9680-398B390F8316}"/>
    <cellStyle name="Normal 3 2 3 4 8" xfId="10542" xr:uid="{029BCD4A-245D-438F-BDD4-C3CAB376EC3C}"/>
    <cellStyle name="Normal 3 2 3 4 9" xfId="13836" xr:uid="{123D2226-9CAE-489D-BC82-13C590FA3BC0}"/>
    <cellStyle name="Normal 3 2 3 4 9 2" xfId="15990" xr:uid="{59ED12D9-2525-4129-BD8D-2E95387C849A}"/>
    <cellStyle name="Normal 3 2 3 4 9 3" xfId="20820" xr:uid="{C527E892-FE15-4BE5-A224-2F93289422AC}"/>
    <cellStyle name="Normal 3 2 3 5" xfId="6880" xr:uid="{BFA8D1B2-5509-436A-9B29-F4E00A98CB3D}"/>
    <cellStyle name="Normal 3 2 3 5 2" xfId="6881" xr:uid="{ABBEA570-5468-427B-8B24-BB0678AC9EDC}"/>
    <cellStyle name="Normal 3 2 3 5 2 2" xfId="17285" xr:uid="{2EA664C8-369E-40C9-9E89-5FBEF11DA3A8}"/>
    <cellStyle name="Normal 3 2 3 5 3" xfId="6882" xr:uid="{CE3D15F7-A318-4332-822B-827D4956FB72}"/>
    <cellStyle name="Normal 3 2 3 5 3 2" xfId="17899" xr:uid="{0A1DC665-53BA-406C-BF14-FD95553DAA59}"/>
    <cellStyle name="Normal 3 2 3 5 4" xfId="8728" xr:uid="{302D13CD-233B-4491-8247-479441654F0E}"/>
    <cellStyle name="Normal 3 2 3 5 4 2" xfId="18780" xr:uid="{3896E171-97AC-48C4-9F17-831520500646}"/>
    <cellStyle name="Normal 3 2 3 5 5" xfId="9775" xr:uid="{FE485676-5FCF-4F4A-9370-E8B942D29CF4}"/>
    <cellStyle name="Normal 3 2 3 5 6" xfId="10543" xr:uid="{C77C9C72-5536-4252-98F6-441E1F8CECE4}"/>
    <cellStyle name="Normal 3 2 3 5 7" xfId="12488" xr:uid="{61718178-C3EE-4F46-8380-CCF751AE6E46}"/>
    <cellStyle name="Normal 3 2 3 5 7 2" xfId="14169" xr:uid="{1D1602B4-14EC-41D1-8F85-5CAC5D2BFD57}"/>
    <cellStyle name="Normal 3 2 3 5 7 3" xfId="20692" xr:uid="{7B3311F2-90C5-4501-8A42-2655F247FC19}"/>
    <cellStyle name="Normal 3 2 3 6" xfId="6883" xr:uid="{88C569AF-AE07-421E-BE24-C7F4DCFA7277}"/>
    <cellStyle name="Normal 3 2 3 6 2" xfId="9176" xr:uid="{C2A75AB7-7A61-4D83-B17C-06C5A8BD0FB7}"/>
    <cellStyle name="Normal 3 2 3 6 2 2" xfId="19228" xr:uid="{9A8E2078-15E2-42C8-B241-BCAF0622A079}"/>
    <cellStyle name="Normal 3 2 3 6 3" xfId="11782" xr:uid="{E1BF1806-2B34-4409-BD1A-C94E565A6C9B}"/>
    <cellStyle name="Normal 3 2 3 6 3 2" xfId="16679" xr:uid="{1264CFC8-FBF1-4CB0-B361-63DCFA7DD0B8}"/>
    <cellStyle name="Normal 3 2 3 6 3 3" xfId="20609" xr:uid="{32ED6A3A-80A6-498B-B146-21976A11DDAF}"/>
    <cellStyle name="Normal 3 2 3 6 4" xfId="14043" xr:uid="{B983CB97-7EB6-4035-B5EA-30DEF2CC3A71}"/>
    <cellStyle name="Normal 3 2 3 7" xfId="6884" xr:uid="{6A1D7701-BEE1-4842-8D0E-F8B19EF35021}"/>
    <cellStyle name="Normal 3 2 3 7 2" xfId="11112" xr:uid="{E95ABE0E-10D4-4A29-B661-CD2F42918993}"/>
    <cellStyle name="Normal 3 2 3 7 2 2" xfId="17138" xr:uid="{A3B32D9F-C78E-4F74-A543-445252126FAA}"/>
    <cellStyle name="Normal 3 2 3 7 2 3" xfId="20515" xr:uid="{5823757F-EAD3-4605-AA1F-70B0D6621351}"/>
    <cellStyle name="Normal 3 2 3 7 3" xfId="15567" xr:uid="{35A697C0-70E2-4233-9129-57EF12533BD5}"/>
    <cellStyle name="Normal 3 2 3 8" xfId="6885" xr:uid="{D9CB8CB2-0DC6-40B1-BE95-B7F6CF20900A}"/>
    <cellStyle name="Normal 3 2 3 8 2" xfId="12948" xr:uid="{085B7790-5807-49DB-ABE4-FAD84BBDDA68}"/>
    <cellStyle name="Normal 3 2 3 8 2 2" xfId="17748" xr:uid="{FD1E3EB2-2074-4EFC-96B4-EF6D94655025}"/>
    <cellStyle name="Normal 3 2 3 8 2 3" xfId="20755" xr:uid="{0A668287-C9E8-4F7A-BC7A-EE5838FE9D35}"/>
    <cellStyle name="Normal 3 2 3 8 3" xfId="14516" xr:uid="{F53674C9-2243-4ABA-B740-7110898A3E2A}"/>
    <cellStyle name="Normal 3 2 3 9" xfId="8300" xr:uid="{C328ED91-A009-436B-8C3C-716CA173E3AC}"/>
    <cellStyle name="Normal 3 2 3 9 2" xfId="12758" xr:uid="{B4C17215-7611-4460-9B41-976C8FCECC24}"/>
    <cellStyle name="Normal 3 2 3 9 2 2" xfId="18352" xr:uid="{E8FFEDB1-1A48-4961-9022-DAC757364488}"/>
    <cellStyle name="Normal 3 2 3 9 2 3" xfId="20719" xr:uid="{1809CDEA-6886-480C-AF85-1010226B4A76}"/>
    <cellStyle name="Normal 3 2 4" xfId="2814" xr:uid="{A6146888-A1B7-4088-A358-F18E31C4E5EF}"/>
    <cellStyle name="Normal 3 2 4 10" xfId="9631" xr:uid="{41DF0100-289B-4937-8771-4EB392650AF0}"/>
    <cellStyle name="Normal 3 2 4 11" xfId="10285" xr:uid="{69D17468-2575-460E-8C9B-5C0E4B100E16}"/>
    <cellStyle name="Normal 3 2 4 12" xfId="11384" xr:uid="{43695BDF-1413-4E74-A97E-071866A33E7A}"/>
    <cellStyle name="Normal 3 2 4 12 2" xfId="15440" xr:uid="{148557C9-594E-4A4C-868C-DA85407C19A2}"/>
    <cellStyle name="Normal 3 2 4 12 3" xfId="20558" xr:uid="{E7681EF5-0A8D-4099-8253-DE197EEA884D}"/>
    <cellStyle name="Normal 3 2 4 2" xfId="2815" xr:uid="{BADCF323-799A-4FB2-85DC-8039AC439A7F}"/>
    <cellStyle name="Normal 3 2 4 2 10" xfId="10286" xr:uid="{296A3E70-3D74-40F9-A64A-F3303F76FFBA}"/>
    <cellStyle name="Normal 3 2 4 2 11" xfId="16145" xr:uid="{E0AD11E9-F92F-452A-B3A7-F955F1F80A2C}"/>
    <cellStyle name="Normal 3 2 4 2 2" xfId="4485" xr:uid="{79AF1635-7242-4D53-95CB-4B93744C18FF}"/>
    <cellStyle name="Normal 3 2 4 2 2 2" xfId="6886" xr:uid="{B4318CB4-2134-4078-A521-C127516907AD}"/>
    <cellStyle name="Normal 3 2 4 2 2 2 2" xfId="8918" xr:uid="{D266571F-377C-40A2-894D-74D8F1AB2479}"/>
    <cellStyle name="Normal 3 2 4 2 2 2 2 2" xfId="18970" xr:uid="{89445446-2327-4F58-9675-C4A6A8C18200}"/>
    <cellStyle name="Normal 3 2 4 2 2 2 3" xfId="16423" xr:uid="{95C6780C-84A5-4EAC-8BC7-7D131C1A52F8}"/>
    <cellStyle name="Normal 3 2 4 2 2 2 4" xfId="14032" xr:uid="{F9BDD402-2A48-4840-9B3D-D7BFB4E427DF}"/>
    <cellStyle name="Normal 3 2 4 2 2 3" xfId="6887" xr:uid="{AED98546-9B38-4698-BF2D-678948F40E76}"/>
    <cellStyle name="Normal 3 2 4 2 2 3 2" xfId="9366" xr:uid="{CE86B3F5-7400-42AB-9285-387A4405049A}"/>
    <cellStyle name="Normal 3 2 4 2 2 3 2 2" xfId="19418" xr:uid="{8EFE749D-BCAD-459A-AA8D-E75B4FF02E49}"/>
    <cellStyle name="Normal 3 2 4 2 2 3 3" xfId="16869" xr:uid="{85C2E866-9779-46D8-9FA9-E1A41177EF7B}"/>
    <cellStyle name="Normal 3 2 4 2 2 3 4" xfId="15770" xr:uid="{F2CD794A-B90D-4D63-BDCD-A6256043B6A1}"/>
    <cellStyle name="Normal 3 2 4 2 2 4" xfId="6888" xr:uid="{FA00A129-4453-4EB0-B4A8-E2396105D2EE}"/>
    <cellStyle name="Normal 3 2 4 2 2 4 2" xfId="17470" xr:uid="{F1E162F9-E9E0-470E-AEFB-200BCC43EEA6}"/>
    <cellStyle name="Normal 3 2 4 2 2 4 3" xfId="14722" xr:uid="{B31BB3D5-FE8C-4F25-BC2F-C92E5E5C53FE}"/>
    <cellStyle name="Normal 3 2 4 2 2 5" xfId="6889" xr:uid="{B458A13C-6C43-47D4-9D9B-FBEF93B3EA8F}"/>
    <cellStyle name="Normal 3 2 4 2 2 5 2" xfId="18081" xr:uid="{1FD0E12D-831B-4C32-9C1E-D979E7B94A9D}"/>
    <cellStyle name="Normal 3 2 4 2 2 5 3" xfId="14362" xr:uid="{4EE2F7D2-6A4C-49DB-BAC4-47D70BDA5E0D}"/>
    <cellStyle name="Normal 3 2 4 2 2 6" xfId="8490" xr:uid="{60801A76-A753-4809-81D2-E68B420B985A}"/>
    <cellStyle name="Normal 3 2 4 2 2 6 2" xfId="18542" xr:uid="{2C9A4C7F-FC0B-446D-B0E4-CD4E767B3DC4}"/>
    <cellStyle name="Normal 3 2 4 2 2 7" xfId="9956" xr:uid="{F145D349-0236-4259-A240-5F4AE5F49144}"/>
    <cellStyle name="Normal 3 2 4 2 2 8" xfId="10544" xr:uid="{71DA8064-9CC5-48E1-ACF2-4880F0EC97F5}"/>
    <cellStyle name="Normal 3 2 4 2 2 9" xfId="15989" xr:uid="{0C6854A2-E6A9-48F3-A3A5-809D3395088B}"/>
    <cellStyle name="Normal 3 2 4 2 3" xfId="4486" xr:uid="{13F663AA-448B-49BD-A020-E123A77645AC}"/>
    <cellStyle name="Normal 3 2 4 2 3 2" xfId="6890" xr:uid="{94929ACE-47F7-47CD-8541-89843B122C22}"/>
    <cellStyle name="Normal 3 2 4 2 3 2 2" xfId="8919" xr:uid="{5735B970-7CD0-4672-8A1E-8E62C326516C}"/>
    <cellStyle name="Normal 3 2 4 2 3 2 2 2" xfId="18971" xr:uid="{0F973068-FA36-4240-9394-E04158A9E22C}"/>
    <cellStyle name="Normal 3 2 4 2 3 2 3" xfId="16424" xr:uid="{93A07612-1344-4C47-83B0-D6D55A73662E}"/>
    <cellStyle name="Normal 3 2 4 2 3 2 4" xfId="15203" xr:uid="{B9A82441-66C0-4D04-9003-654684B65B51}"/>
    <cellStyle name="Normal 3 2 4 2 3 3" xfId="6891" xr:uid="{F717658C-BEE2-4875-B98C-C2709F9CD0CE}"/>
    <cellStyle name="Normal 3 2 4 2 3 3 2" xfId="9367" xr:uid="{EA65C7E4-DEB4-4296-B8E6-B69C8D05AF72}"/>
    <cellStyle name="Normal 3 2 4 2 3 3 2 2" xfId="19419" xr:uid="{8D4BA2F9-95AA-4718-AC4B-781E53EF692B}"/>
    <cellStyle name="Normal 3 2 4 2 3 3 3" xfId="16870" xr:uid="{2F7940D1-FF55-4E2F-A805-CDE9BD564975}"/>
    <cellStyle name="Normal 3 2 4 2 3 3 4" xfId="15769" xr:uid="{C02AC287-4388-44B0-9C89-D8EE9F6BE2C9}"/>
    <cellStyle name="Normal 3 2 4 2 3 4" xfId="6892" xr:uid="{3D55A160-A9FB-40CD-BCC1-0A15CA43AF25}"/>
    <cellStyle name="Normal 3 2 4 2 3 4 2" xfId="17471" xr:uid="{F8C8603E-E5A5-4325-AB47-077412F5701A}"/>
    <cellStyle name="Normal 3 2 4 2 3 4 3" xfId="14721" xr:uid="{A1EB6DE6-A7BC-4581-9342-335E3C211752}"/>
    <cellStyle name="Normal 3 2 4 2 3 5" xfId="6893" xr:uid="{365FCB31-B185-4FC9-964E-B9D079E656E4}"/>
    <cellStyle name="Normal 3 2 4 2 3 5 2" xfId="18082" xr:uid="{81A27AA1-36C1-46EA-9A6A-5A25464178F9}"/>
    <cellStyle name="Normal 3 2 4 2 3 5 3" xfId="14361" xr:uid="{A73A355A-61DB-4152-A29C-0B60B86455AD}"/>
    <cellStyle name="Normal 3 2 4 2 3 6" xfId="8491" xr:uid="{715DBB27-81A4-44D6-A2E7-848A64DB4FFD}"/>
    <cellStyle name="Normal 3 2 4 2 3 6 2" xfId="18543" xr:uid="{573C64FF-FB10-46DB-9BDC-1866333361FF}"/>
    <cellStyle name="Normal 3 2 4 2 3 7" xfId="9957" xr:uid="{F0DCF0EA-DC1D-44D7-81BF-32582132EA48}"/>
    <cellStyle name="Normal 3 2 4 2 3 8" xfId="10545" xr:uid="{187113ED-0FB9-4231-93F7-D3E83FFA7F70}"/>
    <cellStyle name="Normal 3 2 4 2 3 9" xfId="15416" xr:uid="{AA544C34-D22C-4387-9F20-CFB9092A154F}"/>
    <cellStyle name="Normal 3 2 4 2 4" xfId="6894" xr:uid="{3794A943-2F5A-4140-BA1A-D024F3781740}"/>
    <cellStyle name="Normal 3 2 4 2 4 2" xfId="6895" xr:uid="{F081A6DD-78B2-4F74-B8F1-7AF723C60D76}"/>
    <cellStyle name="Normal 3 2 4 2 4 2 2" xfId="17288" xr:uid="{8E2BE394-CE51-4879-A351-6E45E527A42B}"/>
    <cellStyle name="Normal 3 2 4 2 4 3" xfId="6896" xr:uid="{7F559F34-CD70-4540-BC7A-DC247E714740}"/>
    <cellStyle name="Normal 3 2 4 2 4 3 2" xfId="17902" xr:uid="{97F1D0DE-AEF4-4B73-9AC7-3B27AD74F689}"/>
    <cellStyle name="Normal 3 2 4 2 4 4" xfId="8731" xr:uid="{6A859E7A-9A3B-4E97-A7B9-D936DDB3AF3A}"/>
    <cellStyle name="Normal 3 2 4 2 4 4 2" xfId="18783" xr:uid="{780AAF2A-642E-4747-81F4-B2F638FA4B62}"/>
    <cellStyle name="Normal 3 2 4 2 4 5" xfId="9778" xr:uid="{A124BF2D-D749-458A-B49E-F7A482B609E3}"/>
    <cellStyle name="Normal 3 2 4 2 4 6" xfId="10546" xr:uid="{39BE939F-F316-4BC1-9F6B-838DD39D22FD}"/>
    <cellStyle name="Normal 3 2 4 2 4 7" xfId="15373" xr:uid="{BFD60744-97DA-426A-BB34-E9BE8B1AEB33}"/>
    <cellStyle name="Normal 3 2 4 2 5" xfId="6897" xr:uid="{25215D2F-22B3-4701-8A9A-0F6B624E514D}"/>
    <cellStyle name="Normal 3 2 4 2 5 2" xfId="9179" xr:uid="{5DC7B86A-F30D-4873-9F7A-E2CF6EDEE601}"/>
    <cellStyle name="Normal 3 2 4 2 5 2 2" xfId="19231" xr:uid="{B724CE42-8146-4B0A-ACA5-F54843F17AA0}"/>
    <cellStyle name="Normal 3 2 4 2 5 3" xfId="16682" xr:uid="{E5676082-DE0C-4FDC-8B9F-2D1F173A6E74}"/>
    <cellStyle name="Normal 3 2 4 2 5 4" xfId="14040" xr:uid="{620E3B2B-FD1F-4A50-A880-252501567A8E}"/>
    <cellStyle name="Normal 3 2 4 2 6" xfId="6898" xr:uid="{41B5A8BD-718A-410E-ADED-2A5403EE6279}"/>
    <cellStyle name="Normal 3 2 4 2 6 2" xfId="17141" xr:uid="{96D5B666-16C8-454A-BBF4-53A6C836E28C}"/>
    <cellStyle name="Normal 3 2 4 2 6 3" xfId="15565" xr:uid="{6ABE120E-54AD-42A6-BB49-95352F5C4A3F}"/>
    <cellStyle name="Normal 3 2 4 2 7" xfId="6899" xr:uid="{068D2D88-D6D7-4498-9B0E-38898D7A2DD7}"/>
    <cellStyle name="Normal 3 2 4 2 7 2" xfId="17751" xr:uid="{407B6414-D4AB-4DCC-9FCA-2CC599385C68}"/>
    <cellStyle name="Normal 3 2 4 2 7 3" xfId="14513" xr:uid="{00168983-7B15-43A2-9E99-E3C8B301C0EC}"/>
    <cellStyle name="Normal 3 2 4 2 8" xfId="8303" xr:uid="{428DBCD2-7998-4478-8733-2CBE056A9DD4}"/>
    <cellStyle name="Normal 3 2 4 2 8 2" xfId="18355" xr:uid="{34665D62-B847-4CE0-861C-549415DDE7F0}"/>
    <cellStyle name="Normal 3 2 4 2 9" xfId="9632" xr:uid="{211C10D3-620C-4595-A98F-6AFBB7A6699A}"/>
    <cellStyle name="Normal 3 2 4 3" xfId="4487" xr:uid="{ED876866-4978-43F2-969B-3B8FDCB5557A}"/>
    <cellStyle name="Normal 3 2 4 3 2" xfId="6900" xr:uid="{1660EAB3-BD1E-4559-9266-5EA12D094AF5}"/>
    <cellStyle name="Normal 3 2 4 3 2 2" xfId="8920" xr:uid="{ED0F1DFF-8ED3-46BA-8F3A-F9C0435BED60}"/>
    <cellStyle name="Normal 3 2 4 3 2 2 2" xfId="18972" xr:uid="{7CA95AC2-2A7B-4DD6-9EFE-25DA78C75FC0}"/>
    <cellStyle name="Normal 3 2 4 3 2 3" xfId="16425" xr:uid="{CF5EBD5A-C366-4025-8777-A375C83B0EFF}"/>
    <cellStyle name="Normal 3 2 4 3 2 4" xfId="15202" xr:uid="{2C9E92F0-9AF5-4424-A23D-EF3DF7DC2F94}"/>
    <cellStyle name="Normal 3 2 4 3 3" xfId="6901" xr:uid="{73BB7B6A-2887-4D3D-B167-435080A2CC65}"/>
    <cellStyle name="Normal 3 2 4 3 3 2" xfId="9368" xr:uid="{53245CAD-FC9B-468F-B5CE-5A79B68FA44D}"/>
    <cellStyle name="Normal 3 2 4 3 3 2 2" xfId="19420" xr:uid="{8A808DB7-B88A-4774-A591-5DB4A3498DAF}"/>
    <cellStyle name="Normal 3 2 4 3 3 3" xfId="16871" xr:uid="{AB801365-5885-4541-BB46-3FC8AAE12713}"/>
    <cellStyle name="Normal 3 2 4 3 3 4" xfId="15768" xr:uid="{A92FD1BD-5A68-4418-8AAB-F6B6237FE9AB}"/>
    <cellStyle name="Normal 3 2 4 3 4" xfId="6902" xr:uid="{853B4B1C-14DA-415C-A3ED-67EC6F64DACF}"/>
    <cellStyle name="Normal 3 2 4 3 4 2" xfId="17472" xr:uid="{781447C0-D1C0-41B4-A2C4-B0FB4B451B9F}"/>
    <cellStyle name="Normal 3 2 4 3 4 3" xfId="14720" xr:uid="{FE60CF44-5E7E-4906-A40F-569FD6FC63D3}"/>
    <cellStyle name="Normal 3 2 4 3 5" xfId="6903" xr:uid="{15AF89DA-ED6E-4728-9011-0A5282AC9CB9}"/>
    <cellStyle name="Normal 3 2 4 3 5 2" xfId="18083" xr:uid="{22C4A6A2-8489-4DDC-9001-DB01385895A0}"/>
    <cellStyle name="Normal 3 2 4 3 5 3" xfId="14360" xr:uid="{1D2C988D-478B-470F-803C-F10120874116}"/>
    <cellStyle name="Normal 3 2 4 3 6" xfId="8492" xr:uid="{DCE0F0A4-3226-48D7-A2F5-AD71147DE8AE}"/>
    <cellStyle name="Normal 3 2 4 3 6 2" xfId="18544" xr:uid="{01193712-F983-41CA-905B-EBE927978BE9}"/>
    <cellStyle name="Normal 3 2 4 3 7" xfId="9958" xr:uid="{24FFCB5A-36DB-4B51-83B7-D52BB1220C77}"/>
    <cellStyle name="Normal 3 2 4 3 8" xfId="10547" xr:uid="{6749DF10-BBC2-4884-9CF3-8866072BDF9E}"/>
    <cellStyle name="Normal 3 2 4 3 9" xfId="15988" xr:uid="{858EC6ED-718D-42ED-AC4E-BC7D96AC93FC}"/>
    <cellStyle name="Normal 3 2 4 4" xfId="4488" xr:uid="{FBEC9FCA-87EF-4816-9AF3-E6CD6D57E72E}"/>
    <cellStyle name="Normal 3 2 4 4 2" xfId="6904" xr:uid="{568BF73A-FCE3-4782-ACCF-92EFAA77A14C}"/>
    <cellStyle name="Normal 3 2 4 4 2 2" xfId="8921" xr:uid="{67F24E4E-9A59-4A33-9EED-27AF6B827F53}"/>
    <cellStyle name="Normal 3 2 4 4 2 2 2" xfId="18973" xr:uid="{BBE12399-61CB-4FD2-9886-7F8CE1AD2A76}"/>
    <cellStyle name="Normal 3 2 4 4 2 3" xfId="16426" xr:uid="{22E83541-2E22-411F-8410-DE04843B03E6}"/>
    <cellStyle name="Normal 3 2 4 4 2 4" xfId="15201" xr:uid="{11052D44-FAC7-412C-B3A8-6B0E2DE12644}"/>
    <cellStyle name="Normal 3 2 4 4 3" xfId="6905" xr:uid="{7D2BBD21-CB88-4823-A72D-D681A06E881E}"/>
    <cellStyle name="Normal 3 2 4 4 3 2" xfId="9369" xr:uid="{22D4EECB-9DC7-403C-9B18-653DA67AE781}"/>
    <cellStyle name="Normal 3 2 4 4 3 2 2" xfId="19421" xr:uid="{2A1AC433-AF04-432C-8F04-1FC1B5195DF8}"/>
    <cellStyle name="Normal 3 2 4 4 3 3" xfId="16872" xr:uid="{CEB4A6AC-1DC0-40C4-8654-0B6E56AE6BF9}"/>
    <cellStyle name="Normal 3 2 4 4 3 4" xfId="14842" xr:uid="{6FAF76DF-1653-4237-B6F1-60E2316623C7}"/>
    <cellStyle name="Normal 3 2 4 4 4" xfId="6906" xr:uid="{497F3F31-C29E-404A-89ED-5F4600620812}"/>
    <cellStyle name="Normal 3 2 4 4 4 2" xfId="17473" xr:uid="{D69A915D-E3EC-477F-B401-502C82A5CDD4}"/>
    <cellStyle name="Normal 3 2 4 4 4 3" xfId="14719" xr:uid="{0AEBB804-0CE4-4C26-AC93-022A972120ED}"/>
    <cellStyle name="Normal 3 2 4 4 5" xfId="6907" xr:uid="{B2D3F197-0426-458B-95BD-8726E8ECAABE}"/>
    <cellStyle name="Normal 3 2 4 4 5 2" xfId="18084" xr:uid="{03EFB86B-8518-4B4E-89EF-63AA96F0CB9A}"/>
    <cellStyle name="Normal 3 2 4 4 5 3" xfId="14078" xr:uid="{65A1A06C-4BC2-4A7A-A313-CF1720D1739F}"/>
    <cellStyle name="Normal 3 2 4 4 6" xfId="8493" xr:uid="{9BDDFB9E-E88E-4C8C-87B1-8876A8FBECC6}"/>
    <cellStyle name="Normal 3 2 4 4 6 2" xfId="18545" xr:uid="{48482BC4-66F4-47B2-B037-63900A6BB16A}"/>
    <cellStyle name="Normal 3 2 4 4 7" xfId="9959" xr:uid="{795FDFC8-D444-4472-A7DB-63446C3431F4}"/>
    <cellStyle name="Normal 3 2 4 4 8" xfId="10548" xr:uid="{337B6C29-B059-41DE-B7E2-12E779744EF6}"/>
    <cellStyle name="Normal 3 2 4 4 9" xfId="15987" xr:uid="{F7B992E2-8149-40AB-B476-43DB9668F9FC}"/>
    <cellStyle name="Normal 3 2 4 5" xfId="6908" xr:uid="{A91D145D-6E4E-46E6-A8F8-70D22EA6DFBD}"/>
    <cellStyle name="Normal 3 2 4 5 2" xfId="6909" xr:uid="{F56F9AD4-21E2-4163-AFFC-AF12FB0447C0}"/>
    <cellStyle name="Normal 3 2 4 5 2 2" xfId="17287" xr:uid="{005FF477-A26A-48FD-A49C-5E7A3619056E}"/>
    <cellStyle name="Normal 3 2 4 5 3" xfId="6910" xr:uid="{0CFB26CB-79B4-4DAB-B65B-778C02AF3048}"/>
    <cellStyle name="Normal 3 2 4 5 3 2" xfId="17901" xr:uid="{4AF2678A-FCDF-4DBF-9991-553941584D6D}"/>
    <cellStyle name="Normal 3 2 4 5 4" xfId="8730" xr:uid="{9F6ACF82-8E72-4EF5-850A-FF59C9EF2C94}"/>
    <cellStyle name="Normal 3 2 4 5 4 2" xfId="18782" xr:uid="{48A8FA38-54AC-46FA-BB3B-B67B2C144E07}"/>
    <cellStyle name="Normal 3 2 4 5 5" xfId="9777" xr:uid="{5108509D-0F2B-401A-A04A-A25D0523C1BA}"/>
    <cellStyle name="Normal 3 2 4 5 6" xfId="10549" xr:uid="{47E913E3-8948-47B7-92F6-C969E03373A3}"/>
    <cellStyle name="Normal 3 2 4 5 7" xfId="15374" xr:uid="{2CD8D644-8E7C-4E87-9817-EA80D0E45D1F}"/>
    <cellStyle name="Normal 3 2 4 6" xfId="6911" xr:uid="{C2253A43-F6E6-4C32-BF93-CFAA3B875A9C}"/>
    <cellStyle name="Normal 3 2 4 6 2" xfId="9178" xr:uid="{C46D07B7-9732-4929-9859-FB09C7378C0A}"/>
    <cellStyle name="Normal 3 2 4 6 2 2" xfId="19230" xr:uid="{C927314F-CD15-4BE4-B2EF-8DA58C290A1D}"/>
    <cellStyle name="Normal 3 2 4 6 3" xfId="16681" xr:uid="{CE04337E-5A75-4D46-86F5-AEEE6918D94A}"/>
    <cellStyle name="Normal 3 2 4 6 4" xfId="14041" xr:uid="{F29580AA-CA81-46B8-A004-F244B6B8EFA9}"/>
    <cellStyle name="Normal 3 2 4 7" xfId="6912" xr:uid="{3DA00112-9E74-4934-A122-CE54845CE3BA}"/>
    <cellStyle name="Normal 3 2 4 7 2" xfId="17140" xr:uid="{7B4CEC04-4EBF-4AAA-8339-759B01DFEC27}"/>
    <cellStyle name="Normal 3 2 4 7 3" xfId="14810" xr:uid="{022FCDE9-9BA9-4465-82EC-F4F74CCF8E4A}"/>
    <cellStyle name="Normal 3 2 4 8" xfId="6913" xr:uid="{E975E5AF-0FE5-4700-B719-076F11BB9F3F}"/>
    <cellStyle name="Normal 3 2 4 8 2" xfId="17750" xr:uid="{141413EA-5CCF-44FD-8228-5FCD1F27B96F}"/>
    <cellStyle name="Normal 3 2 4 8 3" xfId="14514" xr:uid="{DF2821F7-9E1E-44EA-9059-20FD5CB8AB51}"/>
    <cellStyle name="Normal 3 2 4 9" xfId="8302" xr:uid="{A0145898-0913-474D-A4AC-8D7E227B5F2E}"/>
    <cellStyle name="Normal 3 2 4 9 2" xfId="18354" xr:uid="{22C5E9DD-94B0-486C-9733-12BFDC7DE487}"/>
    <cellStyle name="Normal 3 2 5" xfId="2816" xr:uid="{BBD1374A-5FAF-4303-828C-5B0765CDC30D}"/>
    <cellStyle name="Normal 3 2 5 10" xfId="9633" xr:uid="{07F8990F-623D-4254-9A60-FD19AC5F470B}"/>
    <cellStyle name="Normal 3 2 5 11" xfId="10287" xr:uid="{7E374F92-5E78-49BA-B9A5-9022F27A6AE0}"/>
    <cellStyle name="Normal 3 2 5 12" xfId="15483" xr:uid="{C097269C-4F71-4BC1-B809-34F89689B8D1}"/>
    <cellStyle name="Normal 3 2 5 2" xfId="2817" xr:uid="{A5AC3581-B5C4-487C-B455-74F168B521B4}"/>
    <cellStyle name="Normal 3 2 5 2 10" xfId="10288" xr:uid="{8C01A556-1610-499A-9715-C7C788D6392D}"/>
    <cellStyle name="Normal 3 2 5 2 11" xfId="16144" xr:uid="{ECAF02B6-39AC-49BA-9D7B-46447C6C1981}"/>
    <cellStyle name="Normal 3 2 5 2 2" xfId="4489" xr:uid="{3623A26A-005D-44F5-A32C-3C1A31D194B0}"/>
    <cellStyle name="Normal 3 2 5 2 2 2" xfId="6914" xr:uid="{E11D5325-17D6-44A4-A80F-7F1BE996AE87}"/>
    <cellStyle name="Normal 3 2 5 2 2 2 2" xfId="8922" xr:uid="{D110B358-BBC7-49DB-93D0-227F0BAA2820}"/>
    <cellStyle name="Normal 3 2 5 2 2 2 2 2" xfId="18974" xr:uid="{2516D408-BBB0-4636-878B-B4E71F3FCAF0}"/>
    <cellStyle name="Normal 3 2 5 2 2 2 3" xfId="16427" xr:uid="{A07F0DF5-BCD9-4E0A-8209-9F8449EE769E}"/>
    <cellStyle name="Normal 3 2 5 2 2 2 4" xfId="15200" xr:uid="{4AB6235B-4F09-4AA3-9F8C-EE215DE28BBB}"/>
    <cellStyle name="Normal 3 2 5 2 2 3" xfId="6915" xr:uid="{AFCCBB0E-8FBC-4FFE-AB71-A26FE376F1ED}"/>
    <cellStyle name="Normal 3 2 5 2 2 3 2" xfId="9370" xr:uid="{ECFB197E-E791-4941-81CB-E9E256138D2C}"/>
    <cellStyle name="Normal 3 2 5 2 2 3 2 2" xfId="19422" xr:uid="{697D435B-FD7D-4B58-87DC-7F1D9247E905}"/>
    <cellStyle name="Normal 3 2 5 2 2 3 3" xfId="16873" xr:uid="{9941FC62-388A-4151-8B25-95266F8160DC}"/>
    <cellStyle name="Normal 3 2 5 2 2 3 4" xfId="15767" xr:uid="{84F55DE4-2D7B-4AF4-9DA0-BBCE697C190E}"/>
    <cellStyle name="Normal 3 2 5 2 2 4" xfId="6916" xr:uid="{C9D489CC-3C4B-4438-9A93-4678225A1310}"/>
    <cellStyle name="Normal 3 2 5 2 2 4 2" xfId="17474" xr:uid="{3E302C09-4F76-49A5-B9B4-B43F4BDB59F6}"/>
    <cellStyle name="Normal 3 2 5 2 2 4 3" xfId="14718" xr:uid="{CF325668-5C6C-45FE-8506-2F0A32E566BC}"/>
    <cellStyle name="Normal 3 2 5 2 2 5" xfId="6917" xr:uid="{704E43BF-19EE-4302-BD99-ADF077E45DEE}"/>
    <cellStyle name="Normal 3 2 5 2 2 5 2" xfId="18085" xr:uid="{6E9C0CD5-40E9-4749-AF60-3D739183173F}"/>
    <cellStyle name="Normal 3 2 5 2 2 5 3" xfId="14077" xr:uid="{4D178FA7-086A-456C-83D4-65E1954B17C6}"/>
    <cellStyle name="Normal 3 2 5 2 2 6" xfId="8494" xr:uid="{49214FFD-3AF6-45AB-BF4D-9D5994EBCFCF}"/>
    <cellStyle name="Normal 3 2 5 2 2 6 2" xfId="18546" xr:uid="{51AFBA96-4701-44BF-9521-53F4C63E1193}"/>
    <cellStyle name="Normal 3 2 5 2 2 7" xfId="9960" xr:uid="{AA94CD08-B113-433E-8D09-64CD97182C60}"/>
    <cellStyle name="Normal 3 2 5 2 2 8" xfId="10550" xr:uid="{28DA3C2C-F5A9-4F0E-A429-637D1E4E55F7}"/>
    <cellStyle name="Normal 3 2 5 2 2 9" xfId="15986" xr:uid="{BCF56B75-23F1-4EA5-BA9F-78B0C7242F75}"/>
    <cellStyle name="Normal 3 2 5 2 3" xfId="4490" xr:uid="{1E8B9FF0-AC56-42CA-B224-A9898AA61E35}"/>
    <cellStyle name="Normal 3 2 5 2 3 2" xfId="6918" xr:uid="{F2F79434-F55E-437E-9FA8-5A1EFE41BBC6}"/>
    <cellStyle name="Normal 3 2 5 2 3 2 2" xfId="8923" xr:uid="{D8D0DA4D-0880-4D39-B2FD-25235646EF90}"/>
    <cellStyle name="Normal 3 2 5 2 3 2 2 2" xfId="18975" xr:uid="{400F4E7D-B644-4356-AB0C-6ACE65FBAC78}"/>
    <cellStyle name="Normal 3 2 5 2 3 2 3" xfId="16428" xr:uid="{72D8F810-F5F5-4976-93D2-6A9F37AFFD39}"/>
    <cellStyle name="Normal 3 2 5 2 3 2 4" xfId="15199" xr:uid="{B7BE1A83-7D05-4ECC-9DBC-2424A8BCAC3A}"/>
    <cellStyle name="Normal 3 2 5 2 3 3" xfId="6919" xr:uid="{C9791BFB-D4A1-4C44-AB52-FCC0D31595A5}"/>
    <cellStyle name="Normal 3 2 5 2 3 3 2" xfId="9371" xr:uid="{8450BB5F-2A7B-46BB-BB26-FE82BE312291}"/>
    <cellStyle name="Normal 3 2 5 2 3 3 2 2" xfId="19423" xr:uid="{1CA6822D-088F-4A62-8892-DADE2A5822AB}"/>
    <cellStyle name="Normal 3 2 5 2 3 3 3" xfId="16874" xr:uid="{3A1B8A35-CB87-44CB-97B3-C702971F1B2F}"/>
    <cellStyle name="Normal 3 2 5 2 3 3 4" xfId="15766" xr:uid="{A2C3B489-0698-4DBF-AEB5-7FB19DDC1AB3}"/>
    <cellStyle name="Normal 3 2 5 2 3 4" xfId="6920" xr:uid="{A21D41A4-61BA-452E-867C-C19979C75C11}"/>
    <cellStyle name="Normal 3 2 5 2 3 4 2" xfId="17475" xr:uid="{EC5054AF-840F-448B-9285-0C7A6AA6DEAB}"/>
    <cellStyle name="Normal 3 2 5 2 3 4 3" xfId="14717" xr:uid="{A5CC154B-35C5-4C8F-8DD8-8382685004D0}"/>
    <cellStyle name="Normal 3 2 5 2 3 5" xfId="6921" xr:uid="{A3976F41-D407-4A76-ADD1-CFA31F0599DA}"/>
    <cellStyle name="Normal 3 2 5 2 3 5 2" xfId="18086" xr:uid="{2850889C-4771-4CB0-8344-336CF7B4F5F3}"/>
    <cellStyle name="Normal 3 2 5 2 3 5 3" xfId="14076" xr:uid="{BDABF05C-F894-499B-BDB3-D5D3ECDE8506}"/>
    <cellStyle name="Normal 3 2 5 2 3 6" xfId="8495" xr:uid="{840DF2BA-43F4-4B01-8030-36827628B19A}"/>
    <cellStyle name="Normal 3 2 5 2 3 6 2" xfId="18547" xr:uid="{082A4AB0-F34D-4480-8566-C8A48DEAFE7C}"/>
    <cellStyle name="Normal 3 2 5 2 3 7" xfId="9961" xr:uid="{C564A286-8010-4790-B44C-83B6F1AF495E}"/>
    <cellStyle name="Normal 3 2 5 2 3 8" xfId="10551" xr:uid="{37C6FA1A-174B-4F6E-A0A4-A336C9D76C8E}"/>
    <cellStyle name="Normal 3 2 5 2 3 9" xfId="15985" xr:uid="{F994ADD1-D362-4182-8522-0868928FA0AB}"/>
    <cellStyle name="Normal 3 2 5 2 4" xfId="6922" xr:uid="{D0E6720A-FA5B-4DCD-93EE-16FE7FBE4C5F}"/>
    <cellStyle name="Normal 3 2 5 2 4 2" xfId="6923" xr:uid="{8258D34D-5D10-4F2E-80F6-8BBE1FBEC404}"/>
    <cellStyle name="Normal 3 2 5 2 4 2 2" xfId="17290" xr:uid="{CFBD42C6-88CF-4326-993A-82165F49D594}"/>
    <cellStyle name="Normal 3 2 5 2 4 3" xfId="6924" xr:uid="{0F98FCA3-4676-4DF6-B9FF-15CC814859A7}"/>
    <cellStyle name="Normal 3 2 5 2 4 3 2" xfId="17904" xr:uid="{8D9AABB2-801D-4E33-9F61-B986A7183385}"/>
    <cellStyle name="Normal 3 2 5 2 4 4" xfId="8733" xr:uid="{1C3734ED-742E-4890-8B39-B9E09DD1C78C}"/>
    <cellStyle name="Normal 3 2 5 2 4 4 2" xfId="18785" xr:uid="{BE0CBE18-FA3F-471C-9F88-8F7740539AB6}"/>
    <cellStyle name="Normal 3 2 5 2 4 5" xfId="9780" xr:uid="{B35DDBC4-94BB-4D9B-8690-221DFCF2196C}"/>
    <cellStyle name="Normal 3 2 5 2 4 6" xfId="10552" xr:uid="{B1F0CC2D-1E55-4E1D-8492-115544DAA8DB}"/>
    <cellStyle name="Normal 3 2 5 2 4 7" xfId="15371" xr:uid="{6D43F6A3-62A9-4BC9-92A9-E5DF16C0B7BA}"/>
    <cellStyle name="Normal 3 2 5 2 5" xfId="6925" xr:uid="{9B8A66D3-CDB5-4CB2-A8EC-305E3E62F1F9}"/>
    <cellStyle name="Normal 3 2 5 2 5 2" xfId="9181" xr:uid="{65E8411E-D2BA-4F6F-8459-879387D072F1}"/>
    <cellStyle name="Normal 3 2 5 2 5 2 2" xfId="19233" xr:uid="{940593D8-7D9A-4BDE-A8EB-BA8E56D726B7}"/>
    <cellStyle name="Normal 3 2 5 2 5 3" xfId="16684" xr:uid="{528F4558-8EC9-4AC9-94D5-140E503C9AB1}"/>
    <cellStyle name="Normal 3 2 5 2 5 4" xfId="14038" xr:uid="{9C8960E7-81A5-4C39-A07D-54ED750337AF}"/>
    <cellStyle name="Normal 3 2 5 2 6" xfId="6926" xr:uid="{8ED9DA15-AF18-4FA0-B211-E0275CE7FF28}"/>
    <cellStyle name="Normal 3 2 5 2 6 2" xfId="17143" xr:uid="{5F9B1DBC-B4C2-4A65-9881-477C289446B7}"/>
    <cellStyle name="Normal 3 2 5 2 6 3" xfId="15563" xr:uid="{55A5EC7E-7BC8-4579-8067-F7AAC27E4938}"/>
    <cellStyle name="Normal 3 2 5 2 7" xfId="6927" xr:uid="{3F3B086E-B361-48C3-B15E-01DE784D2934}"/>
    <cellStyle name="Normal 3 2 5 2 7 2" xfId="17753" xr:uid="{DBFB8BF7-021F-4042-B9F4-7866F25D2164}"/>
    <cellStyle name="Normal 3 2 5 2 7 3" xfId="14100" xr:uid="{2FEBB5DE-8BAA-411A-9AC7-AE12AB0BFAA2}"/>
    <cellStyle name="Normal 3 2 5 2 8" xfId="8305" xr:uid="{E3EADB75-04A3-422C-AB30-A39E7A471D5B}"/>
    <cellStyle name="Normal 3 2 5 2 8 2" xfId="18357" xr:uid="{7F67AC5F-5C16-4979-BB77-99950EC9CFF9}"/>
    <cellStyle name="Normal 3 2 5 2 9" xfId="9634" xr:uid="{4B691395-C371-415C-A034-F122B44B9254}"/>
    <cellStyle name="Normal 3 2 5 3" xfId="4491" xr:uid="{83DBDBBF-B127-4A66-A980-4163ABA3909E}"/>
    <cellStyle name="Normal 3 2 5 3 2" xfId="6928" xr:uid="{60CA1A75-10AC-451B-960F-DF8B03C53857}"/>
    <cellStyle name="Normal 3 2 5 3 2 2" xfId="8924" xr:uid="{E04B1B5B-DEE8-4973-B6AF-EBB450F92F74}"/>
    <cellStyle name="Normal 3 2 5 3 2 2 2" xfId="18976" xr:uid="{F038DCF6-C9F7-4216-A1D5-7D0B2CF214B5}"/>
    <cellStyle name="Normal 3 2 5 3 2 3" xfId="16429" xr:uid="{DE8834EA-DCEE-4686-82B7-9D6426EC8B55}"/>
    <cellStyle name="Normal 3 2 5 3 2 4" xfId="15198" xr:uid="{CF74850C-A5E9-4489-AF27-5F03AD6965B9}"/>
    <cellStyle name="Normal 3 2 5 3 3" xfId="6929" xr:uid="{F8F6B977-22CE-4EFE-9F2B-5B73D96A5456}"/>
    <cellStyle name="Normal 3 2 5 3 3 2" xfId="9372" xr:uid="{2E40A9F6-EE75-4730-8E29-87E9245E1629}"/>
    <cellStyle name="Normal 3 2 5 3 3 2 2" xfId="19424" xr:uid="{AA455597-E3F8-41C1-8E6B-4201AA72A849}"/>
    <cellStyle name="Normal 3 2 5 3 3 3" xfId="16875" xr:uid="{271530D0-FDA5-499B-A340-ADA7F8443E17}"/>
    <cellStyle name="Normal 3 2 5 3 3 4" xfId="15765" xr:uid="{DA378408-0A39-4E7E-9444-D1846E0F96BC}"/>
    <cellStyle name="Normal 3 2 5 3 4" xfId="6930" xr:uid="{BD94BC38-21A7-470F-8130-68BBC0EC881A}"/>
    <cellStyle name="Normal 3 2 5 3 4 2" xfId="17476" xr:uid="{489DDAB4-8118-4AF1-B018-EAAFE53C1A47}"/>
    <cellStyle name="Normal 3 2 5 3 4 3" xfId="14716" xr:uid="{472CC696-AEF4-44C7-966F-D3701E190837}"/>
    <cellStyle name="Normal 3 2 5 3 5" xfId="6931" xr:uid="{8832CB93-7C31-4107-97C2-6A7ECA0F377F}"/>
    <cellStyle name="Normal 3 2 5 3 5 2" xfId="18087" xr:uid="{78640812-1CA7-411A-AC5E-220982AF7CA6}"/>
    <cellStyle name="Normal 3 2 5 3 5 3" xfId="14181" xr:uid="{327B3329-6009-459A-A29F-9704CD944B41}"/>
    <cellStyle name="Normal 3 2 5 3 6" xfId="8496" xr:uid="{C6AADABD-36FC-4BB7-A48C-34DD6A6331DE}"/>
    <cellStyle name="Normal 3 2 5 3 6 2" xfId="18548" xr:uid="{A3487692-C1C1-44E0-824C-201E52842346}"/>
    <cellStyle name="Normal 3 2 5 3 7" xfId="9962" xr:uid="{037F2B57-9AD1-40DB-AAD9-30216EDA3438}"/>
    <cellStyle name="Normal 3 2 5 3 8" xfId="10553" xr:uid="{747B63EF-F726-42B7-9495-D553C76968D2}"/>
    <cellStyle name="Normal 3 2 5 3 9" xfId="15984" xr:uid="{8C774FA9-4688-4286-8874-EAC73C39BEED}"/>
    <cellStyle name="Normal 3 2 5 4" xfId="4492" xr:uid="{DA9376F0-A05C-47C0-9079-0B0010EA0374}"/>
    <cellStyle name="Normal 3 2 5 4 2" xfId="6932" xr:uid="{D73E6B83-D2A7-4077-9BDC-9A4C124CD339}"/>
    <cellStyle name="Normal 3 2 5 4 2 2" xfId="8925" xr:uid="{91D41C58-D32E-4CB6-B46E-6615692BBBCD}"/>
    <cellStyle name="Normal 3 2 5 4 2 2 2" xfId="18977" xr:uid="{53646E02-FAFA-450B-8648-855B46B972F8}"/>
    <cellStyle name="Normal 3 2 5 4 2 3" xfId="16430" xr:uid="{00F69A5C-E3FB-4632-B017-3B1B10DDF6D7}"/>
    <cellStyle name="Normal 3 2 5 4 2 4" xfId="15197" xr:uid="{BBFF4961-A32A-4A2B-B93A-76AECD1C1551}"/>
    <cellStyle name="Normal 3 2 5 4 3" xfId="6933" xr:uid="{A11F2CAA-EE3A-415C-B490-BB904CE836B7}"/>
    <cellStyle name="Normal 3 2 5 4 3 2" xfId="9373" xr:uid="{180198CA-0969-46E9-9F89-2D8CDBFCE3F0}"/>
    <cellStyle name="Normal 3 2 5 4 3 2 2" xfId="19425" xr:uid="{B017FD26-86DB-4917-9770-5AC30E585157}"/>
    <cellStyle name="Normal 3 2 5 4 3 3" xfId="16876" xr:uid="{F373F9E8-7C4D-4E20-9EBB-05D0C3314C81}"/>
    <cellStyle name="Normal 3 2 5 4 3 4" xfId="15764" xr:uid="{250676A9-4A7D-408C-9199-949611ECCDE7}"/>
    <cellStyle name="Normal 3 2 5 4 4" xfId="6934" xr:uid="{B63F191E-B9F3-479B-8B5D-9C8C5606192E}"/>
    <cellStyle name="Normal 3 2 5 4 4 2" xfId="17477" xr:uid="{004F180D-392E-4D4F-B0D5-F11E2269B82A}"/>
    <cellStyle name="Normal 3 2 5 4 4 3" xfId="14715" xr:uid="{6AC17B30-E545-44D2-A91D-C80EC5584625}"/>
    <cellStyle name="Normal 3 2 5 4 5" xfId="6935" xr:uid="{982308D3-1E11-4E62-8F8C-6191CD891040}"/>
    <cellStyle name="Normal 3 2 5 4 5 2" xfId="18088" xr:uid="{B4C7980B-7415-4803-8F66-E3735F73BAEE}"/>
    <cellStyle name="Normal 3 2 5 4 5 3" xfId="14359" xr:uid="{766324A4-7573-4453-9AB5-9FD306E8AAE0}"/>
    <cellStyle name="Normal 3 2 5 4 6" xfId="8497" xr:uid="{325AF652-965E-42A6-B7F7-1020EC1B429F}"/>
    <cellStyle name="Normal 3 2 5 4 6 2" xfId="18549" xr:uid="{EF0E229C-560C-4779-B9B5-D758E88A6BE7}"/>
    <cellStyle name="Normal 3 2 5 4 7" xfId="9963" xr:uid="{1601B132-8086-4AD0-B7AB-8638AF15E5E0}"/>
    <cellStyle name="Normal 3 2 5 4 8" xfId="10554" xr:uid="{7EEAC08C-8AFD-48F5-9F24-8B8C800AB7B1}"/>
    <cellStyle name="Normal 3 2 5 4 9" xfId="15983" xr:uid="{0FFEA918-6E6B-47E9-B639-8EB47733ED34}"/>
    <cellStyle name="Normal 3 2 5 5" xfId="6936" xr:uid="{4C7F13C8-25E4-4339-AA86-49B492D49E35}"/>
    <cellStyle name="Normal 3 2 5 5 2" xfId="6937" xr:uid="{A7CD4204-366B-4FC1-948C-611E080D8C33}"/>
    <cellStyle name="Normal 3 2 5 5 2 2" xfId="17289" xr:uid="{DFE7641F-ADA4-4627-B6AE-00E967A60704}"/>
    <cellStyle name="Normal 3 2 5 5 3" xfId="6938" xr:uid="{90F94D65-92FC-444E-9A70-B4F16E9865F9}"/>
    <cellStyle name="Normal 3 2 5 5 3 2" xfId="17903" xr:uid="{1164B671-891C-4766-9992-F034D648D8D1}"/>
    <cellStyle name="Normal 3 2 5 5 4" xfId="8732" xr:uid="{27AA7985-FB49-4785-8D89-BA589A43CF00}"/>
    <cellStyle name="Normal 3 2 5 5 4 2" xfId="18784" xr:uid="{E6DBF4D8-A422-4E76-925E-9F4029155572}"/>
    <cellStyle name="Normal 3 2 5 5 5" xfId="9779" xr:uid="{A8A3866D-9C7D-4601-8762-CD4121E892FC}"/>
    <cellStyle name="Normal 3 2 5 5 6" xfId="10555" xr:uid="{17E361F3-11C2-4926-9202-BF2CDDF33E16}"/>
    <cellStyle name="Normal 3 2 5 5 7" xfId="15372" xr:uid="{738B9346-837B-4F08-B04C-91692621B3C3}"/>
    <cellStyle name="Normal 3 2 5 6" xfId="6939" xr:uid="{BD110E06-341F-4018-A8F9-05DDBC19CA1A}"/>
    <cellStyle name="Normal 3 2 5 6 2" xfId="9180" xr:uid="{A2E0F591-A6B6-48B0-A011-3B6A0EBF040A}"/>
    <cellStyle name="Normal 3 2 5 6 2 2" xfId="19232" xr:uid="{FEE6AEA7-1091-40CF-8518-471610FEFA38}"/>
    <cellStyle name="Normal 3 2 5 6 3" xfId="16683" xr:uid="{373842EF-A8FF-4B2A-B529-151E9FBF3E20}"/>
    <cellStyle name="Normal 3 2 5 6 4" xfId="14039" xr:uid="{E5134E25-9FC9-4BC5-B92B-B832C87F7FFD}"/>
    <cellStyle name="Normal 3 2 5 7" xfId="6940" xr:uid="{6554B736-0025-46FF-A929-5044DE0393E2}"/>
    <cellStyle name="Normal 3 2 5 7 2" xfId="17142" xr:uid="{462EE2CC-C4F4-4BEF-A38F-87A44597D8FB}"/>
    <cellStyle name="Normal 3 2 5 7 3" xfId="15564" xr:uid="{92D56E6C-3E53-41FD-A4EC-2EB4F6D6FF0C}"/>
    <cellStyle name="Normal 3 2 5 8" xfId="6941" xr:uid="{6F938CED-EB83-4EF5-A1A8-447C4E348793}"/>
    <cellStyle name="Normal 3 2 5 8 2" xfId="17752" xr:uid="{D3478015-843D-4BB3-A063-71F61408039E}"/>
    <cellStyle name="Normal 3 2 5 8 3" xfId="14512" xr:uid="{7EA08F08-895E-4834-93F2-CC55F61A14CA}"/>
    <cellStyle name="Normal 3 2 5 9" xfId="8304" xr:uid="{70780519-466B-4F6B-9962-B8F7885B8E14}"/>
    <cellStyle name="Normal 3 2 5 9 2" xfId="18356" xr:uid="{C4818263-13EC-4656-8BB4-8D48D9180120}"/>
    <cellStyle name="Normal 3 2 6" xfId="2818" xr:uid="{E2BD762E-E9BD-4A55-BCB7-2A8C2B847910}"/>
    <cellStyle name="Normal 3 2 6 10" xfId="9635" xr:uid="{B353EE39-722D-42CC-AF83-93BAEE3B48E2}"/>
    <cellStyle name="Normal 3 2 6 11" xfId="10289" xr:uid="{25C9C593-ECBA-47A1-8656-7024CF0C536E}"/>
    <cellStyle name="Normal 3 2 6 12" xfId="16143" xr:uid="{9959A1CD-225A-48F7-BD90-D371A910DCD4}"/>
    <cellStyle name="Normal 3 2 6 2" xfId="2819" xr:uid="{9C1EC33A-7E8F-47FB-B532-1F5E72471334}"/>
    <cellStyle name="Normal 3 2 6 2 10" xfId="10290" xr:uid="{A903C104-80B8-4267-B25C-92631FB14E50}"/>
    <cellStyle name="Normal 3 2 6 2 11" xfId="16142" xr:uid="{CFFBE74F-D5EF-4C64-A0FB-041302166329}"/>
    <cellStyle name="Normal 3 2 6 2 2" xfId="4493" xr:uid="{F28B54EE-CCE3-46F9-9FA6-A808D70C456E}"/>
    <cellStyle name="Normal 3 2 6 2 2 2" xfId="6942" xr:uid="{7A51192B-0AB4-48B2-8744-DBF178F88A9D}"/>
    <cellStyle name="Normal 3 2 6 2 2 2 2" xfId="8926" xr:uid="{1E7B5300-7EAA-405C-A7DE-710D43DE4F4B}"/>
    <cellStyle name="Normal 3 2 6 2 2 2 2 2" xfId="18978" xr:uid="{A9188EE3-3C1D-497B-9307-14FD4BEA6ED5}"/>
    <cellStyle name="Normal 3 2 6 2 2 2 3" xfId="16431" xr:uid="{DAD6FF89-0BEE-4BD3-87B0-E3698F2F8F41}"/>
    <cellStyle name="Normal 3 2 6 2 2 2 4" xfId="15196" xr:uid="{10133CA7-E073-4C78-907E-66493B196562}"/>
    <cellStyle name="Normal 3 2 6 2 2 3" xfId="6943" xr:uid="{5007B9CE-09FE-414B-A2F1-59B8FBC7C8A0}"/>
    <cellStyle name="Normal 3 2 6 2 2 3 2" xfId="9374" xr:uid="{A198F566-0AD9-4E8E-8FB8-ADCA80523D53}"/>
    <cellStyle name="Normal 3 2 6 2 2 3 2 2" xfId="19426" xr:uid="{AF601A2C-7CE1-4640-AA72-A4490BFDB4B9}"/>
    <cellStyle name="Normal 3 2 6 2 2 3 3" xfId="16877" xr:uid="{3D5AA600-5FC4-4698-878F-855E87B23C62}"/>
    <cellStyle name="Normal 3 2 6 2 2 3 4" xfId="15763" xr:uid="{7CD219AF-ABF6-4BAC-BDDC-33E7E7F4F540}"/>
    <cellStyle name="Normal 3 2 6 2 2 4" xfId="6944" xr:uid="{64EC98F3-6F68-4342-864B-F150FFFD5B2E}"/>
    <cellStyle name="Normal 3 2 6 2 2 4 2" xfId="17478" xr:uid="{B8EFFF65-198B-4E80-BDBB-928500B20DA8}"/>
    <cellStyle name="Normal 3 2 6 2 2 4 3" xfId="14115" xr:uid="{544914BD-7F94-4E73-92E8-3DDC0FDFE372}"/>
    <cellStyle name="Normal 3 2 6 2 2 5" xfId="6945" xr:uid="{DBCDFE43-0F51-41CB-B698-E99681FCDFE2}"/>
    <cellStyle name="Normal 3 2 6 2 2 5 2" xfId="18089" xr:uid="{BBA3ABBF-D9F1-494C-AD94-92F085A9511C}"/>
    <cellStyle name="Normal 3 2 6 2 2 5 3" xfId="14358" xr:uid="{04E92BF5-D08E-4CCC-AE2B-4892F82949B0}"/>
    <cellStyle name="Normal 3 2 6 2 2 6" xfId="8498" xr:uid="{C3903720-D2C2-48C8-A785-0A8F04D7ED85}"/>
    <cellStyle name="Normal 3 2 6 2 2 6 2" xfId="18550" xr:uid="{C24ACCE2-C8AB-4766-ACF2-53653AB76529}"/>
    <cellStyle name="Normal 3 2 6 2 2 7" xfId="9964" xr:uid="{437200C3-3007-4532-91AE-4A075CF43A96}"/>
    <cellStyle name="Normal 3 2 6 2 2 8" xfId="10556" xr:uid="{55E5EADB-968A-4C6D-9EF6-679D939E4C49}"/>
    <cellStyle name="Normal 3 2 6 2 2 9" xfId="15415" xr:uid="{6DE2C038-FD9E-4718-8ECD-2109D7CFBAA2}"/>
    <cellStyle name="Normal 3 2 6 2 3" xfId="4494" xr:uid="{F7D2BB7F-A376-4970-B817-DDDBA24F049D}"/>
    <cellStyle name="Normal 3 2 6 2 3 2" xfId="6946" xr:uid="{84C4BF3E-1BB8-4CD9-A0E1-DECC3871A8B7}"/>
    <cellStyle name="Normal 3 2 6 2 3 2 2" xfId="8927" xr:uid="{F614D13F-DFE6-463A-866E-4F89A75830CF}"/>
    <cellStyle name="Normal 3 2 6 2 3 2 2 2" xfId="18979" xr:uid="{0541A4A4-9559-4490-8971-67FDE7E89C1D}"/>
    <cellStyle name="Normal 3 2 6 2 3 2 3" xfId="16432" xr:uid="{C2917260-A312-4B81-8C6D-474C4134A125}"/>
    <cellStyle name="Normal 3 2 6 2 3 2 4" xfId="15195" xr:uid="{7AC6D8DD-0FAC-441D-8D5D-4AF0AD81125B}"/>
    <cellStyle name="Normal 3 2 6 2 3 3" xfId="6947" xr:uid="{9941975D-2DB9-42DE-B160-AD080E59FA42}"/>
    <cellStyle name="Normal 3 2 6 2 3 3 2" xfId="9375" xr:uid="{E56C6565-430C-4F2F-8711-ADD0186FA94E}"/>
    <cellStyle name="Normal 3 2 6 2 3 3 2 2" xfId="19427" xr:uid="{41E241F9-E491-4902-8C2D-6B6103DECFF7}"/>
    <cellStyle name="Normal 3 2 6 2 3 3 3" xfId="16878" xr:uid="{133C2A79-4343-42F9-81CD-B6C46011BBF2}"/>
    <cellStyle name="Normal 3 2 6 2 3 3 4" xfId="15762" xr:uid="{01C655EA-FCF8-4A71-B404-BD636E69799E}"/>
    <cellStyle name="Normal 3 2 6 2 3 4" xfId="6948" xr:uid="{A269A421-9558-465D-A23D-A221F635F5DC}"/>
    <cellStyle name="Normal 3 2 6 2 3 4 2" xfId="17479" xr:uid="{7FA8EF64-9335-46A9-8B3D-5B5A5C4CC88A}"/>
    <cellStyle name="Normal 3 2 6 2 3 4 3" xfId="14714" xr:uid="{962C257D-5C09-4D3D-BE8A-83D65550B7A7}"/>
    <cellStyle name="Normal 3 2 6 2 3 5" xfId="6949" xr:uid="{990D0A06-B3FE-4BE0-96FF-F50515B25E47}"/>
    <cellStyle name="Normal 3 2 6 2 3 5 2" xfId="18090" xr:uid="{B1A0E98F-FC2C-4050-8720-AF825B70607B}"/>
    <cellStyle name="Normal 3 2 6 2 3 5 3" xfId="14357" xr:uid="{0843D2A3-9AA4-488D-ADC7-97A67245A9D8}"/>
    <cellStyle name="Normal 3 2 6 2 3 6" xfId="8499" xr:uid="{99BDB310-3DE9-4A5F-BAA4-D3E1C754181C}"/>
    <cellStyle name="Normal 3 2 6 2 3 6 2" xfId="18551" xr:uid="{7443DC59-F49F-4A08-8D29-04E4D9ED68E6}"/>
    <cellStyle name="Normal 3 2 6 2 3 7" xfId="9965" xr:uid="{926DD2FA-BE55-4D52-B7A8-0A26F678FD74}"/>
    <cellStyle name="Normal 3 2 6 2 3 8" xfId="10557" xr:uid="{96BE1A09-660E-45A3-9452-24998F7256A2}"/>
    <cellStyle name="Normal 3 2 6 2 3 9" xfId="15982" xr:uid="{474B0A81-CB52-4E5E-9D82-83C340A9DCD2}"/>
    <cellStyle name="Normal 3 2 6 2 4" xfId="6950" xr:uid="{B2A3EF0A-1BB8-4C7E-A0F7-A184807DA625}"/>
    <cellStyle name="Normal 3 2 6 2 4 2" xfId="6951" xr:uid="{6F393B11-1A5A-43C6-BDF4-54B68643F106}"/>
    <cellStyle name="Normal 3 2 6 2 4 2 2" xfId="17292" xr:uid="{0D9EC684-48E3-471F-9FCB-BA56E50E3ABE}"/>
    <cellStyle name="Normal 3 2 6 2 4 3" xfId="6952" xr:uid="{E23894AF-C2BF-4BF3-87B2-95EBF12F8277}"/>
    <cellStyle name="Normal 3 2 6 2 4 3 2" xfId="17906" xr:uid="{E54A13F3-D417-460D-BEC2-0C7452465F9D}"/>
    <cellStyle name="Normal 3 2 6 2 4 4" xfId="8735" xr:uid="{BFAD9C76-A200-4DCB-AA8F-D9BAEAF24F34}"/>
    <cellStyle name="Normal 3 2 6 2 4 4 2" xfId="18787" xr:uid="{3C081AAA-7D5D-484C-A941-71663BB59896}"/>
    <cellStyle name="Normal 3 2 6 2 4 5" xfId="9782" xr:uid="{20F5249B-1117-4667-B337-991B247E881A}"/>
    <cellStyle name="Normal 3 2 6 2 4 6" xfId="10558" xr:uid="{A6C2BC6D-22F4-4582-8499-FFD6F50A1501}"/>
    <cellStyle name="Normal 3 2 6 2 4 7" xfId="15369" xr:uid="{AF8FA9F6-72EE-4287-B11C-427C8BB411A3}"/>
    <cellStyle name="Normal 3 2 6 2 5" xfId="6953" xr:uid="{41D04A8A-D267-49D9-8E0A-13106CAD5383}"/>
    <cellStyle name="Normal 3 2 6 2 5 2" xfId="9183" xr:uid="{BF45E5EB-74CC-4880-A3D6-6CA6677092C3}"/>
    <cellStyle name="Normal 3 2 6 2 5 2 2" xfId="19235" xr:uid="{199872CA-9730-490B-8E02-1DE8568E1B4F}"/>
    <cellStyle name="Normal 3 2 6 2 5 3" xfId="16686" xr:uid="{60BAF78B-7C0E-4514-AEC1-898075F5538B}"/>
    <cellStyle name="Normal 3 2 6 2 5 4" xfId="14973" xr:uid="{EC0C1058-1DB4-4F08-8A1E-3154B5C9A024}"/>
    <cellStyle name="Normal 3 2 6 2 6" xfId="6954" xr:uid="{98FEF6D1-865E-423F-8BBC-2D2069217856}"/>
    <cellStyle name="Normal 3 2 6 2 6 2" xfId="17145" xr:uid="{4DC3DCBB-4329-4F5D-A033-FCED50931DBE}"/>
    <cellStyle name="Normal 3 2 6 2 6 3" xfId="15561" xr:uid="{93961FFF-47C4-434A-842E-2251DDFF9183}"/>
    <cellStyle name="Normal 3 2 6 2 7" xfId="6955" xr:uid="{287BCFCF-4816-449A-93BC-00265D3AEC32}"/>
    <cellStyle name="Normal 3 2 6 2 7 2" xfId="17755" xr:uid="{8B43E782-792B-4D43-8F38-E72FD8A13499}"/>
    <cellStyle name="Normal 3 2 6 2 7 3" xfId="14510" xr:uid="{3AB1CEDE-C2E0-4E61-B507-F65E2C35883B}"/>
    <cellStyle name="Normal 3 2 6 2 8" xfId="8307" xr:uid="{0F9AC469-1CB4-4B3E-9DC0-F51A4C1923D5}"/>
    <cellStyle name="Normal 3 2 6 2 8 2" xfId="18359" xr:uid="{1BEA8107-F7E7-4887-AC7A-6F2A4EB4F700}"/>
    <cellStyle name="Normal 3 2 6 2 9" xfId="9636" xr:uid="{521DE937-C677-49CD-8CF2-531261832355}"/>
    <cellStyle name="Normal 3 2 6 3" xfId="4495" xr:uid="{1CD8AEE7-50A4-41DD-99CD-0ACDDE20463B}"/>
    <cellStyle name="Normal 3 2 6 3 2" xfId="6956" xr:uid="{019E5C71-4714-463E-9B29-9E8B161247EA}"/>
    <cellStyle name="Normal 3 2 6 3 2 2" xfId="8928" xr:uid="{08FA5990-8C09-42CA-A287-A5FC0CE8A81A}"/>
    <cellStyle name="Normal 3 2 6 3 2 2 2" xfId="18980" xr:uid="{416C0B57-A003-4782-BA49-16ADDDFE1112}"/>
    <cellStyle name="Normal 3 2 6 3 2 3" xfId="16433" xr:uid="{D6BB54ED-6428-4A90-BF0C-EDFFB1AE389D}"/>
    <cellStyle name="Normal 3 2 6 3 2 4" xfId="15194" xr:uid="{C916779F-1277-42F1-8A83-50C5E1CF3B1B}"/>
    <cellStyle name="Normal 3 2 6 3 3" xfId="6957" xr:uid="{E7EAAB23-6574-49A4-803B-3D82533B6C00}"/>
    <cellStyle name="Normal 3 2 6 3 3 2" xfId="9376" xr:uid="{04E7A848-37B7-43A0-99BA-0312534604E1}"/>
    <cellStyle name="Normal 3 2 6 3 3 2 2" xfId="19428" xr:uid="{207ED2B4-D5E3-444E-9DF1-CFAB20EB2585}"/>
    <cellStyle name="Normal 3 2 6 3 3 3" xfId="16879" xr:uid="{22622AB7-8313-4F9B-A4F0-A35C8C5A0E11}"/>
    <cellStyle name="Normal 3 2 6 3 3 4" xfId="14841" xr:uid="{A50F55A5-C674-4BF0-998B-2B75F52CCD3E}"/>
    <cellStyle name="Normal 3 2 6 3 4" xfId="6958" xr:uid="{E05C095E-8686-4AB8-8B3E-EE5F0435EF00}"/>
    <cellStyle name="Normal 3 2 6 3 4 2" xfId="17480" xr:uid="{5B6CBA48-8C34-4D8E-A6DE-2F6E22902097}"/>
    <cellStyle name="Normal 3 2 6 3 4 3" xfId="14713" xr:uid="{D8756845-3F26-44A2-85B5-6B7E28BBEB37}"/>
    <cellStyle name="Normal 3 2 6 3 5" xfId="6959" xr:uid="{0EC5C966-2105-47E3-88D5-2A66EF2418FF}"/>
    <cellStyle name="Normal 3 2 6 3 5 2" xfId="18091" xr:uid="{F8789822-1062-45B9-B107-EAECE3FB2DAA}"/>
    <cellStyle name="Normal 3 2 6 3 5 3" xfId="14356" xr:uid="{C13491E5-CCB8-4A4D-94E6-946E335FF272}"/>
    <cellStyle name="Normal 3 2 6 3 6" xfId="8500" xr:uid="{1270DD3A-933C-4D8E-A703-61E785BDA10D}"/>
    <cellStyle name="Normal 3 2 6 3 6 2" xfId="18552" xr:uid="{8A901D17-B394-4089-9891-10918BC85234}"/>
    <cellStyle name="Normal 3 2 6 3 7" xfId="9966" xr:uid="{F7681A1C-290F-47A4-897A-2BB32C961329}"/>
    <cellStyle name="Normal 3 2 6 3 8" xfId="10559" xr:uid="{80CE430B-D741-4D1E-8246-0B67FD5D95FD}"/>
    <cellStyle name="Normal 3 2 6 3 9" xfId="15981" xr:uid="{2C981D6E-93CA-4B55-8F20-C9E387A3426B}"/>
    <cellStyle name="Normal 3 2 6 4" xfId="4496" xr:uid="{547EE9BD-0897-43FA-A013-515B37FF405D}"/>
    <cellStyle name="Normal 3 2 6 4 2" xfId="6960" xr:uid="{EBDDE11A-5FAB-4E1C-871E-C9DFD7C18B2B}"/>
    <cellStyle name="Normal 3 2 6 4 2 2" xfId="8929" xr:uid="{B74155A3-94A3-49D0-8062-6B0278BF5E83}"/>
    <cellStyle name="Normal 3 2 6 4 2 2 2" xfId="18981" xr:uid="{0E20FD0B-C791-4829-9446-6DC2C11770F6}"/>
    <cellStyle name="Normal 3 2 6 4 2 3" xfId="16434" xr:uid="{7E4F75A6-1144-4127-886E-935B06168777}"/>
    <cellStyle name="Normal 3 2 6 4 2 4" xfId="15193" xr:uid="{1E9AB09D-A877-40C3-B070-D76866D717E2}"/>
    <cellStyle name="Normal 3 2 6 4 3" xfId="6961" xr:uid="{4BE0154E-21FE-4110-8800-7099D374200C}"/>
    <cellStyle name="Normal 3 2 6 4 3 2" xfId="9377" xr:uid="{EB9030DF-D212-424B-A9FD-64B3560D5C57}"/>
    <cellStyle name="Normal 3 2 6 4 3 2 2" xfId="19429" xr:uid="{9B26AA09-B699-448C-9454-F6289C0B73F2}"/>
    <cellStyle name="Normal 3 2 6 4 3 3" xfId="16880" xr:uid="{9DD241A2-1136-490F-B14A-1FC59F97BF7F}"/>
    <cellStyle name="Normal 3 2 6 4 3 4" xfId="15478" xr:uid="{11B5EC57-8BE9-4399-BB20-21649C8AB411}"/>
    <cellStyle name="Normal 3 2 6 4 4" xfId="6962" xr:uid="{EA1D80EF-57BA-4477-8268-9E9FC55FDF85}"/>
    <cellStyle name="Normal 3 2 6 4 4 2" xfId="17481" xr:uid="{ACD5FA4D-D9F4-494D-80F2-86DFB0A74124}"/>
    <cellStyle name="Normal 3 2 6 4 4 3" xfId="14712" xr:uid="{F10CA2F3-1620-42FC-9430-768E78632CCE}"/>
    <cellStyle name="Normal 3 2 6 4 5" xfId="6963" xr:uid="{6321E286-8E5F-4933-83B3-187B51CBA41F}"/>
    <cellStyle name="Normal 3 2 6 4 5 2" xfId="18092" xr:uid="{ACF7B8E1-AF37-43BB-8780-6C868895D6F7}"/>
    <cellStyle name="Normal 3 2 6 4 5 3" xfId="14355" xr:uid="{DA64A7A5-3F1A-4BDE-AAD3-CF3D53F9F7C2}"/>
    <cellStyle name="Normal 3 2 6 4 6" xfId="8501" xr:uid="{51FAE9BF-1E98-4A11-B98E-D4353CA6BD3C}"/>
    <cellStyle name="Normal 3 2 6 4 6 2" xfId="18553" xr:uid="{DD1ED5D8-FFE9-4A6C-9B7D-38ECADF4B081}"/>
    <cellStyle name="Normal 3 2 6 4 7" xfId="9967" xr:uid="{1AF3EB2D-9314-4214-B779-FBAFFDDD13B3}"/>
    <cellStyle name="Normal 3 2 6 4 8" xfId="10560" xr:uid="{80744408-11C1-4798-BA72-487976AB711E}"/>
    <cellStyle name="Normal 3 2 6 4 9" xfId="15980" xr:uid="{542D29CE-9008-4F9D-8ECD-17741006A5DA}"/>
    <cellStyle name="Normal 3 2 6 5" xfId="6964" xr:uid="{2DB0E834-7F01-44C6-A846-D4C5B403BA59}"/>
    <cellStyle name="Normal 3 2 6 5 2" xfId="6965" xr:uid="{D2F7AA8C-D73F-4A30-8E5E-D00BA26A8C76}"/>
    <cellStyle name="Normal 3 2 6 5 2 2" xfId="17291" xr:uid="{8F0BC68F-4C59-4708-BD67-C4FF40E75216}"/>
    <cellStyle name="Normal 3 2 6 5 3" xfId="6966" xr:uid="{EF1BBABF-172D-4AB0-927B-33023E013592}"/>
    <cellStyle name="Normal 3 2 6 5 3 2" xfId="17905" xr:uid="{8A80B0AE-663E-4A94-AA05-E220CEBE691B}"/>
    <cellStyle name="Normal 3 2 6 5 4" xfId="8734" xr:uid="{A9BB522D-B126-4871-98CD-FFD6C6EB28A4}"/>
    <cellStyle name="Normal 3 2 6 5 4 2" xfId="18786" xr:uid="{C212FEE7-E320-4856-965A-99FA0BA18890}"/>
    <cellStyle name="Normal 3 2 6 5 5" xfId="9781" xr:uid="{C00CC1B9-C83F-456E-9924-CA93118355EF}"/>
    <cellStyle name="Normal 3 2 6 5 6" xfId="10561" xr:uid="{A5997D03-37E5-4872-9E4F-760D6A4F13E9}"/>
    <cellStyle name="Normal 3 2 6 5 7" xfId="15370" xr:uid="{8B9540E1-5102-4BFB-BFD5-33EA3D455789}"/>
    <cellStyle name="Normal 3 2 6 6" xfId="6967" xr:uid="{164374AB-E3C5-49C6-A896-8948338C48A8}"/>
    <cellStyle name="Normal 3 2 6 6 2" xfId="9182" xr:uid="{F0C14A9A-E6DA-4DD2-B071-26E902C4B2F7}"/>
    <cellStyle name="Normal 3 2 6 6 2 2" xfId="19234" xr:uid="{6D333AE3-2387-40AA-BC6F-D38E6D21FD14}"/>
    <cellStyle name="Normal 3 2 6 6 3" xfId="16685" xr:uid="{F5EDEB7E-ED05-4BE3-9C38-24624537EB69}"/>
    <cellStyle name="Normal 3 2 6 6 4" xfId="14037" xr:uid="{9548A677-32D1-4283-A238-F1185F1E207E}"/>
    <cellStyle name="Normal 3 2 6 7" xfId="6968" xr:uid="{E922F92C-8AE1-4CB8-A244-8D7CC30D1AA1}"/>
    <cellStyle name="Normal 3 2 6 7 2" xfId="17144" xr:uid="{895F8736-AE54-4F3C-A838-35237F389456}"/>
    <cellStyle name="Normal 3 2 6 7 3" xfId="15562" xr:uid="{3052E8E3-3E6B-40C9-B0CC-07C677D3018F}"/>
    <cellStyle name="Normal 3 2 6 8" xfId="6969" xr:uid="{54ED8318-37ED-480A-B681-EAE4BD9C8F09}"/>
    <cellStyle name="Normal 3 2 6 8 2" xfId="17754" xr:uid="{5615784F-1FA4-41AD-A94F-8D0F3AF78CB7}"/>
    <cellStyle name="Normal 3 2 6 8 3" xfId="14511" xr:uid="{848C03C1-6AD2-4FD0-B41D-C7661A9F49B5}"/>
    <cellStyle name="Normal 3 2 6 9" xfId="8306" xr:uid="{089CD4C8-8F32-4513-B5AB-B8175EDFCC6F}"/>
    <cellStyle name="Normal 3 2 6 9 2" xfId="18358" xr:uid="{30F07B06-712D-4C2C-ACDC-BD9C1652F7B0}"/>
    <cellStyle name="Normal 3 2 7" xfId="2820" xr:uid="{414141BB-100B-4FF7-8EC6-D2B9AA5A4CDE}"/>
    <cellStyle name="Normal 3 2 7 10" xfId="9637" xr:uid="{B76AC2AE-BDBF-446D-A9DC-356A105628FA}"/>
    <cellStyle name="Normal 3 2 7 11" xfId="10291" xr:uid="{6A5DCEC8-927B-4B1E-A82E-4B66FC55D7AA}"/>
    <cellStyle name="Normal 3 2 7 12" xfId="16141" xr:uid="{EC93E542-E6C3-4609-9DE3-6153A13C25A5}"/>
    <cellStyle name="Normal 3 2 7 2" xfId="2821" xr:uid="{532A023F-656A-45D9-A6FF-20E14BAC8375}"/>
    <cellStyle name="Normal 3 2 7 2 10" xfId="10292" xr:uid="{A32C436E-F26F-49C0-823C-532F5392AB80}"/>
    <cellStyle name="Normal 3 2 7 2 11" xfId="14174" xr:uid="{95BE8197-F492-4847-A97B-9B7462773978}"/>
    <cellStyle name="Normal 3 2 7 2 2" xfId="4497" xr:uid="{3FCEAE92-B173-402B-B378-C0BCDA03A0B2}"/>
    <cellStyle name="Normal 3 2 7 2 2 2" xfId="6970" xr:uid="{F43E09D3-2EEB-4D10-8473-2CAF4B8A9D83}"/>
    <cellStyle name="Normal 3 2 7 2 2 2 2" xfId="8930" xr:uid="{8510C7D1-3A00-44F0-BCD1-406BFF7B095E}"/>
    <cellStyle name="Normal 3 2 7 2 2 2 2 2" xfId="18982" xr:uid="{F01AE6EE-DF38-4E19-B43E-199EE11C6153}"/>
    <cellStyle name="Normal 3 2 7 2 2 2 3" xfId="16435" xr:uid="{2F058C19-1294-48C1-9673-B8FBB58C2DD6}"/>
    <cellStyle name="Normal 3 2 7 2 2 2 4" xfId="15192" xr:uid="{26BB74FF-B94A-4E5F-A437-6C1945B72D64}"/>
    <cellStyle name="Normal 3 2 7 2 2 3" xfId="6971" xr:uid="{09ED21EA-51E2-4681-84E8-31F125F0BF18}"/>
    <cellStyle name="Normal 3 2 7 2 2 3 2" xfId="9378" xr:uid="{D454D314-70FB-40F6-B0FD-9AB84B639518}"/>
    <cellStyle name="Normal 3 2 7 2 2 3 2 2" xfId="19430" xr:uid="{C00B3225-A9ED-4513-9B5A-69A6EA720E38}"/>
    <cellStyle name="Normal 3 2 7 2 2 3 3" xfId="16881" xr:uid="{E975D296-40B9-4CB7-9252-89CE201F20D8}"/>
    <cellStyle name="Normal 3 2 7 2 2 3 4" xfId="15477" xr:uid="{22E93930-8182-46C4-81BC-69037B80A9E5}"/>
    <cellStyle name="Normal 3 2 7 2 2 4" xfId="6972" xr:uid="{757C66C0-E75D-466D-989D-97E7803BFD02}"/>
    <cellStyle name="Normal 3 2 7 2 2 4 2" xfId="17482" xr:uid="{4A8796EA-2D0E-46E0-84C4-1CE6ED8C9A2C}"/>
    <cellStyle name="Normal 3 2 7 2 2 4 3" xfId="14711" xr:uid="{BFC47EF9-93F7-459C-9E78-3244E9A7A9DA}"/>
    <cellStyle name="Normal 3 2 7 2 2 5" xfId="6973" xr:uid="{8A6A4301-B80A-4861-B93F-EB67A83FBD56}"/>
    <cellStyle name="Normal 3 2 7 2 2 5 2" xfId="18093" xr:uid="{CA063498-4162-4B6D-9529-6675A1E3174D}"/>
    <cellStyle name="Normal 3 2 7 2 2 5 3" xfId="14354" xr:uid="{FE305C26-EBDB-45E4-BEAE-2829EDF987DD}"/>
    <cellStyle name="Normal 3 2 7 2 2 6" xfId="8502" xr:uid="{EB006BF6-339A-45C5-B0C7-23D339421B77}"/>
    <cellStyle name="Normal 3 2 7 2 2 6 2" xfId="18554" xr:uid="{1F030B0F-A006-4CA8-AAAF-B1DA7292A232}"/>
    <cellStyle name="Normal 3 2 7 2 2 7" xfId="9968" xr:uid="{48148A58-DB63-4A5A-9106-4D6B799201B9}"/>
    <cellStyle name="Normal 3 2 7 2 2 8" xfId="10562" xr:uid="{6A8EAF40-70FD-4CEB-B50B-B6265CCE85A4}"/>
    <cellStyle name="Normal 3 2 7 2 2 9" xfId="15979" xr:uid="{82752BD0-2553-4D8E-982C-305AE711D074}"/>
    <cellStyle name="Normal 3 2 7 2 3" xfId="4498" xr:uid="{6AE67DC2-D488-4F4D-861A-30B31B753955}"/>
    <cellStyle name="Normal 3 2 7 2 3 2" xfId="6974" xr:uid="{DA99AF8D-D21D-40EF-A5F7-F66C7FF32416}"/>
    <cellStyle name="Normal 3 2 7 2 3 2 2" xfId="8931" xr:uid="{0FC4CBE8-995C-4EDE-A109-27F47D9A90AB}"/>
    <cellStyle name="Normal 3 2 7 2 3 2 2 2" xfId="18983" xr:uid="{D6D11CA8-151D-444F-B5F5-F6AFB863A903}"/>
    <cellStyle name="Normal 3 2 7 2 3 2 3" xfId="16436" xr:uid="{92641762-E747-4DC2-8073-93062EC312A4}"/>
    <cellStyle name="Normal 3 2 7 2 3 2 4" xfId="14155" xr:uid="{6411C46C-0EC8-4537-B9CB-96FD03FDFDF2}"/>
    <cellStyle name="Normal 3 2 7 2 3 3" xfId="6975" xr:uid="{BF0DCB46-5B2D-4415-BE02-6D8DA65B2563}"/>
    <cellStyle name="Normal 3 2 7 2 3 3 2" xfId="9379" xr:uid="{5BCE3CBC-4F9F-40F0-B38B-8D25DC3E23F8}"/>
    <cellStyle name="Normal 3 2 7 2 3 3 2 2" xfId="19431" xr:uid="{CCD389CE-009D-4D6B-A928-6AC2E45E1CAB}"/>
    <cellStyle name="Normal 3 2 7 2 3 3 3" xfId="16882" xr:uid="{BE90873F-C377-4409-B165-2795E41D110B}"/>
    <cellStyle name="Normal 3 2 7 2 3 3 4" xfId="15476" xr:uid="{8704A034-9C21-4548-BA21-6CFAF409D61F}"/>
    <cellStyle name="Normal 3 2 7 2 3 4" xfId="6976" xr:uid="{9EC3B105-1423-4F43-A783-B66B736B5514}"/>
    <cellStyle name="Normal 3 2 7 2 3 4 2" xfId="17483" xr:uid="{8A136018-E104-4EB3-8D34-30416676B2C9}"/>
    <cellStyle name="Normal 3 2 7 2 3 4 3" xfId="14710" xr:uid="{0CED8E1B-CD98-44CA-87E5-A3E010F6E1E8}"/>
    <cellStyle name="Normal 3 2 7 2 3 5" xfId="6977" xr:uid="{D2C1A2D1-1131-4F6D-8527-AEA8AB061D12}"/>
    <cellStyle name="Normal 3 2 7 2 3 5 2" xfId="18094" xr:uid="{F102BC82-BA6E-4A9D-AE18-031E0F05B8E5}"/>
    <cellStyle name="Normal 3 2 7 2 3 5 3" xfId="14353" xr:uid="{5B0E4879-B1E3-4E9D-9097-6A645DBFA3F9}"/>
    <cellStyle name="Normal 3 2 7 2 3 6" xfId="8503" xr:uid="{87B1577E-3606-453C-95B7-9ED30066E297}"/>
    <cellStyle name="Normal 3 2 7 2 3 6 2" xfId="18555" xr:uid="{9F7FD791-F1E7-48DA-A687-AAD3165B1992}"/>
    <cellStyle name="Normal 3 2 7 2 3 7" xfId="9969" xr:uid="{7031B2B9-B99E-4BC4-BF5B-462BC5E48E80}"/>
    <cellStyle name="Normal 3 2 7 2 3 8" xfId="10563" xr:uid="{E3DA7CC6-33EB-4DAE-BC37-AAAFF44FB8D6}"/>
    <cellStyle name="Normal 3 2 7 2 3 9" xfId="15978" xr:uid="{503B18BE-344D-4DA3-8859-E4382DB748D0}"/>
    <cellStyle name="Normal 3 2 7 2 4" xfId="6978" xr:uid="{F0D59B63-00BB-485D-B1C9-CD146DAF1EA4}"/>
    <cellStyle name="Normal 3 2 7 2 4 2" xfId="6979" xr:uid="{362FFD04-DB75-4405-A45E-03281B41A809}"/>
    <cellStyle name="Normal 3 2 7 2 4 2 2" xfId="17294" xr:uid="{09B40B49-95F8-4BB5-B09F-E7C1D5221F88}"/>
    <cellStyle name="Normal 3 2 7 2 4 3" xfId="6980" xr:uid="{C2BF8728-8E7E-4D8E-8A98-5E6881B02392}"/>
    <cellStyle name="Normal 3 2 7 2 4 3 2" xfId="17908" xr:uid="{443AC4A2-4AC5-421E-B9AD-B7AF11CB7899}"/>
    <cellStyle name="Normal 3 2 7 2 4 4" xfId="8737" xr:uid="{18849E82-7034-4D66-B5C1-2692AE0D6DDB}"/>
    <cellStyle name="Normal 3 2 7 2 4 4 2" xfId="18789" xr:uid="{06AB3E49-27F9-4F42-B0FF-72129A5EC7CF}"/>
    <cellStyle name="Normal 3 2 7 2 4 5" xfId="9784" xr:uid="{F5B83F71-8703-42D1-BA94-54C93314A9E3}"/>
    <cellStyle name="Normal 3 2 7 2 4 6" xfId="10564" xr:uid="{FA172661-C634-4384-9F7B-A6CAA2DCC026}"/>
    <cellStyle name="Normal 3 2 7 2 4 7" xfId="15367" xr:uid="{5DF2A88D-66C3-4CE5-A02C-8DC808C287F6}"/>
    <cellStyle name="Normal 3 2 7 2 5" xfId="6981" xr:uid="{1E0951BE-A346-4864-A656-1223E3C85E04}"/>
    <cellStyle name="Normal 3 2 7 2 5 2" xfId="9185" xr:uid="{C39D080B-E07A-4EF7-84D4-2FB2A139F050}"/>
    <cellStyle name="Normal 3 2 7 2 5 2 2" xfId="19237" xr:uid="{C7843F84-3E07-4725-8C24-04859ADC785C}"/>
    <cellStyle name="Normal 3 2 7 2 5 3" xfId="16688" xr:uid="{9F539B7B-10AA-4EC7-9143-8FEDCC93288C}"/>
    <cellStyle name="Normal 3 2 7 2 5 4" xfId="14137" xr:uid="{4E2306FA-9176-4A1B-AF90-68E0763AC5B2}"/>
    <cellStyle name="Normal 3 2 7 2 6" xfId="6982" xr:uid="{FE67ADD4-68B7-4060-898F-A4CC05F0944C}"/>
    <cellStyle name="Normal 3 2 7 2 6 2" xfId="17147" xr:uid="{C3ABEB8C-50B9-47FE-BBFA-96B126184628}"/>
    <cellStyle name="Normal 3 2 7 2 6 3" xfId="14809" xr:uid="{5BB78096-FB2E-43F6-9A58-7E1CF9FE35A2}"/>
    <cellStyle name="Normal 3 2 7 2 7" xfId="6983" xr:uid="{FEF145E9-A3C6-4586-8E7F-9FCF9214A7ED}"/>
    <cellStyle name="Normal 3 2 7 2 7 2" xfId="17757" xr:uid="{3C4D422E-2DA7-47D9-9866-B60F467B5A3B}"/>
    <cellStyle name="Normal 3 2 7 2 7 3" xfId="14508" xr:uid="{C0039CAE-EA99-4E80-A014-4B5424076C32}"/>
    <cellStyle name="Normal 3 2 7 2 8" xfId="8309" xr:uid="{0DECA57D-FFCD-47FB-8489-AD36477BACED}"/>
    <cellStyle name="Normal 3 2 7 2 8 2" xfId="18361" xr:uid="{CED56D28-AE5C-4515-918E-A85797B6227E}"/>
    <cellStyle name="Normal 3 2 7 2 9" xfId="9638" xr:uid="{936378DC-196F-4B81-AC6B-8E57CCD76C50}"/>
    <cellStyle name="Normal 3 2 7 3" xfId="4499" xr:uid="{55DB73A2-AA9C-4CB1-9DCD-E241D1C52DD2}"/>
    <cellStyle name="Normal 3 2 7 3 2" xfId="6984" xr:uid="{DE2B80B0-2C55-4CB6-ACC1-83888F021231}"/>
    <cellStyle name="Normal 3 2 7 3 2 2" xfId="8932" xr:uid="{4A88C0E7-1025-403D-98A4-297F95755994}"/>
    <cellStyle name="Normal 3 2 7 3 2 2 2" xfId="18984" xr:uid="{C26AD985-EECA-4498-BC73-8A3FA95B4F7F}"/>
    <cellStyle name="Normal 3 2 7 3 2 3" xfId="16437" xr:uid="{D8E05F97-7EB0-43D3-B330-F08745C9F65F}"/>
    <cellStyle name="Normal 3 2 7 3 2 4" xfId="14195" xr:uid="{40AEB03E-96EC-40AC-934A-2A9D26822499}"/>
    <cellStyle name="Normal 3 2 7 3 3" xfId="6985" xr:uid="{E1D1B734-7673-4AD7-8CC7-5CF8734AE748}"/>
    <cellStyle name="Normal 3 2 7 3 3 2" xfId="9380" xr:uid="{72E7E310-842F-41AD-91F7-0AAE32ED663A}"/>
    <cellStyle name="Normal 3 2 7 3 3 2 2" xfId="19432" xr:uid="{F617108F-42CE-4BDC-8FFD-A17BAB980921}"/>
    <cellStyle name="Normal 3 2 7 3 3 3" xfId="16883" xr:uid="{61E62876-D5A9-4BB3-BAE5-2459EE935F41}"/>
    <cellStyle name="Normal 3 2 7 3 3 4" xfId="15475" xr:uid="{B3FBF9DA-7827-4376-9987-6F3F96966C26}"/>
    <cellStyle name="Normal 3 2 7 3 4" xfId="6986" xr:uid="{4F916AC1-17E8-4FB6-9AE8-1C258A97BEFA}"/>
    <cellStyle name="Normal 3 2 7 3 4 2" xfId="17484" xr:uid="{D2355B17-D607-43AA-99DC-A2CD308B9630}"/>
    <cellStyle name="Normal 3 2 7 3 4 3" xfId="14709" xr:uid="{EBDD5E8A-5101-49BB-9B4A-FF5F16EB6839}"/>
    <cellStyle name="Normal 3 2 7 3 5" xfId="6987" xr:uid="{934EE8C8-54B0-4BA9-B078-39ED75C408DB}"/>
    <cellStyle name="Normal 3 2 7 3 5 2" xfId="18095" xr:uid="{D7213F33-D815-4DC5-853A-A55CF3D75C26}"/>
    <cellStyle name="Normal 3 2 7 3 5 3" xfId="14352" xr:uid="{6AF91AFB-350F-489B-902D-01065F50707F}"/>
    <cellStyle name="Normal 3 2 7 3 6" xfId="8504" xr:uid="{34A021FF-9CBB-4919-A295-3D43C2D5D87B}"/>
    <cellStyle name="Normal 3 2 7 3 6 2" xfId="18556" xr:uid="{9C9D0263-8027-4AC3-9292-62C37E933D79}"/>
    <cellStyle name="Normal 3 2 7 3 7" xfId="9970" xr:uid="{BD1B5A45-787E-4045-AA79-DFE64553BB65}"/>
    <cellStyle name="Normal 3 2 7 3 8" xfId="10565" xr:uid="{61D4E182-C319-4F8D-8347-FEA7B24A9132}"/>
    <cellStyle name="Normal 3 2 7 3 9" xfId="15977" xr:uid="{B3561B25-29EE-4C4B-A91B-9F6DB0F9E0C5}"/>
    <cellStyle name="Normal 3 2 7 4" xfId="4500" xr:uid="{FE9E96F9-0064-4C7D-99DC-403F6E344A1A}"/>
    <cellStyle name="Normal 3 2 7 4 2" xfId="6988" xr:uid="{373695E6-4C01-4051-A400-475E19BE3B38}"/>
    <cellStyle name="Normal 3 2 7 4 2 2" xfId="8933" xr:uid="{94C746A3-EBC0-49DC-9F78-7FD8D1A90712}"/>
    <cellStyle name="Normal 3 2 7 4 2 2 2" xfId="18985" xr:uid="{BA403EEE-F4DC-43BE-BD9C-864BFA30514C}"/>
    <cellStyle name="Normal 3 2 7 4 2 3" xfId="16438" xr:uid="{7C1A16FC-1146-43DA-A16A-448A85C40C7B}"/>
    <cellStyle name="Normal 3 2 7 4 2 4" xfId="15191" xr:uid="{3FBE31D1-B008-46DE-B3E9-B45E55FD4763}"/>
    <cellStyle name="Normal 3 2 7 4 3" xfId="6989" xr:uid="{D4747CA5-5341-4664-BA94-B5B02AD3A370}"/>
    <cellStyle name="Normal 3 2 7 4 3 2" xfId="9381" xr:uid="{1FDB2B48-B4A1-438A-A087-5F9AD924163F}"/>
    <cellStyle name="Normal 3 2 7 4 3 2 2" xfId="19433" xr:uid="{19128E68-47BE-43CC-9C9D-DC3A6AEF1FB5}"/>
    <cellStyle name="Normal 3 2 7 4 3 3" xfId="16884" xr:uid="{024569DE-774A-48C6-91A3-5BBDD401E71A}"/>
    <cellStyle name="Normal 3 2 7 4 3 4" xfId="15474" xr:uid="{0DFD61D3-CB26-40D6-9A2E-6DA88F497730}"/>
    <cellStyle name="Normal 3 2 7 4 4" xfId="6990" xr:uid="{D880B56E-9545-4C39-BAEA-7BD9FCBEC919}"/>
    <cellStyle name="Normal 3 2 7 4 4 2" xfId="17485" xr:uid="{7082CAFB-9509-4250-837D-9244C34A9735}"/>
    <cellStyle name="Normal 3 2 7 4 4 3" xfId="14708" xr:uid="{98395C80-6863-483C-8105-B4E4F7F4C66F}"/>
    <cellStyle name="Normal 3 2 7 4 5" xfId="6991" xr:uid="{7F9A4A3C-BBE6-4C22-A51F-52EDB66D5C1D}"/>
    <cellStyle name="Normal 3 2 7 4 5 2" xfId="18096" xr:uid="{BC8BA3B0-2E85-406C-9DB6-0C567D7A52A1}"/>
    <cellStyle name="Normal 3 2 7 4 5 3" xfId="14075" xr:uid="{469F39DF-68E4-4DBB-A2BD-CEA1E70C151A}"/>
    <cellStyle name="Normal 3 2 7 4 6" xfId="8505" xr:uid="{BCF17C0B-7AC2-4491-882F-8D67D6886151}"/>
    <cellStyle name="Normal 3 2 7 4 6 2" xfId="18557" xr:uid="{0F24EDEA-1AC5-4CAE-BBB9-0E981D390C30}"/>
    <cellStyle name="Normal 3 2 7 4 7" xfId="9971" xr:uid="{B9483230-531C-4BF6-88B9-77882AF8B59A}"/>
    <cellStyle name="Normal 3 2 7 4 8" xfId="10566" xr:uid="{77849880-AA1F-4422-8D4B-14D36CFFDA8C}"/>
    <cellStyle name="Normal 3 2 7 4 9" xfId="15414" xr:uid="{5CE658D7-0481-4C7D-B38F-CA14D677C79A}"/>
    <cellStyle name="Normal 3 2 7 5" xfId="6992" xr:uid="{352E42E7-E942-4EBF-9B7B-661224E213C2}"/>
    <cellStyle name="Normal 3 2 7 5 2" xfId="6993" xr:uid="{8DA4D202-98ED-4898-AF5D-0E6BC621EF7D}"/>
    <cellStyle name="Normal 3 2 7 5 2 2" xfId="17293" xr:uid="{5DE023A0-EB3B-4257-9B3F-7D318255BA82}"/>
    <cellStyle name="Normal 3 2 7 5 3" xfId="6994" xr:uid="{DF0682AB-BC77-4761-B175-1886FFFC8F42}"/>
    <cellStyle name="Normal 3 2 7 5 3 2" xfId="17907" xr:uid="{53706C61-E706-42A8-9E74-5DA6E3EE3EC5}"/>
    <cellStyle name="Normal 3 2 7 5 4" xfId="8736" xr:uid="{CBCDC84F-320C-4534-8A3B-FF166D2916CE}"/>
    <cellStyle name="Normal 3 2 7 5 4 2" xfId="18788" xr:uid="{13581609-610E-46D3-B55E-0AFCED3D2CC4}"/>
    <cellStyle name="Normal 3 2 7 5 5" xfId="9783" xr:uid="{89A9A80E-DE04-49E1-A88A-1716E4B8499D}"/>
    <cellStyle name="Normal 3 2 7 5 6" xfId="10567" xr:uid="{C20A41E1-87EB-4AA3-8C8A-6322CE62FD10}"/>
    <cellStyle name="Normal 3 2 7 5 7" xfId="15368" xr:uid="{339AD45A-4CF5-4121-ACDF-AC1917688258}"/>
    <cellStyle name="Normal 3 2 7 6" xfId="6995" xr:uid="{7FCF027C-173E-448E-8743-A8239ABAAB59}"/>
    <cellStyle name="Normal 3 2 7 6 2" xfId="9184" xr:uid="{F5C0AFEF-1448-438A-8940-9CEE5910A1A8}"/>
    <cellStyle name="Normal 3 2 7 6 2 2" xfId="19236" xr:uid="{5278730D-2ECC-4AAB-AFA1-8D2EAC0A7DF9}"/>
    <cellStyle name="Normal 3 2 7 6 3" xfId="16687" xr:uid="{715B1219-74E1-44D3-BA8E-2CB3754A2FCB}"/>
    <cellStyle name="Normal 3 2 7 6 4" xfId="14972" xr:uid="{72C1C987-E8E3-4549-97AF-B008330E205F}"/>
    <cellStyle name="Normal 3 2 7 7" xfId="6996" xr:uid="{A0FA3D21-88A9-4F98-B3B5-D04EB3D3BA1B}"/>
    <cellStyle name="Normal 3 2 7 7 2" xfId="17146" xr:uid="{AE804DDB-88E7-46CD-A6F6-58DCA89183CF}"/>
    <cellStyle name="Normal 3 2 7 7 3" xfId="15560" xr:uid="{51980CE6-F3D9-4275-B6F7-B192CAE213E2}"/>
    <cellStyle name="Normal 3 2 7 8" xfId="6997" xr:uid="{1E02C5CC-4732-4E32-A3D3-2121B17D076B}"/>
    <cellStyle name="Normal 3 2 7 8 2" xfId="17756" xr:uid="{048DC441-1DCF-4964-9581-DCCDF18EBB99}"/>
    <cellStyle name="Normal 3 2 7 8 3" xfId="14509" xr:uid="{7D53EE7D-889B-47CB-B17D-3D37057F2D55}"/>
    <cellStyle name="Normal 3 2 7 9" xfId="8308" xr:uid="{D4ED19ED-081D-446A-825B-2DF23D90E20B}"/>
    <cellStyle name="Normal 3 2 7 9 2" xfId="18360" xr:uid="{228C2DAA-009D-4469-B96B-9C5012390B4C}"/>
    <cellStyle name="Normal 3 2 8" xfId="2822" xr:uid="{7DE1FDCB-836A-48A4-9A14-F9EBE4722360}"/>
    <cellStyle name="Normal 3 2 8 10" xfId="9639" xr:uid="{C9061921-540F-4F34-9736-8CDE0283C528}"/>
    <cellStyle name="Normal 3 2 8 11" xfId="10293" xr:uid="{F90A082E-959B-43E9-BDB3-9243B88F1663}"/>
    <cellStyle name="Normal 3 2 8 12" xfId="16140" xr:uid="{AF5221CC-9325-4F76-86DD-3AA2756D23F8}"/>
    <cellStyle name="Normal 3 2 8 2" xfId="2823" xr:uid="{C3D8AF4F-7B70-4E71-8F38-F19D8C279E1C}"/>
    <cellStyle name="Normal 3 2 8 2 10" xfId="10294" xr:uid="{0FC6E8F7-57AB-47FE-8AAA-6329B09B2264}"/>
    <cellStyle name="Normal 3 2 8 2 11" xfId="16139" xr:uid="{5CBEF7C4-F3FB-4CCB-85DE-6FEF54DE132D}"/>
    <cellStyle name="Normal 3 2 8 2 2" xfId="4501" xr:uid="{A960EDC3-CE66-4B28-A3FB-EC070855C1A6}"/>
    <cellStyle name="Normal 3 2 8 2 2 2" xfId="6998" xr:uid="{6AE81E47-1103-47FE-9704-047B47DC378C}"/>
    <cellStyle name="Normal 3 2 8 2 2 2 2" xfId="8934" xr:uid="{718A405F-6E73-4807-8A61-8A0ED5FB5523}"/>
    <cellStyle name="Normal 3 2 8 2 2 2 2 2" xfId="18986" xr:uid="{2E2BA147-418C-48F9-9397-C09A461B3A39}"/>
    <cellStyle name="Normal 3 2 8 2 2 2 3" xfId="16439" xr:uid="{DA137F54-02DE-49DB-A537-45C4D96E73D9}"/>
    <cellStyle name="Normal 3 2 8 2 2 2 4" xfId="15190" xr:uid="{9D38FDC8-66CA-4CCA-B0E8-454EA52A8DC8}"/>
    <cellStyle name="Normal 3 2 8 2 2 3" xfId="6999" xr:uid="{62C3DB3D-0FDE-42FE-9180-C5DA94D07EC8}"/>
    <cellStyle name="Normal 3 2 8 2 2 3 2" xfId="9382" xr:uid="{7A6660D5-9C50-446A-AC8F-F67F9007FA59}"/>
    <cellStyle name="Normal 3 2 8 2 2 3 2 2" xfId="19434" xr:uid="{F8FD543C-F926-4478-A9AE-7E5CFF09A449}"/>
    <cellStyle name="Normal 3 2 8 2 2 3 3" xfId="16885" xr:uid="{8FF6FB4B-D486-4A1B-BE97-13131C1037AC}"/>
    <cellStyle name="Normal 3 2 8 2 2 3 4" xfId="15473" xr:uid="{37BD462A-35B0-443F-8AD9-8214D1AEF22A}"/>
    <cellStyle name="Normal 3 2 8 2 2 4" xfId="7000" xr:uid="{0A35B775-BA06-4B64-9DD3-1141D4B1C26A}"/>
    <cellStyle name="Normal 3 2 8 2 2 4 2" xfId="17486" xr:uid="{2B234D5C-3841-4E40-B4CE-7DA5568CC793}"/>
    <cellStyle name="Normal 3 2 8 2 2 4 3" xfId="14707" xr:uid="{FEB84924-655A-4C3E-8B35-D479273E9BC2}"/>
    <cellStyle name="Normal 3 2 8 2 2 5" xfId="7001" xr:uid="{35DBC6EC-A320-4932-BF9F-9BB742B8A16B}"/>
    <cellStyle name="Normal 3 2 8 2 2 5 2" xfId="18097" xr:uid="{0F12745E-D034-4D1E-96FF-EB599CC156E2}"/>
    <cellStyle name="Normal 3 2 8 2 2 5 3" xfId="14074" xr:uid="{C013CB6C-B13D-42B3-85C3-3ED8441C62B6}"/>
    <cellStyle name="Normal 3 2 8 2 2 6" xfId="8506" xr:uid="{6989A224-F7AB-4CD9-874A-234F17628EFC}"/>
    <cellStyle name="Normal 3 2 8 2 2 6 2" xfId="18558" xr:uid="{ACBA0C84-F80F-4B39-AE23-AD6140D79EC9}"/>
    <cellStyle name="Normal 3 2 8 2 2 7" xfId="9972" xr:uid="{89916FC8-9ED1-42A4-8946-8F2EEAFC720E}"/>
    <cellStyle name="Normal 3 2 8 2 2 8" xfId="10568" xr:uid="{E477C08F-973E-406E-95D9-F024FC66F8BD}"/>
    <cellStyle name="Normal 3 2 8 2 2 9" xfId="15976" xr:uid="{EF8A8089-84EE-42C2-A46E-EA9B3E64606A}"/>
    <cellStyle name="Normal 3 2 8 2 3" xfId="4502" xr:uid="{9B86BB5A-A12D-42C0-A588-C8E5B361C673}"/>
    <cellStyle name="Normal 3 2 8 2 3 2" xfId="7002" xr:uid="{7A0D7712-203C-4C53-B792-2B6FA0E9D224}"/>
    <cellStyle name="Normal 3 2 8 2 3 2 2" xfId="8935" xr:uid="{3EC0AFAA-6825-450B-9D7F-6B45694F6041}"/>
    <cellStyle name="Normal 3 2 8 2 3 2 2 2" xfId="18987" xr:uid="{DD2822C4-4410-487F-9A18-0CE1DBF2E698}"/>
    <cellStyle name="Normal 3 2 8 2 3 2 3" xfId="16440" xr:uid="{6D81DD14-A038-4D82-A5BB-9853F1D7E5F9}"/>
    <cellStyle name="Normal 3 2 8 2 3 2 4" xfId="15189" xr:uid="{A52C0D41-9583-41CF-B13C-428D12D1C26E}"/>
    <cellStyle name="Normal 3 2 8 2 3 3" xfId="7003" xr:uid="{3F2DDDF1-192B-4797-B0B0-4855708FD780}"/>
    <cellStyle name="Normal 3 2 8 2 3 3 2" xfId="9383" xr:uid="{96557229-43CA-4038-88FD-C58B6C07F31B}"/>
    <cellStyle name="Normal 3 2 8 2 3 3 2 2" xfId="19435" xr:uid="{55109976-A2A2-4D2E-B2F5-D6F4783B53BA}"/>
    <cellStyle name="Normal 3 2 8 2 3 3 3" xfId="16886" xr:uid="{85039403-93FD-4D4D-A12B-CEFA64F40EFD}"/>
    <cellStyle name="Normal 3 2 8 2 3 3 4" xfId="14840" xr:uid="{D14973C9-3FD6-4B1B-A37F-B4B297D95230}"/>
    <cellStyle name="Normal 3 2 8 2 3 4" xfId="7004" xr:uid="{54F78F07-B1AC-46D7-B6E2-1B988FAD4C04}"/>
    <cellStyle name="Normal 3 2 8 2 3 4 2" xfId="17487" xr:uid="{52C25434-7F85-4C2F-875C-D5D0050084BF}"/>
    <cellStyle name="Normal 3 2 8 2 3 4 3" xfId="14706" xr:uid="{CD244848-856F-4998-AC4B-8DC3D4410B9D}"/>
    <cellStyle name="Normal 3 2 8 2 3 5" xfId="7005" xr:uid="{B7556D3F-0290-452E-8243-7A9185799BD1}"/>
    <cellStyle name="Normal 3 2 8 2 3 5 2" xfId="18098" xr:uid="{3C760E47-B0E6-49BF-A6AE-FB76EFAE45C3}"/>
    <cellStyle name="Normal 3 2 8 2 3 5 3" xfId="14351" xr:uid="{3EA67E71-497B-477C-9915-D4B93F4E9D01}"/>
    <cellStyle name="Normal 3 2 8 2 3 6" xfId="8507" xr:uid="{277D0D1D-9F37-4AC6-8643-0B25B4DF2811}"/>
    <cellStyle name="Normal 3 2 8 2 3 6 2" xfId="18559" xr:uid="{5E34D70D-6B85-4EC7-9ADA-5B9F34F3FBAC}"/>
    <cellStyle name="Normal 3 2 8 2 3 7" xfId="9973" xr:uid="{66B4A781-D0FA-44A3-AE55-70EA03D7A68F}"/>
    <cellStyle name="Normal 3 2 8 2 3 8" xfId="10569" xr:uid="{D3F7EFD4-20E1-42CD-B91B-A32DEFA41A6A}"/>
    <cellStyle name="Normal 3 2 8 2 3 9" xfId="15975" xr:uid="{CB0438A8-D706-4880-9A0B-2E2DFEE1B5DA}"/>
    <cellStyle name="Normal 3 2 8 2 4" xfId="7006" xr:uid="{D0BFFD6D-C365-4F63-88E1-1EB328357E5E}"/>
    <cellStyle name="Normal 3 2 8 2 4 2" xfId="7007" xr:uid="{84B7F83B-A705-4293-BB53-1F5520958CEA}"/>
    <cellStyle name="Normal 3 2 8 2 4 2 2" xfId="17296" xr:uid="{FA58016A-0C47-4445-8481-6526494C36B5}"/>
    <cellStyle name="Normal 3 2 8 2 4 3" xfId="7008" xr:uid="{CEC3E651-799D-44D6-8404-08E79885EBE6}"/>
    <cellStyle name="Normal 3 2 8 2 4 3 2" xfId="17910" xr:uid="{E4CD5736-E06A-40DD-A241-3A199BA9978E}"/>
    <cellStyle name="Normal 3 2 8 2 4 4" xfId="8739" xr:uid="{D2E2BFF9-F3EB-4084-89D8-69E3740A0AA1}"/>
    <cellStyle name="Normal 3 2 8 2 4 4 2" xfId="18791" xr:uid="{84EB1EFC-CB9F-4FAE-906A-549FAC59C913}"/>
    <cellStyle name="Normal 3 2 8 2 4 5" xfId="9786" xr:uid="{B1ACCD79-6D57-4DB9-90D9-29022FD02C62}"/>
    <cellStyle name="Normal 3 2 8 2 4 6" xfId="10570" xr:uid="{6F927F98-9288-4905-8364-166403B9E5C9}"/>
    <cellStyle name="Normal 3 2 8 2 4 7" xfId="14168" xr:uid="{579720B4-BBEA-4616-9FF1-EDDE01C88595}"/>
    <cellStyle name="Normal 3 2 8 2 5" xfId="7009" xr:uid="{E037A614-55D1-4233-AF77-1E2775FA99ED}"/>
    <cellStyle name="Normal 3 2 8 2 5 2" xfId="9187" xr:uid="{7A841122-943D-4EF8-AA98-D6481B7900A2}"/>
    <cellStyle name="Normal 3 2 8 2 5 2 2" xfId="19239" xr:uid="{E1388A6C-490D-4F9A-9369-0E8119AE7E56}"/>
    <cellStyle name="Normal 3 2 8 2 5 3" xfId="16690" xr:uid="{6D0EFA11-3F01-492C-8B46-A11D8511FFD9}"/>
    <cellStyle name="Normal 3 2 8 2 5 4" xfId="14971" xr:uid="{56BA8525-A8EC-4687-90EE-7AAA6A7E9D7F}"/>
    <cellStyle name="Normal 3 2 8 2 6" xfId="7010" xr:uid="{D74D1940-84A8-4123-99BA-7C70A89FF498}"/>
    <cellStyle name="Normal 3 2 8 2 6 2" xfId="17149" xr:uid="{400231E1-1A87-4FFD-B8AF-C1D325F0444F}"/>
    <cellStyle name="Normal 3 2 8 2 6 3" xfId="15558" xr:uid="{F3B3477E-E8C3-4997-9DFB-93532F742D12}"/>
    <cellStyle name="Normal 3 2 8 2 7" xfId="7011" xr:uid="{76B29043-C906-496B-860E-37D1238D7D81}"/>
    <cellStyle name="Normal 3 2 8 2 7 2" xfId="17759" xr:uid="{11F217D1-3018-4514-9B9B-8735AEB4983A}"/>
    <cellStyle name="Normal 3 2 8 2 7 3" xfId="14506" xr:uid="{F2EB1A08-A5C4-44C7-878C-0A02DA93F631}"/>
    <cellStyle name="Normal 3 2 8 2 8" xfId="8311" xr:uid="{5310F313-18C4-4A31-8529-A4581DA8E8F7}"/>
    <cellStyle name="Normal 3 2 8 2 8 2" xfId="18363" xr:uid="{6E68DBC6-A64A-4AD9-9447-923BF7F21CA8}"/>
    <cellStyle name="Normal 3 2 8 2 9" xfId="9640" xr:uid="{DB135CB5-27D5-4038-830D-AF42DA89DBA1}"/>
    <cellStyle name="Normal 3 2 8 3" xfId="4503" xr:uid="{C23FB26D-EF7E-4A83-9C62-BBC056A8874D}"/>
    <cellStyle name="Normal 3 2 8 3 2" xfId="7012" xr:uid="{06D0EE95-93D4-4A40-8739-861A4E5C8523}"/>
    <cellStyle name="Normal 3 2 8 3 2 2" xfId="8936" xr:uid="{35C368B2-C42C-4D6B-BB12-9611131204AF}"/>
    <cellStyle name="Normal 3 2 8 3 2 2 2" xfId="18988" xr:uid="{67DBBAD7-2C47-43B5-8D3E-2ABAD37762B7}"/>
    <cellStyle name="Normal 3 2 8 3 2 3" xfId="16441" xr:uid="{E05B963C-E758-4E81-8E32-D391301B2C92}"/>
    <cellStyle name="Normal 3 2 8 3 2 4" xfId="15188" xr:uid="{25515CF1-6F52-475F-A410-690AEC89148F}"/>
    <cellStyle name="Normal 3 2 8 3 3" xfId="7013" xr:uid="{1637148C-450B-48DE-9ED1-EC13CCA15159}"/>
    <cellStyle name="Normal 3 2 8 3 3 2" xfId="9384" xr:uid="{9F46E081-D4A2-4743-A822-A93B542A512F}"/>
    <cellStyle name="Normal 3 2 8 3 3 2 2" xfId="19436" xr:uid="{F0C8B63A-F1E2-4518-9184-79FF66DE148A}"/>
    <cellStyle name="Normal 3 2 8 3 3 3" xfId="16887" xr:uid="{6B5890E1-8352-4BD7-AA6C-125AF4FC5E01}"/>
    <cellStyle name="Normal 3 2 8 3 3 4" xfId="15472" xr:uid="{980B476A-A559-4724-9D00-D992160325A2}"/>
    <cellStyle name="Normal 3 2 8 3 4" xfId="7014" xr:uid="{3BD7EEF5-4661-4C4E-B3C8-C284C6163385}"/>
    <cellStyle name="Normal 3 2 8 3 4 2" xfId="17488" xr:uid="{34595AE8-2951-40BE-B051-944E0265D104}"/>
    <cellStyle name="Normal 3 2 8 3 4 3" xfId="14705" xr:uid="{A206E708-87CE-4C75-A834-C9C94CD2D8A8}"/>
    <cellStyle name="Normal 3 2 8 3 5" xfId="7015" xr:uid="{E4961A5F-A044-44DA-8F3B-2183C4EB4897}"/>
    <cellStyle name="Normal 3 2 8 3 5 2" xfId="18099" xr:uid="{46CB5DF0-0B9A-4596-AE7D-138B600AF919}"/>
    <cellStyle name="Normal 3 2 8 3 5 3" xfId="14350" xr:uid="{B5BAB709-7A70-4EBD-9833-6A705A5F1746}"/>
    <cellStyle name="Normal 3 2 8 3 6" xfId="8508" xr:uid="{CD51E586-FBB5-41D8-892F-9D96BEAD3AD2}"/>
    <cellStyle name="Normal 3 2 8 3 6 2" xfId="18560" xr:uid="{C56AA027-19C6-4AB5-A40E-90C2F6AEC5B4}"/>
    <cellStyle name="Normal 3 2 8 3 7" xfId="9974" xr:uid="{0D16C4A0-BC35-4920-B0F7-20E96CF998F5}"/>
    <cellStyle name="Normal 3 2 8 3 8" xfId="10571" xr:uid="{2DC078C7-95EA-46EA-97EE-9DC95357C55E}"/>
    <cellStyle name="Normal 3 2 8 3 9" xfId="15974" xr:uid="{5B3EA7AA-1E2F-4346-AB21-E2C9E7C3004C}"/>
    <cellStyle name="Normal 3 2 8 4" xfId="4504" xr:uid="{47E32196-97A5-4F72-8C20-BE6D0FF49AA0}"/>
    <cellStyle name="Normal 3 2 8 4 2" xfId="7016" xr:uid="{3708E4D1-6B53-4027-BB32-7342EA0FAE6F}"/>
    <cellStyle name="Normal 3 2 8 4 2 2" xfId="8937" xr:uid="{62684848-E0B4-4BE8-BECB-9400FDCF2442}"/>
    <cellStyle name="Normal 3 2 8 4 2 2 2" xfId="18989" xr:uid="{D2117EE5-C978-43FF-89C5-54DF826C8BCA}"/>
    <cellStyle name="Normal 3 2 8 4 2 3" xfId="16442" xr:uid="{1E64EFCC-635B-4998-9BA4-ECA36421AA6C}"/>
    <cellStyle name="Normal 3 2 8 4 2 4" xfId="15187" xr:uid="{2970B4C1-A65A-4DB7-83BF-8D300650F71A}"/>
    <cellStyle name="Normal 3 2 8 4 3" xfId="7017" xr:uid="{0B5A2DAA-1AF8-4BAF-97E1-68FEA7BB4BB5}"/>
    <cellStyle name="Normal 3 2 8 4 3 2" xfId="9385" xr:uid="{90F0E47A-384A-4702-8880-F36D8B8D9FDB}"/>
    <cellStyle name="Normal 3 2 8 4 3 2 2" xfId="19437" xr:uid="{CC83A829-33DA-405E-992F-4D1CA369F62D}"/>
    <cellStyle name="Normal 3 2 8 4 3 3" xfId="16888" xr:uid="{55B001D7-9709-46EC-B49F-A2E5AB875B8E}"/>
    <cellStyle name="Normal 3 2 8 4 3 4" xfId="15761" xr:uid="{E3A334DE-3E53-4CF3-A70A-362520979B61}"/>
    <cellStyle name="Normal 3 2 8 4 4" xfId="7018" xr:uid="{6317DE02-2BC8-4F46-969E-D3A04F7FBFEA}"/>
    <cellStyle name="Normal 3 2 8 4 4 2" xfId="17489" xr:uid="{99911C0D-63D6-49A7-AF5D-8D36AFC1DB71}"/>
    <cellStyle name="Normal 3 2 8 4 4 3" xfId="14114" xr:uid="{68768F35-3F5D-41DF-B044-9717D5055BF8}"/>
    <cellStyle name="Normal 3 2 8 4 5" xfId="7019" xr:uid="{CE106286-14D0-4E33-B1BE-23CAD4E21EF4}"/>
    <cellStyle name="Normal 3 2 8 4 5 2" xfId="18100" xr:uid="{9A972741-81BC-4E84-8EA4-2CB0E7AE6DF2}"/>
    <cellStyle name="Normal 3 2 8 4 5 3" xfId="14349" xr:uid="{51FE173A-314C-44C9-9D76-938F241978DE}"/>
    <cellStyle name="Normal 3 2 8 4 6" xfId="8509" xr:uid="{C8498E60-A95A-4D83-ACA1-F33CAAC3FEF2}"/>
    <cellStyle name="Normal 3 2 8 4 6 2" xfId="18561" xr:uid="{910F5A50-C8DF-4F90-93FA-81418FEDCD01}"/>
    <cellStyle name="Normal 3 2 8 4 7" xfId="9975" xr:uid="{3085FEC1-C223-4B4D-9F88-E867F3F2917A}"/>
    <cellStyle name="Normal 3 2 8 4 8" xfId="10572" xr:uid="{DA973A5B-A29A-49FB-9469-FDA2EF7353BB}"/>
    <cellStyle name="Normal 3 2 8 4 9" xfId="15973" xr:uid="{9C52CD8A-DA85-40C9-9CEE-B0872ABDAF4B}"/>
    <cellStyle name="Normal 3 2 8 5" xfId="7020" xr:uid="{6064DA34-7F6F-4EFA-86E7-41F610DB7AA4}"/>
    <cellStyle name="Normal 3 2 8 5 2" xfId="7021" xr:uid="{E831371D-6F03-4DFF-9186-D945C5C92415}"/>
    <cellStyle name="Normal 3 2 8 5 2 2" xfId="17295" xr:uid="{41FC4A66-A6EE-4D72-8F8B-DD5F22B85088}"/>
    <cellStyle name="Normal 3 2 8 5 3" xfId="7022" xr:uid="{F5AF6C3B-DD61-4F7F-AEC9-A26B30ED9388}"/>
    <cellStyle name="Normal 3 2 8 5 3 2" xfId="17909" xr:uid="{091401CC-0943-4DD5-BD89-C685B69D0B21}"/>
    <cellStyle name="Normal 3 2 8 5 4" xfId="8738" xr:uid="{ABF86E08-D327-4A9B-8D4D-15106550DD48}"/>
    <cellStyle name="Normal 3 2 8 5 4 2" xfId="18790" xr:uid="{0D026FAE-E07C-4F3A-9693-0C1EEC506929}"/>
    <cellStyle name="Normal 3 2 8 5 5" xfId="9785" xr:uid="{F75362B4-8157-4390-8677-6780885F5D35}"/>
    <cellStyle name="Normal 3 2 8 5 6" xfId="10573" xr:uid="{806420E1-3DDF-4131-8119-8A36C5C2FD83}"/>
    <cellStyle name="Normal 3 2 8 5 7" xfId="15366" xr:uid="{0BBDD8DA-E9AD-4543-92BA-8127208B22EA}"/>
    <cellStyle name="Normal 3 2 8 6" xfId="7023" xr:uid="{0633319F-C391-4530-961B-0D27E488B701}"/>
    <cellStyle name="Normal 3 2 8 6 2" xfId="9186" xr:uid="{19F0E165-FE89-4AAA-B87E-B9B059ABBF44}"/>
    <cellStyle name="Normal 3 2 8 6 2 2" xfId="19238" xr:uid="{267D13DA-FB6F-4788-B350-DC21992313AE}"/>
    <cellStyle name="Normal 3 2 8 6 3" xfId="16689" xr:uid="{35496CEA-C1D6-40A5-9F12-D817D5C5A390}"/>
    <cellStyle name="Normal 3 2 8 6 4" xfId="14192" xr:uid="{84AAC455-587B-4DFA-AA63-A6F3519AB415}"/>
    <cellStyle name="Normal 3 2 8 7" xfId="7024" xr:uid="{C43D457A-A59D-4E01-9747-5C3982843FD9}"/>
    <cellStyle name="Normal 3 2 8 7 2" xfId="17148" xr:uid="{9BD14AEB-3FC8-461A-B2AF-13BAAEA8EE47}"/>
    <cellStyle name="Normal 3 2 8 7 3" xfId="15559" xr:uid="{89C1B1B0-2198-4054-B6EC-043D53B2F9DD}"/>
    <cellStyle name="Normal 3 2 8 8" xfId="7025" xr:uid="{53F9DB68-3804-4DCE-AE48-F288D31441F4}"/>
    <cellStyle name="Normal 3 2 8 8 2" xfId="17758" xr:uid="{708BE8E9-E5B8-4734-8D71-9F372482662C}"/>
    <cellStyle name="Normal 3 2 8 8 3" xfId="14507" xr:uid="{2A411E49-B829-4195-8548-D8BBEB743E4A}"/>
    <cellStyle name="Normal 3 2 8 9" xfId="8310" xr:uid="{C7C58101-0249-4868-B32F-0D555C6B7F16}"/>
    <cellStyle name="Normal 3 2 8 9 2" xfId="18362" xr:uid="{EFE8F3CE-566A-4394-A265-BBF767C00BBD}"/>
    <cellStyle name="Normal 3 2 9" xfId="2824" xr:uid="{84C45C38-78E6-4B75-9054-386C6A564B62}"/>
    <cellStyle name="Normal 3 2 9 10" xfId="10295" xr:uid="{3A5E5918-482D-4ADF-97CC-ECFBE2EB1B1C}"/>
    <cellStyle name="Normal 3 2 9 11" xfId="16138" xr:uid="{72EC7CEA-6133-4A1E-99C5-47206D77A686}"/>
    <cellStyle name="Normal 3 2 9 2" xfId="4505" xr:uid="{E3DA350C-4A78-44B0-87F3-B1C16DD5AF77}"/>
    <cellStyle name="Normal 3 2 9 2 2" xfId="7026" xr:uid="{4D28DB6E-709A-41F1-B3C3-FC924388FB8E}"/>
    <cellStyle name="Normal 3 2 9 2 2 2" xfId="8938" xr:uid="{400D4BE0-5ABA-4FDD-A0F8-D6EF8DB455B4}"/>
    <cellStyle name="Normal 3 2 9 2 2 2 2" xfId="18990" xr:uid="{180F98F6-1CE1-48D1-961E-C34CEC408B73}"/>
    <cellStyle name="Normal 3 2 9 2 2 3" xfId="16443" xr:uid="{9D9FB0A7-1492-4F41-AC3D-238B7FFE831E}"/>
    <cellStyle name="Normal 3 2 9 2 2 4" xfId="15186" xr:uid="{0F2417F7-3A79-48BF-A904-049E22489669}"/>
    <cellStyle name="Normal 3 2 9 2 3" xfId="7027" xr:uid="{8E958C31-E84B-45DF-899C-EAFAFFA85B08}"/>
    <cellStyle name="Normal 3 2 9 2 3 2" xfId="9386" xr:uid="{72637C82-58D5-40BA-9F55-71C2BB4824A2}"/>
    <cellStyle name="Normal 3 2 9 2 3 2 2" xfId="19438" xr:uid="{F47D281D-2226-4FC5-B383-F84CB92C26F8}"/>
    <cellStyle name="Normal 3 2 9 2 3 3" xfId="16889" xr:uid="{8FD1C84D-4C09-4877-ACF1-AE8E3792B992}"/>
    <cellStyle name="Normal 3 2 9 2 3 4" xfId="15760" xr:uid="{BBF2B5AB-7949-4ACC-A245-B5123C9F700E}"/>
    <cellStyle name="Normal 3 2 9 2 4" xfId="7028" xr:uid="{BD1B4B26-87B3-48C3-9290-D48FDDF23539}"/>
    <cellStyle name="Normal 3 2 9 2 4 2" xfId="17490" xr:uid="{1BC651B2-3218-47EF-A73C-7E8A8A66D61E}"/>
    <cellStyle name="Normal 3 2 9 2 4 3" xfId="14704" xr:uid="{53EF060D-717E-409E-BF6F-E4A3E53CEBC4}"/>
    <cellStyle name="Normal 3 2 9 2 5" xfId="7029" xr:uid="{9D61B0A8-2D53-467E-88E6-01784DD0F0AA}"/>
    <cellStyle name="Normal 3 2 9 2 5 2" xfId="18101" xr:uid="{227C9CA2-13B8-4B84-A825-CD744F8B5490}"/>
    <cellStyle name="Normal 3 2 9 2 5 3" xfId="14348" xr:uid="{D8FD6DE0-EF67-46C0-9476-48F8EE8272CB}"/>
    <cellStyle name="Normal 3 2 9 2 6" xfId="8510" xr:uid="{A337B095-61F4-4977-BFE0-BAE830EAA179}"/>
    <cellStyle name="Normal 3 2 9 2 6 2" xfId="18562" xr:uid="{762525D5-8A53-416F-8F5B-7048D2004B34}"/>
    <cellStyle name="Normal 3 2 9 2 7" xfId="9976" xr:uid="{09DC74B8-5B98-4324-8363-4A5B15B3D180}"/>
    <cellStyle name="Normal 3 2 9 2 8" xfId="10574" xr:uid="{8352AB77-61B8-4A58-8094-B52ADE553D6A}"/>
    <cellStyle name="Normal 3 2 9 2 9" xfId="15972" xr:uid="{C56D0935-6B87-4CE7-BABB-85902076DA6C}"/>
    <cellStyle name="Normal 3 2 9 3" xfId="4506" xr:uid="{211B1F09-7D4D-4AF9-9AEB-4D185020D3B9}"/>
    <cellStyle name="Normal 3 2 9 3 2" xfId="7030" xr:uid="{13EF3FCC-3F36-4DE8-9ACC-E2D04B175CE6}"/>
    <cellStyle name="Normal 3 2 9 3 2 2" xfId="8939" xr:uid="{9764CBC7-2E96-4DE0-926F-3A631108DB56}"/>
    <cellStyle name="Normal 3 2 9 3 2 2 2" xfId="18991" xr:uid="{E08AA1A5-6ED4-4F1E-9143-4897E045EAB5}"/>
    <cellStyle name="Normal 3 2 9 3 2 3" xfId="16444" xr:uid="{938D15F5-5053-417B-968B-39500DF44A02}"/>
    <cellStyle name="Normal 3 2 9 3 2 4" xfId="15185" xr:uid="{33BEBD4D-723B-4B35-8717-CC677187F110}"/>
    <cellStyle name="Normal 3 2 9 3 3" xfId="7031" xr:uid="{785C739F-12C6-46AE-B114-89CF0AC72005}"/>
    <cellStyle name="Normal 3 2 9 3 3 2" xfId="9387" xr:uid="{0D1CA041-B430-42F8-88AE-DC817391EA4D}"/>
    <cellStyle name="Normal 3 2 9 3 3 2 2" xfId="19439" xr:uid="{CE2EAAF2-E838-448B-AEF1-59EF273CE182}"/>
    <cellStyle name="Normal 3 2 9 3 3 3" xfId="16890" xr:uid="{EEF829DD-3BAB-4E39-BF17-50E6BD13F95F}"/>
    <cellStyle name="Normal 3 2 9 3 3 4" xfId="15759" xr:uid="{88A07BEF-8993-4236-932C-74134420F388}"/>
    <cellStyle name="Normal 3 2 9 3 4" xfId="7032" xr:uid="{44A39C2C-EFC4-45AA-80A0-E9D39FB252A0}"/>
    <cellStyle name="Normal 3 2 9 3 4 2" xfId="17491" xr:uid="{7A7D58A0-0867-45A5-93B1-BBAD89A9EF54}"/>
    <cellStyle name="Normal 3 2 9 3 4 3" xfId="14703" xr:uid="{FCD3DD47-8B12-4182-A049-1D5604AAFAFF}"/>
    <cellStyle name="Normal 3 2 9 3 5" xfId="7033" xr:uid="{8E761C48-E281-4069-9F36-44EFA2DAC419}"/>
    <cellStyle name="Normal 3 2 9 3 5 2" xfId="18102" xr:uid="{ED026045-4D5A-41CE-AF78-9C77969BF7C3}"/>
    <cellStyle name="Normal 3 2 9 3 5 3" xfId="14347" xr:uid="{FC8EA849-D601-4445-9733-5359E19C56A3}"/>
    <cellStyle name="Normal 3 2 9 3 6" xfId="8511" xr:uid="{E1AC812F-92B1-4892-955A-7EA8A2DD92C1}"/>
    <cellStyle name="Normal 3 2 9 3 6 2" xfId="18563" xr:uid="{F4F97B58-B362-4FE0-A7A4-7A4C2D0949FC}"/>
    <cellStyle name="Normal 3 2 9 3 7" xfId="9977" xr:uid="{A89F9754-340B-458B-84D7-2628C7BA10FD}"/>
    <cellStyle name="Normal 3 2 9 3 8" xfId="10575" xr:uid="{54EA6CDD-1F69-4736-9277-F8109FC9B0AC}"/>
    <cellStyle name="Normal 3 2 9 3 9" xfId="15971" xr:uid="{EEBB4BD3-8A95-4C17-B849-0BF6DDD92E96}"/>
    <cellStyle name="Normal 3 2 9 4" xfId="7034" xr:uid="{A9B465EB-5636-443B-8D9F-74702A0A5DEA}"/>
    <cellStyle name="Normal 3 2 9 4 2" xfId="7035" xr:uid="{8126BC6A-7AF5-46A0-970D-F506B600F0D4}"/>
    <cellStyle name="Normal 3 2 9 4 2 2" xfId="17297" xr:uid="{A9854026-7102-4892-A68B-4249F42C62E9}"/>
    <cellStyle name="Normal 3 2 9 4 3" xfId="7036" xr:uid="{105DEEAD-DE6D-46DB-AAF6-07D32B12D85F}"/>
    <cellStyle name="Normal 3 2 9 4 3 2" xfId="17911" xr:uid="{3F2CEB59-7229-4A18-AAE6-92FCACF28E97}"/>
    <cellStyle name="Normal 3 2 9 4 4" xfId="8740" xr:uid="{7758A3E1-F044-4A90-B26C-B9F01C0918D1}"/>
    <cellStyle name="Normal 3 2 9 4 4 2" xfId="18792" xr:uid="{C1309AF8-64E4-4F1E-A916-936194D3CD80}"/>
    <cellStyle name="Normal 3 2 9 4 5" xfId="9787" xr:uid="{854B42BA-0D26-4CF8-B89A-9BAA4AC6F3E9}"/>
    <cellStyle name="Normal 3 2 9 4 6" xfId="10576" xr:uid="{23F4DCDA-FA86-40A8-BD79-DDAAE39F6BBB}"/>
    <cellStyle name="Normal 3 2 9 4 7" xfId="15365" xr:uid="{E22BB022-044F-4929-9422-FA18DA09FA36}"/>
    <cellStyle name="Normal 3 2 9 5" xfId="7037" xr:uid="{3B656D31-B6EB-4B4E-B7CF-351F0E2232BE}"/>
    <cellStyle name="Normal 3 2 9 5 2" xfId="9188" xr:uid="{71530B36-4744-4BB2-A776-B521D62A23D6}"/>
    <cellStyle name="Normal 3 2 9 5 2 2" xfId="19240" xr:uid="{5C3A4478-96BD-4CA8-AB35-0BEBAF1C7378}"/>
    <cellStyle name="Normal 3 2 9 5 3" xfId="16691" xr:uid="{E78C9DA5-1BB8-43B8-810B-A5C510CACCA8}"/>
    <cellStyle name="Normal 3 2 9 5 4" xfId="14970" xr:uid="{39BFFDD8-E0A9-4155-8408-5F24B35D92A5}"/>
    <cellStyle name="Normal 3 2 9 6" xfId="7038" xr:uid="{47EF737B-5CE1-476F-8030-FBC87654E7B5}"/>
    <cellStyle name="Normal 3 2 9 6 2" xfId="17150" xr:uid="{6CBFB977-E28F-4BC2-AB54-D2C68D03D2F6}"/>
    <cellStyle name="Normal 3 2 9 6 3" xfId="15557" xr:uid="{1817BFD1-9E71-4787-B7A7-D9EF29D9D106}"/>
    <cellStyle name="Normal 3 2 9 7" xfId="7039" xr:uid="{C433F912-3E96-40C0-92E1-F3F0BF203B57}"/>
    <cellStyle name="Normal 3 2 9 7 2" xfId="17760" xr:uid="{B461DE8C-15D8-4DAC-B141-AB63ECB41650}"/>
    <cellStyle name="Normal 3 2 9 7 3" xfId="14505" xr:uid="{712A0A8C-A8A7-4A92-8192-2FF7D9B3CE17}"/>
    <cellStyle name="Normal 3 2 9 8" xfId="8312" xr:uid="{5527CE0B-6196-4D81-9566-0F2B7102BB2A}"/>
    <cellStyle name="Normal 3 2 9 8 2" xfId="18364" xr:uid="{DBE5432F-00B0-4324-B359-B6BB92456741}"/>
    <cellStyle name="Normal 3 2 9 9" xfId="9641" xr:uid="{D2C867A7-95A6-40AA-B1B0-33DF96174B2B}"/>
    <cellStyle name="Normal 3 2_09.06.10" xfId="11783" xr:uid="{D0D7021F-A2C2-49B9-912C-1DECBB03EA59}"/>
    <cellStyle name="Normal 3 20" xfId="7040" xr:uid="{63116E16-191F-4BD4-974D-CA9D74620198}"/>
    <cellStyle name="Normal 3 20 2" xfId="9112" xr:uid="{C9BEC560-6C26-401C-A4B1-D070CD546267}"/>
    <cellStyle name="Normal 3 20 2 2" xfId="19164" xr:uid="{B64FD225-D159-4974-91C2-17DD8F7DB021}"/>
    <cellStyle name="Normal 3 20 3" xfId="11784" xr:uid="{8E9816E7-20AB-4E5D-8DD4-E2E7019072A8}"/>
    <cellStyle name="Normal 3 20 3 2" xfId="16616" xr:uid="{DF745424-5495-429C-BB90-31C85236451E}"/>
    <cellStyle name="Normal 3 20 3 3" xfId="20610" xr:uid="{A96F09F4-40B4-4B19-9F85-7B1F5CE34324}"/>
    <cellStyle name="Normal 3 20 4" xfId="15029" xr:uid="{93DD77F1-6D65-4FF2-9213-1A8F9C1447B8}"/>
    <cellStyle name="Normal 3 21" xfId="13838" xr:uid="{0244D8DE-0AB1-49FE-8ABD-DDE6957636BC}"/>
    <cellStyle name="Normal 3 21 2" xfId="15457" xr:uid="{B5BA2B77-2DE1-42C7-B19A-6803616133D3}"/>
    <cellStyle name="Normal 3 21 3" xfId="20822" xr:uid="{A1017DE0-8BBD-4057-A88E-47B199B7C840}"/>
    <cellStyle name="Normal 3 22" xfId="12759" xr:uid="{CC429897-FFF8-48C4-848B-F149E705FB20}"/>
    <cellStyle name="Normal 3 22 2" xfId="16202" xr:uid="{42E359C3-172B-410A-B98C-7FDD765F7D89}"/>
    <cellStyle name="Normal 3 22 3" xfId="20720" xr:uid="{4C3F0698-1A3A-400C-9678-FC1EFC146A50}"/>
    <cellStyle name="Normal 3 23" xfId="11701" xr:uid="{5C1ED5A7-7C26-4052-8E80-EDD3CEF5C57A}"/>
    <cellStyle name="Normal 3 24" xfId="10956" xr:uid="{0865A74F-15CE-4026-9019-2903BF03E637}"/>
    <cellStyle name="Normal 3 25" xfId="11695" xr:uid="{A349C589-0D45-44A7-BCB2-791C81AD7311}"/>
    <cellStyle name="Normal 3 26" xfId="11785" xr:uid="{F8B624C0-B289-4715-8332-AFA9CAFF63ED}"/>
    <cellStyle name="Normal 3 27" xfId="12001" xr:uid="{2F52B236-6F53-490B-A932-2EAD6BF63607}"/>
    <cellStyle name="Normal 3 28" xfId="12921" xr:uid="{CF66D71A-A43B-45C7-A942-0894BB636084}"/>
    <cellStyle name="Normal 3 29" xfId="12603" xr:uid="{F489E267-72ED-4CC4-85D2-E75263BB712D}"/>
    <cellStyle name="Normal 3 3" xfId="74" xr:uid="{0CC22C80-E24A-4EEA-B6D5-AF9804B59B69}"/>
    <cellStyle name="Normal 3 3 10" xfId="2825" xr:uid="{783F9460-F382-447F-A605-3A932EF3CCFE}"/>
    <cellStyle name="Normal 3 3 10 2" xfId="4507" xr:uid="{CC19E03E-821F-45DC-A846-97F354671DD3}"/>
    <cellStyle name="Normal 3 3 10 2 2" xfId="19967" xr:uid="{425999B2-73B4-4A40-8EBE-185CB7159665}"/>
    <cellStyle name="Normal 3 3 10 3" xfId="7041" xr:uid="{FE86E975-FEF3-4620-B70B-6880B74AE247}"/>
    <cellStyle name="Normal 3 3 10 3 2" xfId="8741" xr:uid="{61713D77-4DD4-4E0D-9A1F-E6C339677381}"/>
    <cellStyle name="Normal 3 3 10 3 2 2" xfId="18793" xr:uid="{D872BECD-FE6B-4047-BB67-394248235ECE}"/>
    <cellStyle name="Normal 3 3 10 3 3" xfId="10179" xr:uid="{81287AFE-791B-4903-A63C-78AF44B93E1C}"/>
    <cellStyle name="Normal 3 3 10 3 4" xfId="10874" xr:uid="{2FEBD470-E6EB-4322-B70B-E24BBC047489}"/>
    <cellStyle name="Normal 3 3 10 3 5" xfId="15364" xr:uid="{E81F8914-928D-4574-850B-5CC743435CBC}"/>
    <cellStyle name="Normal 3 3 10 4" xfId="7042" xr:uid="{DAE23038-23B0-4A47-ACFF-F72B0123CEEB}"/>
    <cellStyle name="Normal 3 3 10 4 2" xfId="9189" xr:uid="{3B37A5B7-FC49-47F0-BAFB-7C68506A3650}"/>
    <cellStyle name="Normal 3 3 10 4 2 2" xfId="19241" xr:uid="{8725FF3C-F22A-4B84-B878-2DC462DAF959}"/>
    <cellStyle name="Normal 3 3 10 4 3" xfId="16692" xr:uid="{67DDFF1F-C6E7-4169-818F-877F72769E09}"/>
    <cellStyle name="Normal 3 3 10 4 4" xfId="14969" xr:uid="{A4A306B4-BCF2-42F6-AF2E-23175D5AFF70}"/>
    <cellStyle name="Normal 3 3 10 5" xfId="8313" xr:uid="{1A65D3C1-BB38-440D-B7C3-B0DC103D3370}"/>
    <cellStyle name="Normal 3 3 10 5 2" xfId="18365" xr:uid="{8F18703F-FD5B-4A24-8461-86D614B7EACB}"/>
    <cellStyle name="Normal 3 3 10 5 3" xfId="14203" xr:uid="{66BE1F7C-93F8-4E3A-B0CA-26984B7A7C4C}"/>
    <cellStyle name="Normal 3 3 10 6" xfId="16242" xr:uid="{84B0A31C-C7AD-4D43-A0ED-731DB65D0C26}"/>
    <cellStyle name="Normal 3 3 10 6 2" xfId="20833" xr:uid="{DFE0A5EC-06E1-4C61-8CA8-43424B663C22}"/>
    <cellStyle name="Normal 3 3 10 7" xfId="16137" xr:uid="{DCC4DEBF-55F7-4F7E-88D7-797C66F82AA5}"/>
    <cellStyle name="Normal 3 3 11" xfId="4508" xr:uid="{854872E1-3995-471B-B271-D84EE003FBBE}"/>
    <cellStyle name="Normal 3 3 11 2" xfId="7043" xr:uid="{B940E057-B3F4-4B56-A3DC-E380C9784028}"/>
    <cellStyle name="Normal 3 3 11 2 2" xfId="8940" xr:uid="{586C2AD3-03E3-4E41-9589-44B516641346}"/>
    <cellStyle name="Normal 3 3 11 2 2 2" xfId="18992" xr:uid="{1396C178-1154-434C-AAE4-59149E36CC17}"/>
    <cellStyle name="Normal 3 3 11 2 3" xfId="16445" xr:uid="{5D4341A5-1C48-4AED-B10A-BB3793B646DE}"/>
    <cellStyle name="Normal 3 3 11 2 4" xfId="15184" xr:uid="{53975D13-FB84-4706-B0A4-2A7F72008150}"/>
    <cellStyle name="Normal 3 3 11 3" xfId="7044" xr:uid="{4F11CBB2-DA94-4C34-869E-DAE0FC75BCE4}"/>
    <cellStyle name="Normal 3 3 11 3 2" xfId="9388" xr:uid="{EC9EEC79-2AC9-42BF-B5D6-FD94B07461F6}"/>
    <cellStyle name="Normal 3 3 11 3 2 2" xfId="19440" xr:uid="{31EEB043-328F-4DF2-8BE6-C3F36A6A1FC7}"/>
    <cellStyle name="Normal 3 3 11 3 3" xfId="16891" xr:uid="{9AB5B1BE-1C21-4BE8-BF0D-3DD9D04AF3F5}"/>
    <cellStyle name="Normal 3 3 11 3 4" xfId="15758" xr:uid="{D9B9A671-0D96-4E27-84A7-8A568B7C098A}"/>
    <cellStyle name="Normal 3 3 11 4" xfId="7045" xr:uid="{41DDAF34-EE67-44B9-8BF6-419832AF26E8}"/>
    <cellStyle name="Normal 3 3 11 4 2" xfId="17492" xr:uid="{91F6A9D8-5B5C-417A-A7BE-FF75FE51D231}"/>
    <cellStyle name="Normal 3 3 11 4 3" xfId="14702" xr:uid="{71A97F83-C201-4E9E-AF52-AA1584B2A0E5}"/>
    <cellStyle name="Normal 3 3 11 5" xfId="7046" xr:uid="{44F876A6-700D-4968-9031-8D3F0B8071E6}"/>
    <cellStyle name="Normal 3 3 11 5 2" xfId="18103" xr:uid="{9BC33D5E-27D6-4366-AEBB-E8F49EFC7B40}"/>
    <cellStyle name="Normal 3 3 11 5 3" xfId="14346" xr:uid="{DD37F43C-05DD-4340-92E7-4FCB78BD3660}"/>
    <cellStyle name="Normal 3 3 11 6" xfId="8512" xr:uid="{C7D65F32-03A8-4A8D-88A8-4127CE407715}"/>
    <cellStyle name="Normal 3 3 11 6 2" xfId="18564" xr:uid="{44D20148-B874-4659-9B5F-0D2CBA8FD21A}"/>
    <cellStyle name="Normal 3 3 11 7" xfId="9978" xr:uid="{7797F013-D0D2-4DEF-BCB9-E35BE6144568}"/>
    <cellStyle name="Normal 3 3 11 8" xfId="10577" xr:uid="{94F8F19C-061E-493D-8F6B-1CE2B17308B4}"/>
    <cellStyle name="Normal 3 3 11 9" xfId="10929" xr:uid="{B55789F2-28B3-4EEA-86D9-186016B2F259}"/>
    <cellStyle name="Normal 3 3 11 9 2" xfId="15413" xr:uid="{29423B30-347F-4752-9429-3E58DDA352FF}"/>
    <cellStyle name="Normal 3 3 11 9 3" xfId="20488" xr:uid="{54B7A47A-0DA4-4B88-9249-FCFF0905FC02}"/>
    <cellStyle name="Normal 3 3 12" xfId="4509" xr:uid="{710603F3-9F90-4353-872B-3A606F3A882A}"/>
    <cellStyle name="Normal 3 3 12 2" xfId="7047" xr:uid="{8299ED2B-BF70-427E-AD78-1BAC83E6A439}"/>
    <cellStyle name="Normal 3 3 12 2 2" xfId="8941" xr:uid="{F146E3BC-5790-4BC0-9D10-499732B734FE}"/>
    <cellStyle name="Normal 3 3 12 2 2 2" xfId="18993" xr:uid="{67963FB3-4D12-4FED-B8DD-B6DE18FFD06B}"/>
    <cellStyle name="Normal 3 3 12 2 3" xfId="16446" xr:uid="{BB1A1204-2D9D-4135-9466-852875F20880}"/>
    <cellStyle name="Normal 3 3 12 2 4" xfId="14154" xr:uid="{3E15AC33-EF2E-46BC-B125-3C0BEA31B099}"/>
    <cellStyle name="Normal 3 3 12 3" xfId="7048" xr:uid="{CBCC7FEC-F103-49BF-BA18-AF1CAFE9983A}"/>
    <cellStyle name="Normal 3 3 12 3 2" xfId="9389" xr:uid="{CE0A1024-19BA-41B4-A310-18B3EB21A11D}"/>
    <cellStyle name="Normal 3 3 12 3 2 2" xfId="19441" xr:uid="{7AA563DE-A1DB-4AE1-BEBE-B9F2B63A5ACB}"/>
    <cellStyle name="Normal 3 3 12 3 3" xfId="16892" xr:uid="{002BF4E0-337A-43B6-B6C1-4FAB2DDD0334}"/>
    <cellStyle name="Normal 3 3 12 3 4" xfId="15466" xr:uid="{13603A47-DCCC-4AD9-8ADB-BCC4FFE78C11}"/>
    <cellStyle name="Normal 3 3 12 4" xfId="7049" xr:uid="{0E1DC320-ED6D-469F-8851-86F2AEAD0D7E}"/>
    <cellStyle name="Normal 3 3 12 4 2" xfId="17493" xr:uid="{1DE6EFA2-F4A3-4D00-8706-0CCBA0E212B8}"/>
    <cellStyle name="Normal 3 3 12 4 3" xfId="14701" xr:uid="{38D5BFE7-0A5E-4E9C-852E-329F556435F7}"/>
    <cellStyle name="Normal 3 3 12 5" xfId="7050" xr:uid="{3C90A87E-E323-4F1F-866B-D7602D731801}"/>
    <cellStyle name="Normal 3 3 12 5 2" xfId="18104" xr:uid="{94A51FD6-B252-4D95-A2E1-4CE20F777179}"/>
    <cellStyle name="Normal 3 3 12 5 3" xfId="14345" xr:uid="{25841803-34A0-4D8A-8E91-30D315A3271F}"/>
    <cellStyle name="Normal 3 3 12 6" xfId="8513" xr:uid="{33F99F3D-066F-4153-9F3F-694FD3EC3A22}"/>
    <cellStyle name="Normal 3 3 12 6 2" xfId="18565" xr:uid="{7E39693D-0443-40FC-8D20-173441AF5245}"/>
    <cellStyle name="Normal 3 3 12 7" xfId="9979" xr:uid="{1F5A6C9A-050D-4BF1-9D3C-402309454839}"/>
    <cellStyle name="Normal 3 3 12 8" xfId="10578" xr:uid="{21E8C189-2BCE-43D7-ADA2-47D71BE9EAF4}"/>
    <cellStyle name="Normal 3 3 12 9" xfId="11929" xr:uid="{08D8C5F1-BF90-4C2F-8856-E885E279D6DD}"/>
    <cellStyle name="Normal 3 3 12 9 2" xfId="15970" xr:uid="{71A0DB6A-7FF3-403F-901A-6A5F4398C8BE}"/>
    <cellStyle name="Normal 3 3 12 9 3" xfId="20637" xr:uid="{0FFE651C-48D4-482E-9454-7A5E12F8E7EE}"/>
    <cellStyle name="Normal 3 3 13" xfId="414" xr:uid="{92A3EAE4-ACB6-4DC9-B082-9CD1545635D3}"/>
    <cellStyle name="Normal 3 3 13 2" xfId="7051" xr:uid="{1427F3DA-4621-48E6-97C0-4DE1BA804E8B}"/>
    <cellStyle name="Normal 3 3 13 2 2" xfId="9132" xr:uid="{3AC701B0-D5E2-4E7E-9195-1D3A46C63ACE}"/>
    <cellStyle name="Normal 3 3 13 2 2 2" xfId="19184" xr:uid="{A06AB700-BE47-4DD1-AD5C-76E8CF4DC556}"/>
    <cellStyle name="Normal 3 3 13 2 3" xfId="16635" xr:uid="{21C04FF7-367A-4727-B759-C7455D2568F1}"/>
    <cellStyle name="Normal 3 3 13 2 4" xfId="15011" xr:uid="{9B2E5977-80FC-401E-AC38-2C2259838DC1}"/>
    <cellStyle name="Normal 3 3 13 3" xfId="7052" xr:uid="{7BF92310-AE81-4FFF-A77C-2347B2E107CB}"/>
    <cellStyle name="Normal 3 3 13 3 2" xfId="17298" xr:uid="{EF5C503E-7B5E-41B8-BE85-184AB524A47A}"/>
    <cellStyle name="Normal 3 3 13 3 3" xfId="14796" xr:uid="{3E1E79D9-B539-4DE7-BBEF-C56A508A01E3}"/>
    <cellStyle name="Normal 3 3 13 4" xfId="7053" xr:uid="{D48802AC-4878-46CE-A850-C67AE43D2E71}"/>
    <cellStyle name="Normal 3 3 13 4 2" xfId="17912" xr:uid="{88F502F4-6C85-462A-A4CA-B8F3D190E484}"/>
    <cellStyle name="Normal 3 3 13 4 3" xfId="14431" xr:uid="{7F851023-B626-4851-AABB-3372805F7C34}"/>
    <cellStyle name="Normal 3 3 13 5" xfId="8685" xr:uid="{B04F400E-0C6B-4E89-AB91-F8DD45CF139C}"/>
    <cellStyle name="Normal 3 3 13 5 2" xfId="18737" xr:uid="{F0EE6465-C009-4C78-B08E-3C7CD3C63E77}"/>
    <cellStyle name="Normal 3 3 13 6" xfId="9788" xr:uid="{538189FA-D791-41EA-B580-CD50D6DA2659}"/>
    <cellStyle name="Normal 3 3 13 7" xfId="10579" xr:uid="{63364EA4-A033-46EC-9F67-A9CF38351C65}"/>
    <cellStyle name="Normal 3 3 13 8" xfId="11088" xr:uid="{9484A57B-A88A-4CB5-8F3B-04E6A7B8EE2A}"/>
    <cellStyle name="Normal 3 3 13 8 2" xfId="15827" xr:uid="{F1E5DD26-E5D8-43BB-8468-0F92CFD6E2B7}"/>
    <cellStyle name="Normal 3 3 13 8 3" xfId="20511" xr:uid="{74E148AA-CB2A-4874-8DC6-5DF72DFAF084}"/>
    <cellStyle name="Normal 3 3 14" xfId="7054" xr:uid="{DA8BB843-BFE2-44A9-91B9-8FF96EC9F45C}"/>
    <cellStyle name="Normal 3 3 14 2" xfId="9119" xr:uid="{8D30305D-BDDC-4B98-A680-9620D9DB08A6}"/>
    <cellStyle name="Normal 3 3 14 2 2" xfId="19171" xr:uid="{C85EB68E-C36D-4258-BC70-B963BA5AFF51}"/>
    <cellStyle name="Normal 3 3 14 3" xfId="11113" xr:uid="{F5E8E306-B1E5-4E28-BED8-664181109B0E}"/>
    <cellStyle name="Normal 3 3 14 3 2" xfId="16623" xr:uid="{821F4273-D592-4359-A905-4AF5688A01D6}"/>
    <cellStyle name="Normal 3 3 14 3 3" xfId="20516" xr:uid="{80522C87-1B07-4DC0-A643-1BE112F00AC3}"/>
    <cellStyle name="Normal 3 3 14 4" xfId="15023" xr:uid="{A96296A8-1C9D-4E4D-B13C-1098630B99F5}"/>
    <cellStyle name="Normal 3 3 15" xfId="7055" xr:uid="{063E4AC9-0B89-4854-9DF7-5E920A63FA07}"/>
    <cellStyle name="Normal 3 3 15 2" xfId="10934" xr:uid="{405AA89A-31C7-4294-946E-C7AB67553FA8}"/>
    <cellStyle name="Normal 3 3 15 2 2" xfId="17151" xr:uid="{BA5CE50C-AE49-494C-9C0E-38684749D44B}"/>
    <cellStyle name="Normal 3 3 15 2 3" xfId="20489" xr:uid="{92AA3A46-8C87-44DF-8CC3-6111734742B9}"/>
    <cellStyle name="Normal 3 3 15 3" xfId="15556" xr:uid="{B860A79B-7BD4-4D7A-B070-C469797C3B7B}"/>
    <cellStyle name="Normal 3 3 16" xfId="7056" xr:uid="{6352AA7D-ABDD-48F7-B8E6-90B84393646A}"/>
    <cellStyle name="Normal 3 3 16 2" xfId="11231" xr:uid="{FFEFC367-2ABD-49AE-8042-EA2F4F4B3EA6}"/>
    <cellStyle name="Normal 3 3 16 2 2" xfId="17761" xr:uid="{B35D4433-2017-42D1-926F-A1AF1A01CE5F}"/>
    <cellStyle name="Normal 3 3 16 2 3" xfId="20522" xr:uid="{77C2C3F5-44A4-47E3-87C7-967900F6D5F2}"/>
    <cellStyle name="Normal 3 3 16 3" xfId="14504" xr:uid="{8C17684D-8F76-4340-91BC-A088F9D69234}"/>
    <cellStyle name="Normal 3 3 17" xfId="8257" xr:uid="{91F1B3DD-BCF4-4A88-A412-598B39B917E6}"/>
    <cellStyle name="Normal 3 3 17 2" xfId="12491" xr:uid="{F4C9FE04-5CDC-40BA-8F16-3D8C5B5E8EF6}"/>
    <cellStyle name="Normal 3 3 17 2 2" xfId="18309" xr:uid="{D7341E73-9F8E-4564-9747-44830BEFB3DF}"/>
    <cellStyle name="Normal 3 3 17 2 3" xfId="20695" xr:uid="{EAE475BC-E981-41DD-8B94-6CEED92E9F07}"/>
    <cellStyle name="Normal 3 3 17 3" xfId="14207" xr:uid="{4778C642-5171-4789-A8FC-E6CDD111147F}"/>
    <cellStyle name="Normal 3 3 18" xfId="9642" xr:uid="{9A5D3EFE-2A65-4D39-95D2-FFF66E0D4264}"/>
    <cellStyle name="Normal 3 3 18 2" xfId="12567" xr:uid="{8932A138-C62A-4F86-911C-B7EB75C35316}"/>
    <cellStyle name="Normal 3 3 19" xfId="10296" xr:uid="{13CA81D3-0D7B-49FF-B80A-3AF1EDE0737B}"/>
    <cellStyle name="Normal 3 3 19 2" xfId="11245" xr:uid="{1B843CFA-D40E-4921-89F4-9D47ACD25D2D}"/>
    <cellStyle name="Normal 3 3 2" xfId="155" xr:uid="{0CD9F441-4D02-4A06-A917-DAA613F17F6A}"/>
    <cellStyle name="Normal 3 3 2 10" xfId="9643" xr:uid="{E88587CF-6A80-49F1-A129-A061910A79FB}"/>
    <cellStyle name="Normal 3 3 2 11" xfId="10297" xr:uid="{C782EF85-8109-47FD-8852-309F49591E3E}"/>
    <cellStyle name="Normal 3 3 2 12" xfId="13837" xr:uid="{816F201E-D17A-4399-864D-987B8B3C476F}"/>
    <cellStyle name="Normal 3 3 2 12 2" xfId="16136" xr:uid="{D4CA0417-C674-40EE-8ACB-26BA88007600}"/>
    <cellStyle name="Normal 3 3 2 12 3" xfId="20821" xr:uid="{54C7A1B3-8F95-44B7-A2D0-4893930A8B5E}"/>
    <cellStyle name="Normal 3 3 2 2" xfId="2827" xr:uid="{5347FCB4-A0CA-45A5-8794-DB1047768756}"/>
    <cellStyle name="Normal 3 3 2 2 10" xfId="10298" xr:uid="{F1F85C1F-554D-4A01-85A4-B788C3EA47A9}"/>
    <cellStyle name="Normal 3 3 2 2 11" xfId="16135" xr:uid="{5D351AF2-0A9F-4FC4-AC8E-604A9D836E60}"/>
    <cellStyle name="Normal 3 3 2 2 2" xfId="4510" xr:uid="{ECFC6678-2F5E-4E6D-AB53-C408E4A82685}"/>
    <cellStyle name="Normal 3 3 2 2 2 2" xfId="7057" xr:uid="{2F40C294-F8F9-434D-9FF9-3BADB410BDB8}"/>
    <cellStyle name="Normal 3 3 2 2 2 2 2" xfId="8942" xr:uid="{E8083E7F-CFBC-4A40-AB11-802E687FCEDF}"/>
    <cellStyle name="Normal 3 3 2 2 2 2 2 2" xfId="18994" xr:uid="{9DA848E2-2C61-414A-A876-46C53B8B04CD}"/>
    <cellStyle name="Normal 3 3 2 2 2 2 3" xfId="16447" xr:uid="{83B52989-42C5-4FE5-B98B-23EAD90B4145}"/>
    <cellStyle name="Normal 3 3 2 2 2 2 4" xfId="15183" xr:uid="{92B4ABBE-17E0-4FEE-89A8-4B479EE4F16E}"/>
    <cellStyle name="Normal 3 3 2 2 2 3" xfId="7058" xr:uid="{2347EA94-E8E2-4E39-9C23-2622B146DDD5}"/>
    <cellStyle name="Normal 3 3 2 2 2 3 2" xfId="9390" xr:uid="{16020EF4-19FF-42CD-93DC-AC41B3A900D8}"/>
    <cellStyle name="Normal 3 3 2 2 2 3 2 2" xfId="19442" xr:uid="{07DFF8FD-C50C-40FE-86EA-1EAC4719530C}"/>
    <cellStyle name="Normal 3 3 2 2 2 3 3" xfId="16893" xr:uid="{F6293B26-D3C8-419A-BD50-433721695E7B}"/>
    <cellStyle name="Normal 3 3 2 2 2 3 4" xfId="14839" xr:uid="{4FB52D0C-DEFD-49B1-B08D-D2D38BABB7B8}"/>
    <cellStyle name="Normal 3 3 2 2 2 4" xfId="7059" xr:uid="{F950D33D-6896-415A-92F6-99FD4482E1B1}"/>
    <cellStyle name="Normal 3 3 2 2 2 4 2" xfId="17494" xr:uid="{017FAB96-3761-4E58-94CB-636A90440880}"/>
    <cellStyle name="Normal 3 3 2 2 2 4 3" xfId="14700" xr:uid="{67B4C4C3-F744-495F-83AC-85543C80F061}"/>
    <cellStyle name="Normal 3 3 2 2 2 5" xfId="7060" xr:uid="{331BE24F-4B92-42BF-B514-30CAF2D345D3}"/>
    <cellStyle name="Normal 3 3 2 2 2 5 2" xfId="18105" xr:uid="{9F0CBCCC-C678-4B9A-955C-0586C83ECF5D}"/>
    <cellStyle name="Normal 3 3 2 2 2 5 3" xfId="14344" xr:uid="{6A4FC384-950B-4E97-B564-B830508484F4}"/>
    <cellStyle name="Normal 3 3 2 2 2 6" xfId="8514" xr:uid="{FB628E89-656B-4DC4-BCEB-8040874955B6}"/>
    <cellStyle name="Normal 3 3 2 2 2 6 2" xfId="18566" xr:uid="{737CF5D8-E9C5-4B03-AE55-2C44C8AA720A}"/>
    <cellStyle name="Normal 3 3 2 2 2 7" xfId="9980" xr:uid="{E1C3AEB3-61F6-47DC-AB38-6802EA94C30B}"/>
    <cellStyle name="Normal 3 3 2 2 2 8" xfId="10580" xr:uid="{82EB0C1A-58FA-42C8-94D4-DD6DEA598848}"/>
    <cellStyle name="Normal 3 3 2 2 2 9" xfId="15969" xr:uid="{E03A65AC-6A0F-4087-AC75-75BEE0ADB274}"/>
    <cellStyle name="Normal 3 3 2 2 3" xfId="4511" xr:uid="{49E58BE6-DCC5-4083-80A5-BAA1174D2A61}"/>
    <cellStyle name="Normal 3 3 2 2 3 2" xfId="7061" xr:uid="{9D16E592-905D-4B20-A367-476FA0FE163F}"/>
    <cellStyle name="Normal 3 3 2 2 3 2 2" xfId="8943" xr:uid="{5AC97883-947B-4DE1-8FAB-C8A99824BB68}"/>
    <cellStyle name="Normal 3 3 2 2 3 2 2 2" xfId="18995" xr:uid="{13B1EA70-7A46-4BC7-97AA-0E010AB9D17C}"/>
    <cellStyle name="Normal 3 3 2 2 3 2 3" xfId="16448" xr:uid="{92A99055-5225-42C5-8A57-91F2029D98A5}"/>
    <cellStyle name="Normal 3 3 2 2 3 2 4" xfId="15182" xr:uid="{82221E18-57DB-40A0-AAC7-4680BAB0A44D}"/>
    <cellStyle name="Normal 3 3 2 2 3 3" xfId="7062" xr:uid="{B80C6B61-AA74-454A-A230-5EBC985A86FE}"/>
    <cellStyle name="Normal 3 3 2 2 3 3 2" xfId="9391" xr:uid="{4797E310-57EE-403D-935C-F927DD5E7EAD}"/>
    <cellStyle name="Normal 3 3 2 2 3 3 2 2" xfId="19443" xr:uid="{AD31805B-E799-42DF-ACA0-D84E9D408F80}"/>
    <cellStyle name="Normal 3 3 2 2 3 3 3" xfId="16894" xr:uid="{DF605231-86E1-41E9-AD66-882D2B923B2D}"/>
    <cellStyle name="Normal 3 3 2 2 3 3 4" xfId="16159" xr:uid="{1E38712D-EF5C-4138-9145-8AD92C08535C}"/>
    <cellStyle name="Normal 3 3 2 2 3 4" xfId="7063" xr:uid="{6D547881-F240-4E1D-A3F7-550B5B5F4DF2}"/>
    <cellStyle name="Normal 3 3 2 2 3 4 2" xfId="17495" xr:uid="{16F0ABDF-8908-46E8-97E0-8522BB8569EB}"/>
    <cellStyle name="Normal 3 3 2 2 3 4 3" xfId="14699" xr:uid="{E01E8F3E-79E6-4845-AD17-CD0762A3A3AF}"/>
    <cellStyle name="Normal 3 3 2 2 3 5" xfId="7064" xr:uid="{D065B5EE-5E64-467B-A2BB-AFC5F0FF84C5}"/>
    <cellStyle name="Normal 3 3 2 2 3 5 2" xfId="18106" xr:uid="{7BBD9FAA-26C9-4516-A328-C7721B60FFF3}"/>
    <cellStyle name="Normal 3 3 2 2 3 5 3" xfId="14343" xr:uid="{5C942348-2495-46A7-A352-3DE59DE93A87}"/>
    <cellStyle name="Normal 3 3 2 2 3 6" xfId="8515" xr:uid="{128622F9-2AE3-4057-8031-75BE4AA5EC6E}"/>
    <cellStyle name="Normal 3 3 2 2 3 6 2" xfId="18567" xr:uid="{F1F94175-4E4C-45E6-9392-A26C7F51770E}"/>
    <cellStyle name="Normal 3 3 2 2 3 7" xfId="9981" xr:uid="{F75D3836-3343-4ADB-AD6A-8D1E292C7AD7}"/>
    <cellStyle name="Normal 3 3 2 2 3 8" xfId="10581" xr:uid="{B35C216A-6CF9-4574-885C-772B3D48114F}"/>
    <cellStyle name="Normal 3 3 2 2 3 9" xfId="16154" xr:uid="{6D0BB721-41A1-4FC1-ABCA-9121D39F0728}"/>
    <cellStyle name="Normal 3 3 2 2 4" xfId="7065" xr:uid="{0302A650-40C4-49C5-9452-CD926C524C18}"/>
    <cellStyle name="Normal 3 3 2 2 4 2" xfId="7066" xr:uid="{A42DBF23-E3F1-49DE-A270-B4E576A899EA}"/>
    <cellStyle name="Normal 3 3 2 2 4 2 2" xfId="17300" xr:uid="{DDE936D8-A8EB-4901-A8BF-1A68A25E6BA5}"/>
    <cellStyle name="Normal 3 3 2 2 4 3" xfId="7067" xr:uid="{E26CEA87-AC8D-4B3D-B43A-49E1E33CF7DB}"/>
    <cellStyle name="Normal 3 3 2 2 4 3 2" xfId="17914" xr:uid="{FCC9DE98-2531-468B-B154-413C6400C9E3}"/>
    <cellStyle name="Normal 3 3 2 2 4 4" xfId="8743" xr:uid="{6819DC70-7DAB-4FDA-86AB-CAF71E4756AD}"/>
    <cellStyle name="Normal 3 3 2 2 4 4 2" xfId="18795" xr:uid="{4C6584AC-5C5E-489F-B62C-D9B13078E7B2}"/>
    <cellStyle name="Normal 3 3 2 2 4 5" xfId="9790" xr:uid="{21F4B4C8-AB0D-4042-8A0B-97FB5A0A4DD3}"/>
    <cellStyle name="Normal 3 3 2 2 4 6" xfId="10582" xr:uid="{5A8ADBE8-6510-4433-8C20-FA33D53A80F8}"/>
    <cellStyle name="Normal 3 3 2 2 4 7" xfId="15362" xr:uid="{421ACC09-F331-4CE7-9FA5-CFBEBE7966E2}"/>
    <cellStyle name="Normal 3 3 2 2 5" xfId="7068" xr:uid="{00187E66-E8A4-4624-AFE8-21E6DF58EC14}"/>
    <cellStyle name="Normal 3 3 2 2 5 2" xfId="9191" xr:uid="{AD682FD3-33F6-4E88-97CF-FFF39B0BCF86}"/>
    <cellStyle name="Normal 3 3 2 2 5 2 2" xfId="19243" xr:uid="{D6DD1A84-5122-4A29-AB1B-C9BE3631BB35}"/>
    <cellStyle name="Normal 3 3 2 2 5 3" xfId="16694" xr:uid="{31C147B1-AA61-4680-A6C1-AAFBAFA1891C}"/>
    <cellStyle name="Normal 3 3 2 2 5 4" xfId="14967" xr:uid="{0BD01BB4-7E97-46D8-9B5A-D04737A90488}"/>
    <cellStyle name="Normal 3 3 2 2 6" xfId="7069" xr:uid="{0DCD1989-BC41-4499-85A4-3C83F9C9F236}"/>
    <cellStyle name="Normal 3 3 2 2 6 2" xfId="17153" xr:uid="{0EBB0A02-494B-4500-9E93-6FC08473778B}"/>
    <cellStyle name="Normal 3 3 2 2 6 3" xfId="15554" xr:uid="{C1A110F0-C62F-404E-9FBA-90AC49A4B481}"/>
    <cellStyle name="Normal 3 3 2 2 7" xfId="7070" xr:uid="{37A56863-A7CE-446E-A0CD-465A75651480}"/>
    <cellStyle name="Normal 3 3 2 2 7 2" xfId="17763" xr:uid="{AC0520D2-B89F-45B8-9F54-3F971669DA24}"/>
    <cellStyle name="Normal 3 3 2 2 7 3" xfId="14502" xr:uid="{EC20B71C-78B7-4490-8625-2B00E63DFC73}"/>
    <cellStyle name="Normal 3 3 2 2 8" xfId="8315" xr:uid="{3187295D-A670-4A01-8BBE-1DD4AF305B68}"/>
    <cellStyle name="Normal 3 3 2 2 8 2" xfId="18367" xr:uid="{754BEE86-D108-474D-8A29-6DD6D926413D}"/>
    <cellStyle name="Normal 3 3 2 2 9" xfId="9644" xr:uid="{4B28C0BA-6CD5-4732-862D-D17956D09D22}"/>
    <cellStyle name="Normal 3 3 2 3" xfId="4512" xr:uid="{DC3F04E2-2E85-4C08-9907-E7DF2176BE80}"/>
    <cellStyle name="Normal 3 3 2 3 2" xfId="7071" xr:uid="{A3F112D3-26D6-4FF2-8B97-468898E12563}"/>
    <cellStyle name="Normal 3 3 2 3 2 2" xfId="8944" xr:uid="{6290D128-086D-432C-8EDC-0AA5EACAC420}"/>
    <cellStyle name="Normal 3 3 2 3 2 2 2" xfId="18996" xr:uid="{6D268DDA-D4DA-453F-83AC-83C6BE0398A1}"/>
    <cellStyle name="Normal 3 3 2 3 2 3" xfId="16449" xr:uid="{45E0698D-B133-4537-8FDD-09A1E7C420F2}"/>
    <cellStyle name="Normal 3 3 2 3 2 4" xfId="15181" xr:uid="{A01A5618-CCDA-476E-8EEA-777EE17F4F9C}"/>
    <cellStyle name="Normal 3 3 2 3 3" xfId="7072" xr:uid="{8401DEFE-9FC8-479B-AE25-2E8BD4E7B615}"/>
    <cellStyle name="Normal 3 3 2 3 3 2" xfId="9392" xr:uid="{C6927AE5-9879-4ECA-8996-EA3888879BDE}"/>
    <cellStyle name="Normal 3 3 2 3 3 2 2" xfId="19444" xr:uid="{44E40DC3-5330-4B2C-A35C-02AE05563EBF}"/>
    <cellStyle name="Normal 3 3 2 3 3 3" xfId="16895" xr:uid="{B0609D9B-D21A-4427-9970-5C7B537DFE11}"/>
    <cellStyle name="Normal 3 3 2 3 3 4" xfId="15471" xr:uid="{E617C9B0-BC7D-4102-AF07-14EEFDE598A7}"/>
    <cellStyle name="Normal 3 3 2 3 4" xfId="7073" xr:uid="{8ECF65C2-AF77-429A-B0A3-847E369552A2}"/>
    <cellStyle name="Normal 3 3 2 3 4 2" xfId="17496" xr:uid="{7D1AE8B0-C994-4FD2-BF71-4BB600DC6AD6}"/>
    <cellStyle name="Normal 3 3 2 3 4 3" xfId="14698" xr:uid="{907B9320-23EF-44A4-8D01-499A2DA61E16}"/>
    <cellStyle name="Normal 3 3 2 3 5" xfId="7074" xr:uid="{73215D06-0DC3-42B7-A74E-AF6AEDBB932A}"/>
    <cellStyle name="Normal 3 3 2 3 5 2" xfId="18107" xr:uid="{36267B51-460A-4EC2-86A0-A1A0FE301E64}"/>
    <cellStyle name="Normal 3 3 2 3 5 3" xfId="14342" xr:uid="{BBF23B0F-3F8F-4756-A0A0-77F6B1025F42}"/>
    <cellStyle name="Normal 3 3 2 3 6" xfId="8516" xr:uid="{9FCF7AFE-A7B6-4EDF-9A3B-1AEE36565924}"/>
    <cellStyle name="Normal 3 3 2 3 6 2" xfId="18568" xr:uid="{7F6C4492-25D2-4D6F-8740-F240ED184409}"/>
    <cellStyle name="Normal 3 3 2 3 7" xfId="9982" xr:uid="{596011A2-23B1-4DD4-930E-E515C95F2C5A}"/>
    <cellStyle name="Normal 3 3 2 3 8" xfId="10583" xr:uid="{C31D8526-3AAF-476F-84DB-3BD7546005CB}"/>
    <cellStyle name="Normal 3 3 2 3 9" xfId="15968" xr:uid="{AC35085D-300D-4EE0-AB9B-2E87B269A69D}"/>
    <cellStyle name="Normal 3 3 2 4" xfId="4513" xr:uid="{1D79A5F3-342D-48FE-BCD6-9909C2BE01B6}"/>
    <cellStyle name="Normal 3 3 2 4 2" xfId="7075" xr:uid="{1C35CDF6-CE43-4D43-A1E0-C00971AEA6AD}"/>
    <cellStyle name="Normal 3 3 2 4 2 2" xfId="8945" xr:uid="{09EBC8AC-A089-4755-9D38-338194458A62}"/>
    <cellStyle name="Normal 3 3 2 4 2 2 2" xfId="18997" xr:uid="{5496303A-D3AD-4CDA-A778-D36A8DE68627}"/>
    <cellStyle name="Normal 3 3 2 4 2 3" xfId="16450" xr:uid="{09555508-52CB-46B2-87EE-24CAD60F1D37}"/>
    <cellStyle name="Normal 3 3 2 4 2 4" xfId="15180" xr:uid="{82479BA7-A035-4C61-A1B5-EA72E4418D34}"/>
    <cellStyle name="Normal 3 3 2 4 3" xfId="7076" xr:uid="{47781E9A-9C94-496E-AF48-B31209E94C16}"/>
    <cellStyle name="Normal 3 3 2 4 3 2" xfId="9393" xr:uid="{6071BCB1-351A-4DA9-8025-4B5A6149E31C}"/>
    <cellStyle name="Normal 3 3 2 4 3 2 2" xfId="19445" xr:uid="{3185C1EA-0ACA-4F10-9A99-1AD3563FE4D9}"/>
    <cellStyle name="Normal 3 3 2 4 3 3" xfId="16896" xr:uid="{CD4D038C-C5E8-4B76-8B01-8D5F941F3FA6}"/>
    <cellStyle name="Normal 3 3 2 4 3 4" xfId="15757" xr:uid="{E1508A09-8CE7-4821-ACA1-1DFDE93482A1}"/>
    <cellStyle name="Normal 3 3 2 4 4" xfId="7077" xr:uid="{49A52295-71FC-49B5-AAC8-BC78685A6254}"/>
    <cellStyle name="Normal 3 3 2 4 4 2" xfId="17497" xr:uid="{8483C327-E794-4E4C-82D7-AE9C198CECDA}"/>
    <cellStyle name="Normal 3 3 2 4 4 3" xfId="14697" xr:uid="{6F27A689-E854-48F6-8E33-4BC197859A0F}"/>
    <cellStyle name="Normal 3 3 2 4 5" xfId="7078" xr:uid="{3C0B6052-78AE-4C03-AF1E-E3FD6ECEE2BB}"/>
    <cellStyle name="Normal 3 3 2 4 5 2" xfId="18108" xr:uid="{86A9CA08-EDF1-4CDD-9D1A-B8CF1AAB76B3}"/>
    <cellStyle name="Normal 3 3 2 4 5 3" xfId="14073" xr:uid="{3CB2B013-70A9-4E6E-9D49-052CA16ECC56}"/>
    <cellStyle name="Normal 3 3 2 4 6" xfId="8517" xr:uid="{A43F56E9-304B-4506-8CF2-6C64C06BF759}"/>
    <cellStyle name="Normal 3 3 2 4 6 2" xfId="18569" xr:uid="{1CA4B903-7E30-44DF-95C7-6B23075C444A}"/>
    <cellStyle name="Normal 3 3 2 4 7" xfId="9983" xr:uid="{869EC76A-A628-446A-AB93-E945F7243544}"/>
    <cellStyle name="Normal 3 3 2 4 8" xfId="10584" xr:uid="{621390A5-7206-4361-8893-9A0B513C31D5}"/>
    <cellStyle name="Normal 3 3 2 4 9" xfId="15967" xr:uid="{C18BBB9D-B7DC-4CCC-A1A8-1A133F57CB64}"/>
    <cellStyle name="Normal 3 3 2 5" xfId="2826" xr:uid="{B8F4BA66-3092-406B-9CE6-24F36E275EAF}"/>
    <cellStyle name="Normal 3 3 2 5 2" xfId="7079" xr:uid="{664B2643-04E4-4653-BF7F-B300E0F41851}"/>
    <cellStyle name="Normal 3 3 2 5 2 2" xfId="9190" xr:uid="{565D4311-88B4-451B-B8FA-6EF0B08D9933}"/>
    <cellStyle name="Normal 3 3 2 5 2 2 2" xfId="19242" xr:uid="{CD4F1F79-BCF5-4AED-AFDB-374295832850}"/>
    <cellStyle name="Normal 3 3 2 5 2 3" xfId="16693" xr:uid="{6BB38FEE-3632-41E3-8F27-5CA2D656A829}"/>
    <cellStyle name="Normal 3 3 2 5 2 4" xfId="14968" xr:uid="{FD17EBFA-369E-40CF-9D27-ADF3B30B5262}"/>
    <cellStyle name="Normal 3 3 2 5 3" xfId="7080" xr:uid="{AEB39BCC-F31B-43EC-9C3C-870173F03D16}"/>
    <cellStyle name="Normal 3 3 2 5 3 2" xfId="17299" xr:uid="{E88D04E5-B01A-42B7-99AD-88BC3D047258}"/>
    <cellStyle name="Normal 3 3 2 5 3 3" xfId="15484" xr:uid="{DE9D8127-F0C9-41AA-9825-35AD846FDC4F}"/>
    <cellStyle name="Normal 3 3 2 5 4" xfId="7081" xr:uid="{DC65A5CA-3456-4682-9919-96067E680675}"/>
    <cellStyle name="Normal 3 3 2 5 4 2" xfId="17913" xr:uid="{88D553D1-CB40-4098-94DF-BF86B47D8649}"/>
    <cellStyle name="Normal 3 3 2 5 4 3" xfId="14430" xr:uid="{AD394243-68FA-4AA7-A827-0DFFB2D9570B}"/>
    <cellStyle name="Normal 3 3 2 5 5" xfId="8742" xr:uid="{ABAEC302-3275-4F1B-9AE2-F93B5AA5B9BD}"/>
    <cellStyle name="Normal 3 3 2 5 5 2" xfId="18794" xr:uid="{F8497A5D-6F9E-4C62-8160-55F26A111021}"/>
    <cellStyle name="Normal 3 3 2 5 6" xfId="9789" xr:uid="{D80D18D3-3D4E-4F99-AC0B-78DCE7675932}"/>
    <cellStyle name="Normal 3 3 2 5 7" xfId="10585" xr:uid="{82A8D218-C437-4671-85E7-A774B053F994}"/>
    <cellStyle name="Normal 3 3 2 5 8" xfId="15363" xr:uid="{1A46AFEA-3024-4B27-A51B-6ED3A32CCA4E}"/>
    <cellStyle name="Normal 3 3 2 6" xfId="7082" xr:uid="{B754A793-4C13-46DB-8AF2-E865E827AB00}"/>
    <cellStyle name="Normal 3 3 2 6 2" xfId="9127" xr:uid="{CB501C48-DACD-4E67-A434-29F4489A2E9F}"/>
    <cellStyle name="Normal 3 3 2 6 2 2" xfId="19179" xr:uid="{12568B1F-5D3D-45E0-BE5E-CCEB2B019092}"/>
    <cellStyle name="Normal 3 3 2 6 3" xfId="16630" xr:uid="{7D9373CB-7D47-41C2-B1E9-835A71BF9886}"/>
    <cellStyle name="Normal 3 3 2 6 4" xfId="14140" xr:uid="{F850B0B4-7506-4174-BFB3-B83270F2EB5F}"/>
    <cellStyle name="Normal 3 3 2 7" xfId="7083" xr:uid="{673CC9D7-AC5F-4F13-9B7B-4C58C4AE99CC}"/>
    <cellStyle name="Normal 3 3 2 7 2" xfId="17152" xr:uid="{549AC332-E390-45F2-862A-A48CB9200EA9}"/>
    <cellStyle name="Normal 3 3 2 7 3" xfId="15555" xr:uid="{B1F348E6-BFEA-4686-8CCA-E13975ECA664}"/>
    <cellStyle name="Normal 3 3 2 8" xfId="7084" xr:uid="{ED799058-5E96-4559-B404-067FF9D506CB}"/>
    <cellStyle name="Normal 3 3 2 8 2" xfId="17762" xr:uid="{21042361-3AE9-4FE8-8235-BBA40E9F4650}"/>
    <cellStyle name="Normal 3 3 2 8 3" xfId="14503" xr:uid="{DE2FC138-F532-4F6E-90CF-98E79EF135B8}"/>
    <cellStyle name="Normal 3 3 2 9" xfId="8314" xr:uid="{5DC548BE-B1E3-4196-9B7F-B8C40E2099A9}"/>
    <cellStyle name="Normal 3 3 2 9 2" xfId="18366" xr:uid="{77BEC1AC-DD56-4972-9D5E-17F40F10B477}"/>
    <cellStyle name="Normal 3 3 20" xfId="11399" xr:uid="{A6668319-3CB3-4F7F-A6DF-9D09ACB76D7D}"/>
    <cellStyle name="Normal 3 3 20 2" xfId="16198" xr:uid="{7E2952C9-3B5A-4270-BFEB-ED42367C8A36}"/>
    <cellStyle name="Normal 3 3 20 3" xfId="20562" xr:uid="{D348C95D-A2D8-4049-9DEC-95CDE56A2668}"/>
    <cellStyle name="Normal 3 3 21" xfId="11087" xr:uid="{9C2D256D-8F30-493F-B823-54140F0A0963}"/>
    <cellStyle name="Normal 3 3 22" xfId="11787" xr:uid="{E439DB32-24E2-4042-BED7-9D43323608CC}"/>
    <cellStyle name="Normal 3 3 23" xfId="11788" xr:uid="{758289F9-7EC8-4CFD-9D45-E7D203F88258}"/>
    <cellStyle name="Normal 3 3 24" xfId="11706" xr:uid="{BE6653A9-DCDE-42C1-95A9-B4A9AF2CBB97}"/>
    <cellStyle name="Normal 3 3 25" xfId="11786" xr:uid="{9A4A0E1C-0D47-48C2-9415-207747F3CB82}"/>
    <cellStyle name="Normal 3 3 3" xfId="2828" xr:uid="{DB138E73-16EA-46FE-9429-D732871A111B}"/>
    <cellStyle name="Normal 3 3 3 10" xfId="9645" xr:uid="{A5FCB748-1B1A-451F-9627-059CE7FA8C68}"/>
    <cellStyle name="Normal 3 3 3 11" xfId="10299" xr:uid="{2FB53A35-0032-4393-8881-3685837A700A}"/>
    <cellStyle name="Normal 3 3 3 12" xfId="12384" xr:uid="{2205EC8F-29C1-40A4-B863-EEE119DF9F67}"/>
    <cellStyle name="Normal 3 3 3 12 2" xfId="15439" xr:uid="{C83C855D-2CA3-4FE3-AE2A-441AA4A7B362}"/>
    <cellStyle name="Normal 3 3 3 12 3" xfId="20679" xr:uid="{58BAB149-21A8-4E88-B569-54CD6B446D60}"/>
    <cellStyle name="Normal 3 3 3 2" xfId="2829" xr:uid="{16EEA165-71B3-4F73-A5DE-FC945D0D4BEE}"/>
    <cellStyle name="Normal 3 3 3 2 10" xfId="10300" xr:uid="{993FDD74-B84B-4A18-8D5B-09700FE868CA}"/>
    <cellStyle name="Normal 3 3 3 2 11" xfId="16134" xr:uid="{85B33985-3A3C-45AA-9E77-C0FFE4C2FEFB}"/>
    <cellStyle name="Normal 3 3 3 2 2" xfId="4514" xr:uid="{ADF951CC-A76D-4C49-B41A-00FCBA4258B2}"/>
    <cellStyle name="Normal 3 3 3 2 2 2" xfId="7085" xr:uid="{48576F73-7168-4BBD-BB93-A64A58D6364E}"/>
    <cellStyle name="Normal 3 3 3 2 2 2 2" xfId="8946" xr:uid="{94FC464B-DBBD-4899-A3BC-621A6D63F23F}"/>
    <cellStyle name="Normal 3 3 3 2 2 2 2 2" xfId="18998" xr:uid="{9F0555C7-B9F4-4823-BB2F-231D9A7CC2B6}"/>
    <cellStyle name="Normal 3 3 3 2 2 2 3" xfId="16451" xr:uid="{9BA18803-5B0A-4F6C-BDE9-9E3D97C89FFE}"/>
    <cellStyle name="Normal 3 3 3 2 2 2 4" xfId="15179" xr:uid="{EBD4E0EB-5F6A-434A-9E38-5E79C92A43F9}"/>
    <cellStyle name="Normal 3 3 3 2 2 3" xfId="7086" xr:uid="{5BF9F866-94E1-4E02-AE2F-054FE6C406DB}"/>
    <cellStyle name="Normal 3 3 3 2 2 3 2" xfId="9394" xr:uid="{7375AB46-E31A-43DE-93B0-C0ADF91B546C}"/>
    <cellStyle name="Normal 3 3 3 2 2 3 2 2" xfId="19446" xr:uid="{59E31307-357B-447C-A7CA-3DC4E32E1B47}"/>
    <cellStyle name="Normal 3 3 3 2 2 3 3" xfId="16897" xr:uid="{ADE3E784-AF0F-4782-AEE1-61DD05A6797C}"/>
    <cellStyle name="Normal 3 3 3 2 2 3 4" xfId="15756" xr:uid="{C9FD39C6-9E00-454A-A592-8C4F7F65782A}"/>
    <cellStyle name="Normal 3 3 3 2 2 4" xfId="7087" xr:uid="{E9EDE5B5-0CE2-4F29-9137-D81CC457C754}"/>
    <cellStyle name="Normal 3 3 3 2 2 4 2" xfId="17498" xr:uid="{78783F9E-6248-4518-9406-D9B426C25915}"/>
    <cellStyle name="Normal 3 3 3 2 2 4 3" xfId="14696" xr:uid="{1EBDB500-97E7-44E0-9915-B35D9A6D1A8E}"/>
    <cellStyle name="Normal 3 3 3 2 2 5" xfId="7088" xr:uid="{F692ADF2-5B56-4D6B-A141-E72691AD6B4E}"/>
    <cellStyle name="Normal 3 3 3 2 2 5 2" xfId="18109" xr:uid="{8041F6F9-FE03-4EA4-9415-1B041A796B39}"/>
    <cellStyle name="Normal 3 3 3 2 2 5 3" xfId="14072" xr:uid="{F8BDA513-BC4C-404F-BFFF-97F92D263840}"/>
    <cellStyle name="Normal 3 3 3 2 2 6" xfId="8518" xr:uid="{0107B242-D5BC-4C1E-A6BA-6C338AC8F088}"/>
    <cellStyle name="Normal 3 3 3 2 2 6 2" xfId="18570" xr:uid="{641A8952-D182-4797-9BAB-7997EA79E861}"/>
    <cellStyle name="Normal 3 3 3 2 2 7" xfId="9984" xr:uid="{BBB40A8C-C3BC-47F4-BE35-61AD88F4DE68}"/>
    <cellStyle name="Normal 3 3 3 2 2 8" xfId="10586" xr:uid="{C714C8CB-DB23-444B-AAE4-78ED57954AEB}"/>
    <cellStyle name="Normal 3 3 3 2 2 9" xfId="15966" xr:uid="{4AA2040E-0895-4ECD-84DE-EE13675FDADE}"/>
    <cellStyle name="Normal 3 3 3 2 3" xfId="4515" xr:uid="{2C3B63AC-676B-49B6-B91D-E7A82A3D9BBA}"/>
    <cellStyle name="Normal 3 3 3 2 3 2" xfId="7089" xr:uid="{428F8010-F5F9-480B-AC13-B7427203B871}"/>
    <cellStyle name="Normal 3 3 3 2 3 2 2" xfId="8947" xr:uid="{AE787A7A-D208-46EF-A742-EFE99DEC9361}"/>
    <cellStyle name="Normal 3 3 3 2 3 2 2 2" xfId="18999" xr:uid="{3506280C-EE97-41E8-809C-BC8C272C375A}"/>
    <cellStyle name="Normal 3 3 3 2 3 2 3" xfId="16452" xr:uid="{C823980A-95A6-4EE9-8F35-EF7D469C6E43}"/>
    <cellStyle name="Normal 3 3 3 2 3 2 4" xfId="15178" xr:uid="{ACFE86F2-AD2F-4C04-AB1D-E9643099C0A5}"/>
    <cellStyle name="Normal 3 3 3 2 3 3" xfId="7090" xr:uid="{EDCB436B-6C07-42F3-96B4-5FFEEA56FB48}"/>
    <cellStyle name="Normal 3 3 3 2 3 3 2" xfId="9395" xr:uid="{AB609BFB-3964-4B23-8541-252791014B2A}"/>
    <cellStyle name="Normal 3 3 3 2 3 3 2 2" xfId="19447" xr:uid="{CB3A570B-9793-4E59-81EC-986E4012EF9B}"/>
    <cellStyle name="Normal 3 3 3 2 3 3 3" xfId="16898" xr:uid="{8305FDCF-4F76-46AF-84D6-6C28B62A7B27}"/>
    <cellStyle name="Normal 3 3 3 2 3 3 4" xfId="15755" xr:uid="{A72F8C45-852A-49DE-81FC-A0D91FC09C79}"/>
    <cellStyle name="Normal 3 3 3 2 3 4" xfId="7091" xr:uid="{9DAD1376-B8A8-4A54-8D5C-544B638FC6D7}"/>
    <cellStyle name="Normal 3 3 3 2 3 4 2" xfId="17499" xr:uid="{CBA10A76-EC2F-49C2-A44F-E65B4ADB7DE0}"/>
    <cellStyle name="Normal 3 3 3 2 3 4 3" xfId="14695" xr:uid="{29F73FA1-5FEC-4DC7-86DE-647FA64601E4}"/>
    <cellStyle name="Normal 3 3 3 2 3 5" xfId="7092" xr:uid="{72030DBF-A704-49A1-9D54-DB4D8ED62489}"/>
    <cellStyle name="Normal 3 3 3 2 3 5 2" xfId="18110" xr:uid="{DCD486F9-3AF2-49E5-8A1E-0512A7D80B7D}"/>
    <cellStyle name="Normal 3 3 3 2 3 5 3" xfId="14341" xr:uid="{C2461E0A-FC19-4C13-8A0E-1CB239F90601}"/>
    <cellStyle name="Normal 3 3 3 2 3 6" xfId="8519" xr:uid="{2151E8B7-84B8-484A-8BB8-5CBA7651BC9F}"/>
    <cellStyle name="Normal 3 3 3 2 3 6 2" xfId="18571" xr:uid="{9D95B56E-3E73-4F13-9C64-F5BCF0053CB6}"/>
    <cellStyle name="Normal 3 3 3 2 3 7" xfId="9985" xr:uid="{97A11F0B-AE04-49DB-908C-9CA8C217C3D9}"/>
    <cellStyle name="Normal 3 3 3 2 3 8" xfId="10587" xr:uid="{DB35532B-45F4-42A8-9530-6BC9303B5D90}"/>
    <cellStyle name="Normal 3 3 3 2 3 9" xfId="15412" xr:uid="{8F8CAB5C-EF0E-4FEA-8DE2-8C3D436AE77B}"/>
    <cellStyle name="Normal 3 3 3 2 4" xfId="7093" xr:uid="{0A690A25-ECE4-42E7-A20D-F4866E183B34}"/>
    <cellStyle name="Normal 3 3 3 2 4 2" xfId="7094" xr:uid="{6AD553AD-E9F6-438D-A42C-D89B83225464}"/>
    <cellStyle name="Normal 3 3 3 2 4 2 2" xfId="17302" xr:uid="{D98A9C43-64A3-431D-844F-D6EE2D60A071}"/>
    <cellStyle name="Normal 3 3 3 2 4 3" xfId="7095" xr:uid="{96A07539-4EE3-4E11-AE81-27AF1338E74F}"/>
    <cellStyle name="Normal 3 3 3 2 4 3 2" xfId="17916" xr:uid="{FDF434A6-375E-427A-8B3A-591676E3DF4C}"/>
    <cellStyle name="Normal 3 3 3 2 4 4" xfId="8745" xr:uid="{EB0260BF-B74B-460D-B5A9-CB275E2E57C7}"/>
    <cellStyle name="Normal 3 3 3 2 4 4 2" xfId="18797" xr:uid="{63E6E177-49E7-4C43-833C-43F42A075F48}"/>
    <cellStyle name="Normal 3 3 3 2 4 5" xfId="9792" xr:uid="{D50D76B8-634D-4BB2-A33C-288244D668CB}"/>
    <cellStyle name="Normal 3 3 3 2 4 6" xfId="10588" xr:uid="{1C35B1F8-929F-46ED-BB45-B7AD437406B5}"/>
    <cellStyle name="Normal 3 3 3 2 4 7" xfId="15360" xr:uid="{BDCCD5EF-18B0-4F9A-8986-B96F8AD2F361}"/>
    <cellStyle name="Normal 3 3 3 2 5" xfId="7096" xr:uid="{1F908EBD-4185-4F4C-B9AC-1BA82B7B2D58}"/>
    <cellStyle name="Normal 3 3 3 2 5 2" xfId="9193" xr:uid="{1A78C971-C179-4454-8E8F-95C345D2851A}"/>
    <cellStyle name="Normal 3 3 3 2 5 2 2" xfId="19245" xr:uid="{93FE6D4F-B6A4-49E9-B6C3-354C1D6C1AFC}"/>
    <cellStyle name="Normal 3 3 3 2 5 3" xfId="16696" xr:uid="{156D0B01-D3A1-4BFF-A920-3D46D7A50D5A}"/>
    <cellStyle name="Normal 3 3 3 2 5 4" xfId="14965" xr:uid="{F283BEB6-AD82-471C-8C4F-D3FFFA1FD09E}"/>
    <cellStyle name="Normal 3 3 3 2 6" xfId="7097" xr:uid="{8ECB29EE-CEDB-4155-839D-0D01472EFCCB}"/>
    <cellStyle name="Normal 3 3 3 2 6 2" xfId="17155" xr:uid="{1FE9B63E-5049-47D6-8883-34C1F9991C9C}"/>
    <cellStyle name="Normal 3 3 3 2 6 3" xfId="15553" xr:uid="{FC269B9E-E97A-4AD4-9E49-079B54C869C6}"/>
    <cellStyle name="Normal 3 3 3 2 7" xfId="7098" xr:uid="{388F8F58-97AE-4595-AFD9-8E42C1EAD5DE}"/>
    <cellStyle name="Normal 3 3 3 2 7 2" xfId="17765" xr:uid="{70EBA066-121E-475E-B7BC-5ACB1CDCDE1D}"/>
    <cellStyle name="Normal 3 3 3 2 7 3" xfId="14500" xr:uid="{BF1D96C8-A76E-452D-9A45-C99DB8C4287B}"/>
    <cellStyle name="Normal 3 3 3 2 8" xfId="8317" xr:uid="{27148B38-D3B0-4D91-A44B-B52E59555857}"/>
    <cellStyle name="Normal 3 3 3 2 8 2" xfId="18369" xr:uid="{00E4FD06-176D-4017-9B66-06F55425A744}"/>
    <cellStyle name="Normal 3 3 3 2 9" xfId="9646" xr:uid="{4E3FFB63-3FE3-4158-A787-93550E2415D2}"/>
    <cellStyle name="Normal 3 3 3 3" xfId="4516" xr:uid="{216D13E3-9E7E-45B1-BC55-79DD21F453F0}"/>
    <cellStyle name="Normal 3 3 3 3 2" xfId="7099" xr:uid="{826C1EC8-9000-4FC6-8958-D84861B2CDAA}"/>
    <cellStyle name="Normal 3 3 3 3 2 2" xfId="8948" xr:uid="{9CD28B4F-F814-4742-886F-189431846216}"/>
    <cellStyle name="Normal 3 3 3 3 2 2 2" xfId="19000" xr:uid="{F05575EA-D062-408A-B52E-B04E7357B59C}"/>
    <cellStyle name="Normal 3 3 3 3 2 3" xfId="16453" xr:uid="{15543128-8B28-4B0E-A6D6-73585C884AE7}"/>
    <cellStyle name="Normal 3 3 3 3 2 4" xfId="15177" xr:uid="{04DB4737-4F99-4BF4-A150-B7FF5FEE6EFE}"/>
    <cellStyle name="Normal 3 3 3 3 3" xfId="7100" xr:uid="{8C358EA0-1F26-4EE0-BFDC-F67A6458203F}"/>
    <cellStyle name="Normal 3 3 3 3 3 2" xfId="9396" xr:uid="{1D52FDAC-98E4-4235-8EC4-90B52C1A0AC7}"/>
    <cellStyle name="Normal 3 3 3 3 3 2 2" xfId="19448" xr:uid="{42C604E6-EFD3-42EF-8E70-7798C0AEE083}"/>
    <cellStyle name="Normal 3 3 3 3 3 3" xfId="16899" xr:uid="{776DDEB9-2826-467B-B8C7-06DEEAC416C0}"/>
    <cellStyle name="Normal 3 3 3 3 3 4" xfId="15470" xr:uid="{CE028FBC-8A00-426A-89C3-696CFD5AFF69}"/>
    <cellStyle name="Normal 3 3 3 3 4" xfId="7101" xr:uid="{B966E53E-EEF5-403A-BAEB-A83F11CF7ABB}"/>
    <cellStyle name="Normal 3 3 3 3 4 2" xfId="17500" xr:uid="{4A1137E3-E51A-40F4-8870-2D0A544C2BF7}"/>
    <cellStyle name="Normal 3 3 3 3 4 3" xfId="14694" xr:uid="{7A26FA42-23B4-479F-8E9E-BDD337FC08C0}"/>
    <cellStyle name="Normal 3 3 3 3 5" xfId="7102" xr:uid="{7284A529-7148-4C32-8002-77C22A23949A}"/>
    <cellStyle name="Normal 3 3 3 3 5 2" xfId="18111" xr:uid="{1F7C1851-A348-4937-B21C-25D77D69B81F}"/>
    <cellStyle name="Normal 3 3 3 3 5 3" xfId="14340" xr:uid="{7B2759EC-B602-4D56-976B-8437F40E3B42}"/>
    <cellStyle name="Normal 3 3 3 3 6" xfId="8520" xr:uid="{BA2E04D7-36D3-411D-9358-26D9C8F48A1A}"/>
    <cellStyle name="Normal 3 3 3 3 6 2" xfId="18572" xr:uid="{1087EA05-081F-4B46-B611-68C4AED633D8}"/>
    <cellStyle name="Normal 3 3 3 3 7" xfId="9986" xr:uid="{062620D6-4AF2-4C40-A0D8-F137B3701B7D}"/>
    <cellStyle name="Normal 3 3 3 3 8" xfId="10589" xr:uid="{163DA15A-44FE-4FE0-B743-F2CD4F7E01FA}"/>
    <cellStyle name="Normal 3 3 3 3 9" xfId="15965" xr:uid="{666E5FD0-B264-49FA-A98C-5FF124B1A85E}"/>
    <cellStyle name="Normal 3 3 3 4" xfId="4517" xr:uid="{D9197466-0DC4-4B85-9F01-91843CE24820}"/>
    <cellStyle name="Normal 3 3 3 4 2" xfId="7103" xr:uid="{4859D768-C136-47BF-B602-6E25EB2B8077}"/>
    <cellStyle name="Normal 3 3 3 4 2 2" xfId="8949" xr:uid="{5F0EBA71-FFFD-4964-A512-C45DB332DFDF}"/>
    <cellStyle name="Normal 3 3 3 4 2 2 2" xfId="19001" xr:uid="{645B8518-4749-46C6-87B9-837798EC960E}"/>
    <cellStyle name="Normal 3 3 3 4 2 3" xfId="16454" xr:uid="{D8B0FE8A-1FD1-4667-A29F-85426345CCFE}"/>
    <cellStyle name="Normal 3 3 3 4 2 4" xfId="15176" xr:uid="{F16B8AFA-EB31-4087-9CC9-1164680ADF60}"/>
    <cellStyle name="Normal 3 3 3 4 3" xfId="7104" xr:uid="{5A41A7DF-A911-4ABF-A657-BCA5B2FA8EF8}"/>
    <cellStyle name="Normal 3 3 3 4 3 2" xfId="9397" xr:uid="{5BF75865-A4C8-4014-A063-4E8163948918}"/>
    <cellStyle name="Normal 3 3 3 4 3 2 2" xfId="19449" xr:uid="{2563CC32-1FCE-44B5-AB0A-90386E52E29B}"/>
    <cellStyle name="Normal 3 3 3 4 3 3" xfId="16900" xr:uid="{93FDD6FB-6BD2-4121-9C95-D28F87A6C0EC}"/>
    <cellStyle name="Normal 3 3 3 4 3 4" xfId="14838" xr:uid="{7AA78544-D116-4ADA-887F-DD06FC2DBE9C}"/>
    <cellStyle name="Normal 3 3 3 4 4" xfId="7105" xr:uid="{A78E7A34-219A-455E-806B-B164377B19F7}"/>
    <cellStyle name="Normal 3 3 3 4 4 2" xfId="17501" xr:uid="{B8D826C3-7CF6-47F2-9E39-221BF0A12AB8}"/>
    <cellStyle name="Normal 3 3 3 4 4 3" xfId="14693" xr:uid="{44718954-9B81-4355-8BDD-68555CEAB19B}"/>
    <cellStyle name="Normal 3 3 3 4 5" xfId="7106" xr:uid="{22951152-B581-4BED-97F7-7288827E3801}"/>
    <cellStyle name="Normal 3 3 3 4 5 2" xfId="18112" xr:uid="{874EB0AC-1489-47DF-937D-10FFFA2F36A7}"/>
    <cellStyle name="Normal 3 3 3 4 5 3" xfId="14339" xr:uid="{B98FE6D1-BB85-45BD-A178-2E034409F13F}"/>
    <cellStyle name="Normal 3 3 3 4 6" xfId="8521" xr:uid="{81326DA0-29C8-4BDA-91CF-96D3F3E2FF10}"/>
    <cellStyle name="Normal 3 3 3 4 6 2" xfId="18573" xr:uid="{BD84E3BA-FC12-49BA-B5A2-1711083168EA}"/>
    <cellStyle name="Normal 3 3 3 4 7" xfId="9987" xr:uid="{2B48BEC5-F419-4022-9094-97AE27F57D10}"/>
    <cellStyle name="Normal 3 3 3 4 8" xfId="10590" xr:uid="{7BB5EDFE-4D4B-4AE6-924C-A5B73034840A}"/>
    <cellStyle name="Normal 3 3 3 4 9" xfId="15964" xr:uid="{7A58F220-ED1C-4212-B2E7-C8A587E6CAD4}"/>
    <cellStyle name="Normal 3 3 3 5" xfId="7107" xr:uid="{814FC14F-5458-479B-A39C-4DB1C35693C4}"/>
    <cellStyle name="Normal 3 3 3 5 2" xfId="7108" xr:uid="{53988DE3-2A3D-42A0-BB5F-30611BFE17B3}"/>
    <cellStyle name="Normal 3 3 3 5 2 2" xfId="17301" xr:uid="{EFD2DEB2-6060-44C9-94F1-9FAA174668EF}"/>
    <cellStyle name="Normal 3 3 3 5 3" xfId="7109" xr:uid="{4CDAEBB6-B533-4FEC-A2F2-9415C204C11F}"/>
    <cellStyle name="Normal 3 3 3 5 3 2" xfId="17915" xr:uid="{13A7ECC5-8F0E-499F-8AE3-EC31AE28BB32}"/>
    <cellStyle name="Normal 3 3 3 5 4" xfId="8744" xr:uid="{AA712741-3937-4F40-954D-6F5617BAD7F6}"/>
    <cellStyle name="Normal 3 3 3 5 4 2" xfId="18796" xr:uid="{1B44B6A6-3324-4829-A17E-D415248B3DA7}"/>
    <cellStyle name="Normal 3 3 3 5 5" xfId="9791" xr:uid="{EE85FE10-7330-4235-8734-88D161C98EEE}"/>
    <cellStyle name="Normal 3 3 3 5 6" xfId="10591" xr:uid="{E31F7B63-A076-4F29-95DB-7F0C1DF3AB01}"/>
    <cellStyle name="Normal 3 3 3 5 7" xfId="15361" xr:uid="{0713484D-056D-48E4-B1CB-2D8665FB8F59}"/>
    <cellStyle name="Normal 3 3 3 6" xfId="7110" xr:uid="{299460B0-CE3E-4B00-9FA1-9F72CDD15370}"/>
    <cellStyle name="Normal 3 3 3 6 2" xfId="9192" xr:uid="{6BB07727-B4A3-4B68-BA20-219ED73BA375}"/>
    <cellStyle name="Normal 3 3 3 6 2 2" xfId="19244" xr:uid="{5BBCF1B8-569A-4A99-A109-5DD6D0BFED93}"/>
    <cellStyle name="Normal 3 3 3 6 3" xfId="16695" xr:uid="{769B95FA-2591-4034-9F29-984D3F70211F}"/>
    <cellStyle name="Normal 3 3 3 6 4" xfId="14966" xr:uid="{D5FB3318-81B6-48EB-A15B-F7D810E5DBDB}"/>
    <cellStyle name="Normal 3 3 3 7" xfId="7111" xr:uid="{10C2A754-AF3B-4663-8CB2-577A3D257332}"/>
    <cellStyle name="Normal 3 3 3 7 2" xfId="17154" xr:uid="{77465A1E-07CA-4123-A36D-8301D02E1EF6}"/>
    <cellStyle name="Normal 3 3 3 7 3" xfId="14808" xr:uid="{7535C120-44A8-49E7-87A8-65AB821AD9AB}"/>
    <cellStyle name="Normal 3 3 3 8" xfId="7112" xr:uid="{6362B927-F363-41F6-A0C4-BB5EB26E0DB2}"/>
    <cellStyle name="Normal 3 3 3 8 2" xfId="17764" xr:uid="{D31843CC-9CEA-405F-971A-1A46818D30DC}"/>
    <cellStyle name="Normal 3 3 3 8 3" xfId="14501" xr:uid="{99594D34-8DE1-49E7-B0EB-08BABC4CBADB}"/>
    <cellStyle name="Normal 3 3 3 9" xfId="8316" xr:uid="{E8562511-4737-40A2-9CD5-17F4C3C491D6}"/>
    <cellStyle name="Normal 3 3 3 9 2" xfId="18368" xr:uid="{3DD69128-09F3-4948-AF6D-DA74B208B379}"/>
    <cellStyle name="Normal 3 3 4" xfId="2830" xr:uid="{1DC57A9B-76ED-40CC-A3AE-820EE8E0D296}"/>
    <cellStyle name="Normal 3 3 4 10" xfId="9647" xr:uid="{A5ED463A-6B81-4E63-B35B-C82727A67B7E}"/>
    <cellStyle name="Normal 3 3 4 11" xfId="10301" xr:uid="{C6C1B193-082A-4A40-806E-67E6E7DE274F}"/>
    <cellStyle name="Normal 3 3 4 12" xfId="11994" xr:uid="{0AA2E0DB-51B8-4002-A172-9CA8E309B609}"/>
    <cellStyle name="Normal 3 3 4 12 2" xfId="16133" xr:uid="{52C2AD1F-4EE6-44DF-BE51-B3D588CB95C7}"/>
    <cellStyle name="Normal 3 3 4 12 3" xfId="20643" xr:uid="{985DE8D4-8004-4327-9930-0A1FE00CD472}"/>
    <cellStyle name="Normal 3 3 4 2" xfId="2831" xr:uid="{CDB32EDA-EF7B-4A16-B95E-803751B393C1}"/>
    <cellStyle name="Normal 3 3 4 2 10" xfId="10302" xr:uid="{C00EEA61-242F-4494-A095-0B5E484884CF}"/>
    <cellStyle name="Normal 3 3 4 2 11" xfId="16132" xr:uid="{1F5CDB43-8FB5-43F7-92B9-13C6855F7BF2}"/>
    <cellStyle name="Normal 3 3 4 2 2" xfId="4518" xr:uid="{F82A3B00-FDCA-4472-B492-D45AC3F3AAD5}"/>
    <cellStyle name="Normal 3 3 4 2 2 2" xfId="7113" xr:uid="{50AF947C-D5ED-42D9-82E1-C0F8DF6BA583}"/>
    <cellStyle name="Normal 3 3 4 2 2 2 2" xfId="8950" xr:uid="{5E9E007D-5867-4A36-A475-F353C812CAB2}"/>
    <cellStyle name="Normal 3 3 4 2 2 2 2 2" xfId="19002" xr:uid="{559C8D74-2E58-4DE0-880E-2178147D350F}"/>
    <cellStyle name="Normal 3 3 4 2 2 2 3" xfId="16455" xr:uid="{23F95D9C-1DD4-413F-A1C6-050809C9AE84}"/>
    <cellStyle name="Normal 3 3 4 2 2 2 4" xfId="15175" xr:uid="{EF5EE1FD-0645-4379-8F98-DDBCFD795997}"/>
    <cellStyle name="Normal 3 3 4 2 2 3" xfId="7114" xr:uid="{A2E59C55-6108-441E-93DF-53C30B274C19}"/>
    <cellStyle name="Normal 3 3 4 2 2 3 2" xfId="9398" xr:uid="{45244A4D-DC63-48FC-802F-9FCED0EDF563}"/>
    <cellStyle name="Normal 3 3 4 2 2 3 2 2" xfId="19450" xr:uid="{AE973DDE-6FB9-4ECF-A201-F4AD983B119A}"/>
    <cellStyle name="Normal 3 3 4 2 2 3 3" xfId="16901" xr:uid="{79DE1AA1-D674-405A-A4D1-E7D7404BE7DC}"/>
    <cellStyle name="Normal 3 3 4 2 2 3 4" xfId="15754" xr:uid="{859872C5-C0D0-49A0-8B5A-4CAA3BD2B370}"/>
    <cellStyle name="Normal 3 3 4 2 2 4" xfId="7115" xr:uid="{91804C0A-2256-43B4-B2E8-F6540061A273}"/>
    <cellStyle name="Normal 3 3 4 2 2 4 2" xfId="17502" xr:uid="{63D462BA-B73E-4945-B8A7-9AA45CADFCDE}"/>
    <cellStyle name="Normal 3 3 4 2 2 4 3" xfId="14692" xr:uid="{6A7F9CC6-6C15-42B1-8207-0F228019669C}"/>
    <cellStyle name="Normal 3 3 4 2 2 5" xfId="7116" xr:uid="{83864791-D712-4DE9-A78A-09F81A9CD02F}"/>
    <cellStyle name="Normal 3 3 4 2 2 5 2" xfId="18113" xr:uid="{28B6E911-A863-4424-A4F3-63E3A765C3B2}"/>
    <cellStyle name="Normal 3 3 4 2 2 5 3" xfId="14338" xr:uid="{16CBBB60-E67A-43CD-A618-8E0A41D9C821}"/>
    <cellStyle name="Normal 3 3 4 2 2 6" xfId="8522" xr:uid="{EB24481D-DA8B-4F7B-9FD0-019C078F38F8}"/>
    <cellStyle name="Normal 3 3 4 2 2 6 2" xfId="18574" xr:uid="{FDFD3EBD-C3D3-49AF-B065-7EB90CB1AF76}"/>
    <cellStyle name="Normal 3 3 4 2 2 7" xfId="9988" xr:uid="{3674420D-199C-49D4-81B1-8B91A3F58C9F}"/>
    <cellStyle name="Normal 3 3 4 2 2 8" xfId="10592" xr:uid="{A7EE419F-78B9-4937-8C9E-0E1D8DC69C9E}"/>
    <cellStyle name="Normal 3 3 4 2 2 9" xfId="15963" xr:uid="{B7F4190F-8B80-44C4-96D0-A17A4F881314}"/>
    <cellStyle name="Normal 3 3 4 2 3" xfId="4519" xr:uid="{53264BD0-1FF3-4D59-8CEC-BE72AF400DAD}"/>
    <cellStyle name="Normal 3 3 4 2 3 2" xfId="7117" xr:uid="{0846289D-CBF7-4C5A-9DF7-789B64F07F61}"/>
    <cellStyle name="Normal 3 3 4 2 3 2 2" xfId="8951" xr:uid="{96D4CEAF-F080-4B24-8887-3656BC9EC1A7}"/>
    <cellStyle name="Normal 3 3 4 2 3 2 2 2" xfId="19003" xr:uid="{4E39E797-C222-49A7-ACB1-3D93335ACA29}"/>
    <cellStyle name="Normal 3 3 4 2 3 2 3" xfId="16456" xr:uid="{994249AC-8C5E-4564-AA54-A02D2BFA9524}"/>
    <cellStyle name="Normal 3 3 4 2 3 2 4" xfId="15174" xr:uid="{8E512727-39C0-4D56-986B-DD06F2BC1F10}"/>
    <cellStyle name="Normal 3 3 4 2 3 3" xfId="7118" xr:uid="{AEBFDD22-FCD7-4AE0-A480-15100B0FCC3D}"/>
    <cellStyle name="Normal 3 3 4 2 3 3 2" xfId="9399" xr:uid="{6DCF1630-AA29-429E-A468-3E26AC69075F}"/>
    <cellStyle name="Normal 3 3 4 2 3 3 2 2" xfId="19451" xr:uid="{50EC0961-E56E-4513-BCB2-AB45458C4A72}"/>
    <cellStyle name="Normal 3 3 4 2 3 3 3" xfId="16902" xr:uid="{BF39B32E-A3C3-4684-9BD5-A622C36C2A4D}"/>
    <cellStyle name="Normal 3 3 4 2 3 3 4" xfId="15753" xr:uid="{1F0AACA8-D7B4-4029-9485-1B75FFEA0749}"/>
    <cellStyle name="Normal 3 3 4 2 3 4" xfId="7119" xr:uid="{85662EE5-CBC9-4918-87AA-50207F57642A}"/>
    <cellStyle name="Normal 3 3 4 2 3 4 2" xfId="17503" xr:uid="{102163F6-533A-4B27-A651-0549B48B9445}"/>
    <cellStyle name="Normal 3 3 4 2 3 4 3" xfId="14691" xr:uid="{5A9F60B8-0416-41DC-8C64-9E95A3B35EE7}"/>
    <cellStyle name="Normal 3 3 4 2 3 5" xfId="7120" xr:uid="{5E57837F-DE4A-4F1E-9EF4-54ABDE612350}"/>
    <cellStyle name="Normal 3 3 4 2 3 5 2" xfId="18114" xr:uid="{A5854B0F-3D6E-4E68-97BD-64C888C88A6B}"/>
    <cellStyle name="Normal 3 3 4 2 3 5 3" xfId="14337" xr:uid="{89963CFA-96D2-48FD-8B36-E0A3782C01D4}"/>
    <cellStyle name="Normal 3 3 4 2 3 6" xfId="8523" xr:uid="{4B2A1676-0869-41D4-BF2A-4D3A15BEB22D}"/>
    <cellStyle name="Normal 3 3 4 2 3 6 2" xfId="18575" xr:uid="{81776EFA-DBF3-4DA8-A480-B22FC96459C9}"/>
    <cellStyle name="Normal 3 3 4 2 3 7" xfId="9989" xr:uid="{F1A5EA4D-B71F-4FEC-BE33-07DE5B50FE89}"/>
    <cellStyle name="Normal 3 3 4 2 3 8" xfId="10593" xr:uid="{A3DD0CB1-2947-4347-AEBC-FF8413085852}"/>
    <cellStyle name="Normal 3 3 4 2 3 9" xfId="15962" xr:uid="{168D2FF7-7A6E-4376-9CED-8AA1703C9B68}"/>
    <cellStyle name="Normal 3 3 4 2 4" xfId="7121" xr:uid="{4305E493-5364-448A-A632-5502BC699060}"/>
    <cellStyle name="Normal 3 3 4 2 4 2" xfId="7122" xr:uid="{E56F9DC4-B882-4952-B7CD-DDECE4BC6AB4}"/>
    <cellStyle name="Normal 3 3 4 2 4 2 2" xfId="17304" xr:uid="{21298804-3390-4677-BAB2-7DDBBBC219EF}"/>
    <cellStyle name="Normal 3 3 4 2 4 3" xfId="7123" xr:uid="{A9E83061-EC78-45EA-985A-1DA650C4F25A}"/>
    <cellStyle name="Normal 3 3 4 2 4 3 2" xfId="17918" xr:uid="{5E91E740-2338-40CB-A825-BC1A75B14A75}"/>
    <cellStyle name="Normal 3 3 4 2 4 4" xfId="8747" xr:uid="{6EFC53C2-63A7-460C-A1C6-DE69C3B26161}"/>
    <cellStyle name="Normal 3 3 4 2 4 4 2" xfId="18799" xr:uid="{1B8B6082-6515-4780-AF3C-46D4F00FE024}"/>
    <cellStyle name="Normal 3 3 4 2 4 5" xfId="9794" xr:uid="{5241EAE6-B714-48DE-92D3-1FD6E4C42C99}"/>
    <cellStyle name="Normal 3 3 4 2 4 6" xfId="10594" xr:uid="{05F0EDDD-88B6-4A13-A7A6-7307946C5693}"/>
    <cellStyle name="Normal 3 3 4 2 4 7" xfId="15358" xr:uid="{850E1593-8837-4537-BAEC-824B04CF0146}"/>
    <cellStyle name="Normal 3 3 4 2 5" xfId="7124" xr:uid="{D39C0BC9-0250-43B7-A3F2-473EF139AC12}"/>
    <cellStyle name="Normal 3 3 4 2 5 2" xfId="9195" xr:uid="{205B32CC-603C-4FBA-ADE3-B50BF1CDB034}"/>
    <cellStyle name="Normal 3 3 4 2 5 2 2" xfId="19247" xr:uid="{1ECAAC97-04E8-409B-AC4E-617BB41E7F44}"/>
    <cellStyle name="Normal 3 3 4 2 5 3" xfId="16698" xr:uid="{3AF27D7B-5150-4FE3-B752-7158FB6E325B}"/>
    <cellStyle name="Normal 3 3 4 2 5 4" xfId="14136" xr:uid="{00515AEA-C259-4538-A724-98A91916398E}"/>
    <cellStyle name="Normal 3 3 4 2 6" xfId="7125" xr:uid="{107FA059-9600-439A-BF78-667C0EF15670}"/>
    <cellStyle name="Normal 3 3 4 2 6 2" xfId="17157" xr:uid="{05AB09E1-4360-45A3-959C-185A138265BC}"/>
    <cellStyle name="Normal 3 3 4 2 6 3" xfId="15551" xr:uid="{8472D411-3DF5-4309-8C03-83AD50A5C821}"/>
    <cellStyle name="Normal 3 3 4 2 7" xfId="7126" xr:uid="{0C31772D-2709-4E8C-87E5-78E0F9D5E5F6}"/>
    <cellStyle name="Normal 3 3 4 2 7 2" xfId="17767" xr:uid="{4A1CBB2A-54E3-495C-BE4C-288C81F32D8C}"/>
    <cellStyle name="Normal 3 3 4 2 7 3" xfId="14498" xr:uid="{9909E1CD-C5B9-42F5-9B11-9319BB0CABC8}"/>
    <cellStyle name="Normal 3 3 4 2 8" xfId="8319" xr:uid="{8332F95A-F58C-4DA8-8A93-26F1B98275F6}"/>
    <cellStyle name="Normal 3 3 4 2 8 2" xfId="18371" xr:uid="{830585ED-15FD-4CDF-89BA-A031555B1B96}"/>
    <cellStyle name="Normal 3 3 4 2 9" xfId="9648" xr:uid="{6F4C5261-4F1F-4F07-8C07-9A613DBE11BB}"/>
    <cellStyle name="Normal 3 3 4 3" xfId="4520" xr:uid="{8DE9113F-C950-4B97-9A34-FDE7606E6DD4}"/>
    <cellStyle name="Normal 3 3 4 3 2" xfId="7127" xr:uid="{6BEB57CE-0CF4-4C37-BFDB-3CC93D016166}"/>
    <cellStyle name="Normal 3 3 4 3 2 2" xfId="8952" xr:uid="{044A029A-1370-4115-B95A-73325403A0B1}"/>
    <cellStyle name="Normal 3 3 4 3 2 2 2" xfId="19004" xr:uid="{C2D894F0-CFD6-439A-B052-3C34D3EC7BDE}"/>
    <cellStyle name="Normal 3 3 4 3 2 3" xfId="16457" xr:uid="{B5A8F94A-C911-4C87-B5D6-05C4BA40ACF9}"/>
    <cellStyle name="Normal 3 3 4 3 2 4" xfId="14153" xr:uid="{9367C537-F769-4891-AAA7-49E1DBDF5183}"/>
    <cellStyle name="Normal 3 3 4 3 3" xfId="7128" xr:uid="{705AA74A-8A76-440F-B3B4-B284F3ED89B9}"/>
    <cellStyle name="Normal 3 3 4 3 3 2" xfId="9400" xr:uid="{EACAF19C-86DA-410C-918C-00B670ECD106}"/>
    <cellStyle name="Normal 3 3 4 3 3 2 2" xfId="19452" xr:uid="{3325F97E-9632-423A-B155-A632EC0B5F12}"/>
    <cellStyle name="Normal 3 3 4 3 3 3" xfId="16903" xr:uid="{A534602B-FF03-4EC0-A05A-1DE3DC13162C}"/>
    <cellStyle name="Normal 3 3 4 3 3 4" xfId="15752" xr:uid="{2B48B78C-ECC1-4D10-88A0-A36F24433B06}"/>
    <cellStyle name="Normal 3 3 4 3 4" xfId="7129" xr:uid="{9CEBCF38-5B10-426E-AA09-E098903C2E8B}"/>
    <cellStyle name="Normal 3 3 4 3 4 2" xfId="17504" xr:uid="{F908C3C9-853E-4573-99C6-6330E2742AC1}"/>
    <cellStyle name="Normal 3 3 4 3 4 3" xfId="14023" xr:uid="{9E212445-EA34-4C32-9325-78283A51BE73}"/>
    <cellStyle name="Normal 3 3 4 3 5" xfId="7130" xr:uid="{4FFE1780-16C5-4A6C-8661-57198211A479}"/>
    <cellStyle name="Normal 3 3 4 3 5 2" xfId="18115" xr:uid="{F24DDF86-E06A-40C8-855D-9EE24462B23A}"/>
    <cellStyle name="Normal 3 3 4 3 5 3" xfId="14336" xr:uid="{9F8D589E-6CFE-4950-866E-356AAEC0D6DD}"/>
    <cellStyle name="Normal 3 3 4 3 6" xfId="8524" xr:uid="{5A9B242B-95E4-4C47-9053-217EB9FA911E}"/>
    <cellStyle name="Normal 3 3 4 3 6 2" xfId="18576" xr:uid="{F3B86A23-75B6-45E8-90F0-80CFF9854D42}"/>
    <cellStyle name="Normal 3 3 4 3 7" xfId="9990" xr:uid="{80CA5E87-2BDF-4499-9285-71F7C8B28DD4}"/>
    <cellStyle name="Normal 3 3 4 3 8" xfId="10595" xr:uid="{15C9EA5B-B68E-4A19-BD68-4376E2118989}"/>
    <cellStyle name="Normal 3 3 4 3 9" xfId="15961" xr:uid="{EF15B519-F202-4E65-81F5-70A444F396B4}"/>
    <cellStyle name="Normal 3 3 4 4" xfId="4521" xr:uid="{915DA856-D3DC-480A-AB70-D36A152756AA}"/>
    <cellStyle name="Normal 3 3 4 4 2" xfId="7131" xr:uid="{5DEA2826-0129-43DA-A139-A2259B99D352}"/>
    <cellStyle name="Normal 3 3 4 4 2 2" xfId="8953" xr:uid="{6B7A50C2-E392-4CA4-9381-7CC654927CA9}"/>
    <cellStyle name="Normal 3 3 4 4 2 2 2" xfId="19005" xr:uid="{9BBDC255-1414-49D5-A3EE-6D3BD5AB66F7}"/>
    <cellStyle name="Normal 3 3 4 4 2 3" xfId="16458" xr:uid="{38AA92A3-892F-4EB1-8592-07E69F15210D}"/>
    <cellStyle name="Normal 3 3 4 4 2 4" xfId="15173" xr:uid="{E184200D-E2E6-4975-8837-957E8E994C23}"/>
    <cellStyle name="Normal 3 3 4 4 3" xfId="7132" xr:uid="{D49D3070-8E4A-45BC-8AB1-5EC05ABA5D10}"/>
    <cellStyle name="Normal 3 3 4 4 3 2" xfId="9401" xr:uid="{97444875-94B1-49FF-BEAE-138A23BF3505}"/>
    <cellStyle name="Normal 3 3 4 4 3 2 2" xfId="19453" xr:uid="{C814586E-0F35-484A-B025-082D1EFAD7C5}"/>
    <cellStyle name="Normal 3 3 4 4 3 3" xfId="16904" xr:uid="{D91E4F31-5F79-4782-8F83-C19FE26195BA}"/>
    <cellStyle name="Normal 3 3 4 4 3 4" xfId="15751" xr:uid="{CF1EFC88-45D0-4967-929A-AD710D1480C4}"/>
    <cellStyle name="Normal 3 3 4 4 4" xfId="7133" xr:uid="{D643738F-1382-44BE-A35F-FF57C226B37F}"/>
    <cellStyle name="Normal 3 3 4 4 4 2" xfId="17505" xr:uid="{39DF4163-5305-4640-994A-661310B00164}"/>
    <cellStyle name="Normal 3 3 4 4 4 3" xfId="14690" xr:uid="{A8529FB5-E284-482C-9573-AB9A89B51D42}"/>
    <cellStyle name="Normal 3 3 4 4 5" xfId="7134" xr:uid="{1B876F58-BA81-4B98-BED1-4680931845AA}"/>
    <cellStyle name="Normal 3 3 4 4 5 2" xfId="18116" xr:uid="{95978B28-5B77-4710-B078-AD62F6CFEC0B}"/>
    <cellStyle name="Normal 3 3 4 4 5 3" xfId="14335" xr:uid="{D5E984F7-AEC4-48C9-AC02-0D91A9BCAC09}"/>
    <cellStyle name="Normal 3 3 4 4 6" xfId="8525" xr:uid="{7D689BBD-EA22-4FA0-87F2-9B1C5070E5FD}"/>
    <cellStyle name="Normal 3 3 4 4 6 2" xfId="18577" xr:uid="{5AD9BBF8-5D17-416A-BCE5-40F0AF1086FD}"/>
    <cellStyle name="Normal 3 3 4 4 7" xfId="9991" xr:uid="{5A947B1C-68C9-4381-923F-91B4A6B595B9}"/>
    <cellStyle name="Normal 3 3 4 4 8" xfId="10596" xr:uid="{3D7B72BE-A32A-461F-9DFA-CFB0F5EF5687}"/>
    <cellStyle name="Normal 3 3 4 4 9" xfId="15960" xr:uid="{1BFE5DBB-67BA-4E2A-8AC5-ABF76C46BFE0}"/>
    <cellStyle name="Normal 3 3 4 5" xfId="7135" xr:uid="{86E03FA2-2446-45C9-8988-2D50BDA6D2B9}"/>
    <cellStyle name="Normal 3 3 4 5 2" xfId="7136" xr:uid="{31BC78DD-3009-42EB-A378-C39ED969389D}"/>
    <cellStyle name="Normal 3 3 4 5 2 2" xfId="17303" xr:uid="{64B20601-A9C8-45FE-BE19-5E18132BE758}"/>
    <cellStyle name="Normal 3 3 4 5 3" xfId="7137" xr:uid="{20268AAD-366B-42F2-B029-59AD102C2543}"/>
    <cellStyle name="Normal 3 3 4 5 3 2" xfId="17917" xr:uid="{129F7B82-A4E8-425A-84DB-DF21A9AC9EEB}"/>
    <cellStyle name="Normal 3 3 4 5 4" xfId="8746" xr:uid="{E3C88830-9DCF-4D88-9C1A-7A37F7D2EB61}"/>
    <cellStyle name="Normal 3 3 4 5 4 2" xfId="18798" xr:uid="{F4FD5D7D-3D54-4625-A9F1-8C25876799F5}"/>
    <cellStyle name="Normal 3 3 4 5 5" xfId="9793" xr:uid="{379A7619-9DD2-49E7-A236-8D5FE94BDACD}"/>
    <cellStyle name="Normal 3 3 4 5 6" xfId="10597" xr:uid="{BF79CFC4-0B94-48CD-9171-2F90F0FAD295}"/>
    <cellStyle name="Normal 3 3 4 5 7" xfId="15359" xr:uid="{20B31CD0-4346-472B-938C-C0507026A080}"/>
    <cellStyle name="Normal 3 3 4 6" xfId="7138" xr:uid="{FDABFBD0-E8B9-4ED5-ACAE-EABCAC29E778}"/>
    <cellStyle name="Normal 3 3 4 6 2" xfId="9194" xr:uid="{31FE7637-8E8A-4AD2-94FC-9475756CE7E5}"/>
    <cellStyle name="Normal 3 3 4 6 2 2" xfId="19246" xr:uid="{A3CA9F33-4896-4021-9548-A05D92D1BC00}"/>
    <cellStyle name="Normal 3 3 4 6 3" xfId="16697" xr:uid="{A49057EB-BDDD-4FD3-8396-61EC9B2F8353}"/>
    <cellStyle name="Normal 3 3 4 6 4" xfId="14964" xr:uid="{082F3A4E-035A-4091-8C5F-CDBCA846D5DA}"/>
    <cellStyle name="Normal 3 3 4 7" xfId="7139" xr:uid="{D6B19339-9A70-48EF-9692-F55876AD9AA0}"/>
    <cellStyle name="Normal 3 3 4 7 2" xfId="17156" xr:uid="{161608A1-9E58-4438-AD3D-87B1C4496A56}"/>
    <cellStyle name="Normal 3 3 4 7 3" xfId="15552" xr:uid="{7342291B-B03C-40FF-9FCD-A7092FC25C32}"/>
    <cellStyle name="Normal 3 3 4 8" xfId="7140" xr:uid="{BFE5A8BF-3DE8-422E-B9D6-945599754CF2}"/>
    <cellStyle name="Normal 3 3 4 8 2" xfId="17766" xr:uid="{2EFF140A-5107-4328-82AD-CBAFEADEFE0E}"/>
    <cellStyle name="Normal 3 3 4 8 3" xfId="14499" xr:uid="{6001DB03-069D-4A04-ABA8-47E52E9D2DE7}"/>
    <cellStyle name="Normal 3 3 4 9" xfId="8318" xr:uid="{7B10C490-9E79-4099-BA36-7710511048FB}"/>
    <cellStyle name="Normal 3 3 4 9 2" xfId="18370" xr:uid="{D0853D0A-AF39-41E8-BC49-59E1AF0FC06F}"/>
    <cellStyle name="Normal 3 3 5" xfId="2832" xr:uid="{11CE5079-435A-4598-8AFE-EE8E28C4D9CD}"/>
    <cellStyle name="Normal 3 3 5 10" xfId="9649" xr:uid="{72F8A7BC-5C80-4D3A-AA7F-6097804DA3D5}"/>
    <cellStyle name="Normal 3 3 5 11" xfId="10303" xr:uid="{18905734-0706-419A-9C91-D8755417CF41}"/>
    <cellStyle name="Normal 3 3 5 12" xfId="11360" xr:uid="{A4DBA7FF-4F57-4375-ABB3-FC83D2B8E758}"/>
    <cellStyle name="Normal 3 3 5 12 2" xfId="16131" xr:uid="{567018AB-9265-4D47-A25D-BE2137F2D3B4}"/>
    <cellStyle name="Normal 3 3 5 12 3" xfId="20551" xr:uid="{132CDA49-9D40-45CA-8CAD-BE718FCDD3A2}"/>
    <cellStyle name="Normal 3 3 5 2" xfId="2833" xr:uid="{FDA44F6D-8D5A-4E43-9581-2F9918F12EBF}"/>
    <cellStyle name="Normal 3 3 5 2 10" xfId="10304" xr:uid="{0CD091A7-C99D-4944-9991-C0C46912EA22}"/>
    <cellStyle name="Normal 3 3 5 2 11" xfId="16130" xr:uid="{DC717810-A64D-4F06-97EE-E1E716579AD2}"/>
    <cellStyle name="Normal 3 3 5 2 2" xfId="4522" xr:uid="{46883D91-B26B-46CA-B0BB-9C43D8569B13}"/>
    <cellStyle name="Normal 3 3 5 2 2 2" xfId="7141" xr:uid="{B263082B-5D4B-4C36-AA5C-433EDFBB60FE}"/>
    <cellStyle name="Normal 3 3 5 2 2 2 2" xfId="8954" xr:uid="{8A9D2CA0-D1B6-4F29-BA5B-0A9B1F99EFC5}"/>
    <cellStyle name="Normal 3 3 5 2 2 2 2 2" xfId="19006" xr:uid="{B5412A51-C731-49F8-82E0-6B01203C1C6F}"/>
    <cellStyle name="Normal 3 3 5 2 2 2 3" xfId="16459" xr:uid="{E42DE6BB-D7D9-4B7B-ABFB-4894980012A5}"/>
    <cellStyle name="Normal 3 3 5 2 2 2 4" xfId="15172" xr:uid="{709EE7C5-2786-4D82-A383-FFA36680D0ED}"/>
    <cellStyle name="Normal 3 3 5 2 2 3" xfId="7142" xr:uid="{248C0419-3690-4A91-BE39-ED5F7B08F921}"/>
    <cellStyle name="Normal 3 3 5 2 2 3 2" xfId="9402" xr:uid="{DBAA43F5-DA78-48E9-A821-886E82FAEC91}"/>
    <cellStyle name="Normal 3 3 5 2 2 3 2 2" xfId="19454" xr:uid="{121F790E-9D70-4D6C-A100-2C78A79EB064}"/>
    <cellStyle name="Normal 3 3 5 2 2 3 3" xfId="16905" xr:uid="{446B8A77-5BC0-4EA5-8EC2-1E3A28186B77}"/>
    <cellStyle name="Normal 3 3 5 2 2 3 4" xfId="15750" xr:uid="{CCD52C0D-34D9-4E45-A0F6-496B00708838}"/>
    <cellStyle name="Normal 3 3 5 2 2 4" xfId="7143" xr:uid="{117A8B8C-6D26-4A1C-BCD7-F5223D21482B}"/>
    <cellStyle name="Normal 3 3 5 2 2 4 2" xfId="17506" xr:uid="{39358C2C-9FB5-4D32-903C-558929BF5EE3}"/>
    <cellStyle name="Normal 3 3 5 2 2 4 3" xfId="14689" xr:uid="{2E256450-854E-4561-9AD4-EC7AB4AB48B3}"/>
    <cellStyle name="Normal 3 3 5 2 2 5" xfId="7144" xr:uid="{B8A8524D-6535-49DA-881C-A56A24F963DB}"/>
    <cellStyle name="Normal 3 3 5 2 2 5 2" xfId="18117" xr:uid="{5AA4B588-AED0-4C06-B4D2-C251BD4989A0}"/>
    <cellStyle name="Normal 3 3 5 2 2 5 3" xfId="14334" xr:uid="{0A87DA2B-3C7F-421A-9696-5A9C3311775A}"/>
    <cellStyle name="Normal 3 3 5 2 2 6" xfId="8526" xr:uid="{F66CF9A7-94DF-434D-872A-5D0F816091DE}"/>
    <cellStyle name="Normal 3 3 5 2 2 6 2" xfId="18578" xr:uid="{97A42572-8B1B-44D0-8803-1596C1DAC265}"/>
    <cellStyle name="Normal 3 3 5 2 2 7" xfId="9992" xr:uid="{FAFCB514-9C0A-4ACF-A670-BCAD09B1481A}"/>
    <cellStyle name="Normal 3 3 5 2 2 8" xfId="10598" xr:uid="{06674F51-6EBA-4336-883A-87A0AD386CDF}"/>
    <cellStyle name="Normal 3 3 5 2 2 9" xfId="15411" xr:uid="{2FC2F363-C5EB-4955-88C7-526FFF66E89A}"/>
    <cellStyle name="Normal 3 3 5 2 3" xfId="4523" xr:uid="{62D7B171-6E6B-401A-98B2-A8BC408EDCE2}"/>
    <cellStyle name="Normal 3 3 5 2 3 2" xfId="7145" xr:uid="{603A07B2-2797-47CF-8538-800FA0798234}"/>
    <cellStyle name="Normal 3 3 5 2 3 2 2" xfId="8955" xr:uid="{42566A1B-1443-46BF-B356-3DD6BAF77D39}"/>
    <cellStyle name="Normal 3 3 5 2 3 2 2 2" xfId="19007" xr:uid="{01D7C6AB-D91C-44C0-B2ED-F6696F1CA6AC}"/>
    <cellStyle name="Normal 3 3 5 2 3 2 3" xfId="16460" xr:uid="{B30CE486-4E77-42CE-9864-C4A4967B0859}"/>
    <cellStyle name="Normal 3 3 5 2 3 2 4" xfId="15171" xr:uid="{4E59F6CF-1CB9-413B-B47C-73A4079F0219}"/>
    <cellStyle name="Normal 3 3 5 2 3 3" xfId="7146" xr:uid="{A965A3A1-539B-4DB8-AF51-88E2BC424A49}"/>
    <cellStyle name="Normal 3 3 5 2 3 3 2" xfId="9403" xr:uid="{F8E805AB-0D6E-4B8A-9429-B563F8B6C1DA}"/>
    <cellStyle name="Normal 3 3 5 2 3 3 2 2" xfId="19455" xr:uid="{8F7D161A-5126-4F1F-A4F0-15F71F1EF6A4}"/>
    <cellStyle name="Normal 3 3 5 2 3 3 3" xfId="16906" xr:uid="{93F6C89E-2696-43E5-B449-BC56485C5E04}"/>
    <cellStyle name="Normal 3 3 5 2 3 3 4" xfId="15749" xr:uid="{E0B150A3-8CEA-448E-99F3-8171FD889873}"/>
    <cellStyle name="Normal 3 3 5 2 3 4" xfId="7147" xr:uid="{E80CAC7C-DF7E-46CD-96E1-7AD7F3A2C267}"/>
    <cellStyle name="Normal 3 3 5 2 3 4 2" xfId="17507" xr:uid="{0B305D88-E48B-4D70-BBD3-FA00D0CAE0E2}"/>
    <cellStyle name="Normal 3 3 5 2 3 4 3" xfId="14688" xr:uid="{34B103B5-04DE-43A0-ABA2-BE825CF29191}"/>
    <cellStyle name="Normal 3 3 5 2 3 5" xfId="7148" xr:uid="{714C9672-F383-469E-9271-FCE426649973}"/>
    <cellStyle name="Normal 3 3 5 2 3 5 2" xfId="18118" xr:uid="{DA732A5D-AFEB-4299-A7A4-0AFD52F49558}"/>
    <cellStyle name="Normal 3 3 5 2 3 5 3" xfId="14333" xr:uid="{801C67D0-D44C-4AD0-8CAF-9BFC0F10A8C3}"/>
    <cellStyle name="Normal 3 3 5 2 3 6" xfId="8527" xr:uid="{55CFFABD-AC74-420B-92B6-7DE336F1C252}"/>
    <cellStyle name="Normal 3 3 5 2 3 6 2" xfId="18579" xr:uid="{B80BA316-E3E6-4543-88CD-E7026463F39B}"/>
    <cellStyle name="Normal 3 3 5 2 3 7" xfId="9993" xr:uid="{DFEC094A-6464-4B10-9FC1-9E091F2C3B18}"/>
    <cellStyle name="Normal 3 3 5 2 3 8" xfId="10599" xr:uid="{0FCF46F2-58B3-48C2-BC3F-B24533B8A3E1}"/>
    <cellStyle name="Normal 3 3 5 2 3 9" xfId="15959" xr:uid="{9C78C8B9-C7DA-4C48-BC57-F12294CF5E52}"/>
    <cellStyle name="Normal 3 3 5 2 4" xfId="7149" xr:uid="{11082DEC-D710-46B3-A962-2B34BFAF78FE}"/>
    <cellStyle name="Normal 3 3 5 2 4 2" xfId="7150" xr:uid="{DE4EFEDE-F6B8-49E9-8A5C-82D3EECD1C1B}"/>
    <cellStyle name="Normal 3 3 5 2 4 2 2" xfId="17306" xr:uid="{05DBC1E8-C6D4-4C61-9B48-BD9E23B87531}"/>
    <cellStyle name="Normal 3 3 5 2 4 3" xfId="7151" xr:uid="{3C1290B2-C9FD-4E81-A88D-646EDAB72378}"/>
    <cellStyle name="Normal 3 3 5 2 4 3 2" xfId="17920" xr:uid="{C0C2FE59-07F8-45F0-A666-46DF70EC6A3B}"/>
    <cellStyle name="Normal 3 3 5 2 4 4" xfId="8749" xr:uid="{052341F4-4F66-4D12-8902-F9C51D1B7726}"/>
    <cellStyle name="Normal 3 3 5 2 4 4 2" xfId="18801" xr:uid="{E39D55AF-9404-49D2-BFCC-7C75E268B0AF}"/>
    <cellStyle name="Normal 3 3 5 2 4 5" xfId="9796" xr:uid="{CC857036-4F03-4719-8ED3-B37D97AF1255}"/>
    <cellStyle name="Normal 3 3 5 2 4 6" xfId="10600" xr:uid="{D9C6B538-965C-45AA-9BC1-E6F5A5B0B516}"/>
    <cellStyle name="Normal 3 3 5 2 4 7" xfId="15356" xr:uid="{33AC0BFA-9FF2-414B-810E-06292867C8B0}"/>
    <cellStyle name="Normal 3 3 5 2 5" xfId="7152" xr:uid="{562C8C31-F3DF-4F86-95E0-604AE993047F}"/>
    <cellStyle name="Normal 3 3 5 2 5 2" xfId="9197" xr:uid="{0D865821-3A10-4346-8E92-C8296B6C4E16}"/>
    <cellStyle name="Normal 3 3 5 2 5 2 2" xfId="19249" xr:uid="{51DB03D8-36DA-413C-99D9-75A8064179DF}"/>
    <cellStyle name="Normal 3 3 5 2 5 3" xfId="16700" xr:uid="{C84B7B27-37DB-4EC1-8A58-1A49A371EFD4}"/>
    <cellStyle name="Normal 3 3 5 2 5 4" xfId="14962" xr:uid="{40CED83B-9346-4B6E-8C4F-520917B0ACF2}"/>
    <cellStyle name="Normal 3 3 5 2 6" xfId="7153" xr:uid="{B9F6EF95-333D-4F35-9571-D92F4AC7AA46}"/>
    <cellStyle name="Normal 3 3 5 2 6 2" xfId="17159" xr:uid="{88ECB5BD-2108-4809-82CC-BC8B8A955671}"/>
    <cellStyle name="Normal 3 3 5 2 6 3" xfId="15549" xr:uid="{4B0F810D-D399-472C-BF5F-0ECEB0FD886C}"/>
    <cellStyle name="Normal 3 3 5 2 7" xfId="7154" xr:uid="{031090B7-644D-4792-8CD2-92CC6296E88C}"/>
    <cellStyle name="Normal 3 3 5 2 7 2" xfId="17769" xr:uid="{D43820A9-39B5-4386-AF4B-9CF85C1FCD7B}"/>
    <cellStyle name="Normal 3 3 5 2 7 3" xfId="14497" xr:uid="{267C3414-6F57-485D-B85C-F8A35990F347}"/>
    <cellStyle name="Normal 3 3 5 2 8" xfId="8321" xr:uid="{275175C5-B128-4E7C-9E01-1869D1606D6B}"/>
    <cellStyle name="Normal 3 3 5 2 8 2" xfId="18373" xr:uid="{3A2B4102-08D8-439E-9936-3AAD6B90B1ED}"/>
    <cellStyle name="Normal 3 3 5 2 9" xfId="9650" xr:uid="{EEC1350B-2827-4211-B14D-F79DBF8ED593}"/>
    <cellStyle name="Normal 3 3 5 3" xfId="4524" xr:uid="{ABCBDEBB-A2E9-4787-A564-29558339D7E7}"/>
    <cellStyle name="Normal 3 3 5 3 2" xfId="7155" xr:uid="{4670C6E2-6A47-48CA-8DF9-B2A63CDDACD4}"/>
    <cellStyle name="Normal 3 3 5 3 2 2" xfId="8956" xr:uid="{352C7E52-BC33-4175-AC0E-DD0A6429506F}"/>
    <cellStyle name="Normal 3 3 5 3 2 2 2" xfId="19008" xr:uid="{08DF3ACC-71DA-4B07-B12D-19B978809D47}"/>
    <cellStyle name="Normal 3 3 5 3 2 3" xfId="16461" xr:uid="{D512C1E3-FDF9-4B9E-9F94-95214858C1A2}"/>
    <cellStyle name="Normal 3 3 5 3 2 4" xfId="15170" xr:uid="{BB9F081B-58D9-4D53-A328-4E0969B56E9B}"/>
    <cellStyle name="Normal 3 3 5 3 3" xfId="7156" xr:uid="{622B135C-D794-4411-AE68-E89C3E56AA3A}"/>
    <cellStyle name="Normal 3 3 5 3 3 2" xfId="9404" xr:uid="{BD132FAC-9AFC-44FD-8AB9-BCD36847307B}"/>
    <cellStyle name="Normal 3 3 5 3 3 2 2" xfId="19456" xr:uid="{B174A415-2966-4677-9B12-48690FD0A7E4}"/>
    <cellStyle name="Normal 3 3 5 3 3 3" xfId="16907" xr:uid="{E5EA4AE2-53A8-46B5-BD24-E008E70112AF}"/>
    <cellStyle name="Normal 3 3 5 3 3 4" xfId="14837" xr:uid="{E43C56B3-5A26-494F-B407-5CFD0B8B3E6C}"/>
    <cellStyle name="Normal 3 3 5 3 4" xfId="7157" xr:uid="{99B3C1A1-1569-4714-B95A-64463C8EBA2A}"/>
    <cellStyle name="Normal 3 3 5 3 4 2" xfId="17508" xr:uid="{155621EA-87DA-49D1-97F6-A87E1E380C65}"/>
    <cellStyle name="Normal 3 3 5 3 4 3" xfId="14687" xr:uid="{CB7AA9F4-8B99-41FF-8DB1-CDEE11F6DF94}"/>
    <cellStyle name="Normal 3 3 5 3 5" xfId="7158" xr:uid="{BCE9E5AC-9747-4681-B52F-06B4BAA3EFAF}"/>
    <cellStyle name="Normal 3 3 5 3 5 2" xfId="18119" xr:uid="{A53155E0-ACC3-4BF3-B9E6-223D42DAFD41}"/>
    <cellStyle name="Normal 3 3 5 3 5 3" xfId="14332" xr:uid="{0C7AB645-FB54-4E2C-BE30-CD2928682027}"/>
    <cellStyle name="Normal 3 3 5 3 6" xfId="8528" xr:uid="{34AD2C37-44BD-48D7-AFC4-F0F9526CF3E8}"/>
    <cellStyle name="Normal 3 3 5 3 6 2" xfId="18580" xr:uid="{4B5B4F4B-4934-43E0-958B-4F25E8F96172}"/>
    <cellStyle name="Normal 3 3 5 3 7" xfId="9994" xr:uid="{DD0AE3FA-1F9C-4884-9AE0-76A5DB9BE6C4}"/>
    <cellStyle name="Normal 3 3 5 3 8" xfId="10601" xr:uid="{BC3E8843-D5B1-427D-A09F-F7D8AECC574A}"/>
    <cellStyle name="Normal 3 3 5 3 9" xfId="15958" xr:uid="{0FBFE093-FF19-4783-A988-4AAED8EB5EF8}"/>
    <cellStyle name="Normal 3 3 5 4" xfId="4525" xr:uid="{8E49DD28-9440-4F72-BC01-A2AE6911738B}"/>
    <cellStyle name="Normal 3 3 5 4 2" xfId="7159" xr:uid="{F79917DF-8A86-49C0-843F-51DD07E0210E}"/>
    <cellStyle name="Normal 3 3 5 4 2 2" xfId="8957" xr:uid="{E68C4AF6-00A7-48C2-9BBD-666B5E79B391}"/>
    <cellStyle name="Normal 3 3 5 4 2 2 2" xfId="19009" xr:uid="{ADA19FB9-1E7A-4BC8-A09B-85260DA8C141}"/>
    <cellStyle name="Normal 3 3 5 4 2 3" xfId="16462" xr:uid="{440C2D28-EF6D-4572-9A35-EA485B7CBF1B}"/>
    <cellStyle name="Normal 3 3 5 4 2 4" xfId="15169" xr:uid="{936ED026-ABAA-43EA-8ABD-155FC7B2FB6A}"/>
    <cellStyle name="Normal 3 3 5 4 3" xfId="7160" xr:uid="{E1C36780-D436-41E2-A3D6-F3D3B905DB16}"/>
    <cellStyle name="Normal 3 3 5 4 3 2" xfId="9405" xr:uid="{6168C27B-75B0-4AF6-94D7-298A5FD0C3C1}"/>
    <cellStyle name="Normal 3 3 5 4 3 2 2" xfId="19457" xr:uid="{59040363-3DFA-4DEA-B61F-EBE6E7BFFE09}"/>
    <cellStyle name="Normal 3 3 5 4 3 3" xfId="16908" xr:uid="{274415A8-D88A-400C-B0E0-5DAD22643BE2}"/>
    <cellStyle name="Normal 3 3 5 4 3 4" xfId="15748" xr:uid="{2A6EC032-B2B5-4847-85F2-DB9B178DCF0E}"/>
    <cellStyle name="Normal 3 3 5 4 4" xfId="7161" xr:uid="{79A2549E-BC20-4FDF-8E74-12BF1667EFFA}"/>
    <cellStyle name="Normal 3 3 5 4 4 2" xfId="17509" xr:uid="{B9AA55C5-75D9-47AA-8879-B254627B14FF}"/>
    <cellStyle name="Normal 3 3 5 4 4 3" xfId="14686" xr:uid="{F64AD12E-EEFE-4BED-939D-A2A4A11F6CF9}"/>
    <cellStyle name="Normal 3 3 5 4 5" xfId="7162" xr:uid="{BE75742F-5680-44F3-80EE-8E4854BB1E5D}"/>
    <cellStyle name="Normal 3 3 5 4 5 2" xfId="18120" xr:uid="{54011CDA-A56D-49DE-B5E4-FB17C5166935}"/>
    <cellStyle name="Normal 3 3 5 4 5 3" xfId="14071" xr:uid="{8194E52D-4EC9-45E1-B644-6DAC8FA39579}"/>
    <cellStyle name="Normal 3 3 5 4 6" xfId="8529" xr:uid="{AF2EDCF2-3ADF-402E-888A-35AC52CF9443}"/>
    <cellStyle name="Normal 3 3 5 4 6 2" xfId="18581" xr:uid="{D414262D-44C2-4769-9A26-C3132432ADB3}"/>
    <cellStyle name="Normal 3 3 5 4 7" xfId="9995" xr:uid="{2D52D376-60A2-4F24-A303-FE4C5729D28D}"/>
    <cellStyle name="Normal 3 3 5 4 8" xfId="10602" xr:uid="{488B9D0D-51BA-41A1-84B6-452B34048178}"/>
    <cellStyle name="Normal 3 3 5 4 9" xfId="15957" xr:uid="{38A0E80F-BD97-4313-810C-396A91A9875F}"/>
    <cellStyle name="Normal 3 3 5 5" xfId="7163" xr:uid="{ADA4FF4D-9AB2-4493-A820-21DE7D3DAFF7}"/>
    <cellStyle name="Normal 3 3 5 5 2" xfId="7164" xr:uid="{A482883D-3630-45A6-AE75-0F5212ED4FD5}"/>
    <cellStyle name="Normal 3 3 5 5 2 2" xfId="17305" xr:uid="{102B4AB7-9BAD-415C-AD6E-6EF59D19E5D2}"/>
    <cellStyle name="Normal 3 3 5 5 3" xfId="7165" xr:uid="{5F125F28-36AA-4A3C-9CF7-95033D7F656F}"/>
    <cellStyle name="Normal 3 3 5 5 3 2" xfId="17919" xr:uid="{9DA1FCCD-59BE-49E1-8DF2-BD1114C4ABA8}"/>
    <cellStyle name="Normal 3 3 5 5 4" xfId="8748" xr:uid="{A536CE97-9A68-41A9-A961-3AEE4DCA2C57}"/>
    <cellStyle name="Normal 3 3 5 5 4 2" xfId="18800" xr:uid="{31313B25-0272-465D-B83C-753C4EC2ED68}"/>
    <cellStyle name="Normal 3 3 5 5 5" xfId="9795" xr:uid="{75106208-2E59-48BF-9F56-18CA608F0E59}"/>
    <cellStyle name="Normal 3 3 5 5 6" xfId="10603" xr:uid="{007C8AA9-706F-429E-ABBF-7D0DCBBB6282}"/>
    <cellStyle name="Normal 3 3 5 5 7" xfId="15357" xr:uid="{F9B86864-4DE1-43AA-B2FC-625A29AF8368}"/>
    <cellStyle name="Normal 3 3 5 6" xfId="7166" xr:uid="{9D4C644F-112C-4F9E-AB2B-9B374CE2891A}"/>
    <cellStyle name="Normal 3 3 5 6 2" xfId="9196" xr:uid="{58AD09B1-6937-4CA3-AC41-8E44BEBED281}"/>
    <cellStyle name="Normal 3 3 5 6 2 2" xfId="19248" xr:uid="{FA45D320-5E6E-4EFB-94D2-4EE12825E9BC}"/>
    <cellStyle name="Normal 3 3 5 6 3" xfId="16699" xr:uid="{0DD98A89-808D-402D-A2E1-4D17E0234E91}"/>
    <cellStyle name="Normal 3 3 5 6 4" xfId="14963" xr:uid="{614B8998-B42C-4331-9B31-8927AC066294}"/>
    <cellStyle name="Normal 3 3 5 7" xfId="7167" xr:uid="{A3504B51-CF9F-41D9-A9F3-BBA59A23C9EE}"/>
    <cellStyle name="Normal 3 3 5 7 2" xfId="17158" xr:uid="{9CC80641-0641-42D7-9DB0-468070126CC5}"/>
    <cellStyle name="Normal 3 3 5 7 3" xfId="15550" xr:uid="{8A88B9C9-F3D2-4727-BDB4-95835B997EB5}"/>
    <cellStyle name="Normal 3 3 5 8" xfId="7168" xr:uid="{AA97B9D7-DD4D-47F2-8AE7-1E426BD460E3}"/>
    <cellStyle name="Normal 3 3 5 8 2" xfId="17768" xr:uid="{98094FA9-EDFD-42E5-9B73-248C17FB3F89}"/>
    <cellStyle name="Normal 3 3 5 8 3" xfId="14019" xr:uid="{739A3826-27C5-4C6A-9CCA-DCADCB7F574E}"/>
    <cellStyle name="Normal 3 3 5 9" xfId="8320" xr:uid="{48485065-D27A-4806-93F9-9D2169443EF0}"/>
    <cellStyle name="Normal 3 3 5 9 2" xfId="18372" xr:uid="{2F1FA405-6BF7-4011-AE57-6D32CCBB22D7}"/>
    <cellStyle name="Normal 3 3 6" xfId="2834" xr:uid="{7EB3F97D-486C-4990-89FA-9BCF0883B74F}"/>
    <cellStyle name="Normal 3 3 6 10" xfId="9651" xr:uid="{AE9143F9-49FF-4541-9074-2ABCC77B69A1}"/>
    <cellStyle name="Normal 3 3 6 11" xfId="10305" xr:uid="{864A62A1-D581-4025-A081-795F1E5FC631}"/>
    <cellStyle name="Normal 3 3 6 12" xfId="12816" xr:uid="{628D492C-A4BD-4770-8F6C-4DC1BBF52AC5}"/>
    <cellStyle name="Normal 3 3 6 12 2" xfId="16129" xr:uid="{E42B76D5-F2A8-4B3D-A6D5-3348BE472B93}"/>
    <cellStyle name="Normal 3 3 6 12 3" xfId="20730" xr:uid="{CDFE5033-B5A9-4F04-A6AC-346562E8C8F0}"/>
    <cellStyle name="Normal 3 3 6 2" xfId="2835" xr:uid="{E47B2443-FB3F-4EA5-A4CC-A47B1FC5A58B}"/>
    <cellStyle name="Normal 3 3 6 2 10" xfId="10306" xr:uid="{B334BC3F-AD0E-4355-B41B-E86002DEB0D8}"/>
    <cellStyle name="Normal 3 3 6 2 11" xfId="15438" xr:uid="{CEA430CB-ED32-4C27-A7EB-3BDF1ADB9491}"/>
    <cellStyle name="Normal 3 3 6 2 2" xfId="4526" xr:uid="{A282ABB4-240F-4F54-AAFE-F25452AC5E05}"/>
    <cellStyle name="Normal 3 3 6 2 2 2" xfId="7169" xr:uid="{C0B04EE2-DF16-459D-8675-6EF41948BB0A}"/>
    <cellStyle name="Normal 3 3 6 2 2 2 2" xfId="8958" xr:uid="{AA26128F-0E3E-47AE-B979-39863AE00E4D}"/>
    <cellStyle name="Normal 3 3 6 2 2 2 2 2" xfId="19010" xr:uid="{3ECDA103-CC0D-4A11-BB81-123AECFDC6DE}"/>
    <cellStyle name="Normal 3 3 6 2 2 2 3" xfId="16463" xr:uid="{EB73A8DE-0F7B-4FBE-B1D1-D8DCDBD1CC31}"/>
    <cellStyle name="Normal 3 3 6 2 2 2 4" xfId="15168" xr:uid="{A80025D9-F176-40CD-A9DC-934B20A06E88}"/>
    <cellStyle name="Normal 3 3 6 2 2 3" xfId="7170" xr:uid="{88BCC66C-BC2E-452F-ADAB-675A9AF4C26D}"/>
    <cellStyle name="Normal 3 3 6 2 2 3 2" xfId="9406" xr:uid="{35669D47-5B48-42B3-A311-EA9417FEBFA0}"/>
    <cellStyle name="Normal 3 3 6 2 2 3 2 2" xfId="19458" xr:uid="{A6859EC1-2E32-4E09-A08D-28A4F97219D0}"/>
    <cellStyle name="Normal 3 3 6 2 2 3 3" xfId="16909" xr:uid="{A85A158D-7C06-41C1-A1F8-C53B244F6C3D}"/>
    <cellStyle name="Normal 3 3 6 2 2 3 4" xfId="15747" xr:uid="{6B8E764A-05F7-4283-82ED-7909FD44BB1A}"/>
    <cellStyle name="Normal 3 3 6 2 2 4" xfId="7171" xr:uid="{44264573-24DF-4545-B2AA-01563743B964}"/>
    <cellStyle name="Normal 3 3 6 2 2 4 2" xfId="17510" xr:uid="{756ACD62-A668-48D2-A36A-7B41C30FF06F}"/>
    <cellStyle name="Normal 3 3 6 2 2 4 3" xfId="14685" xr:uid="{27E0C67B-46EF-4760-A8C0-B4B94E21F91F}"/>
    <cellStyle name="Normal 3 3 6 2 2 5" xfId="7172" xr:uid="{707EC9EF-6B2F-4A98-8C0E-FA511C2ED80E}"/>
    <cellStyle name="Normal 3 3 6 2 2 5 2" xfId="18121" xr:uid="{ED491370-21AE-478A-B3BB-3442AF5ACECC}"/>
    <cellStyle name="Normal 3 3 6 2 2 5 3" xfId="14070" xr:uid="{F200C9B6-AE67-45D1-9668-6CDC0F814783}"/>
    <cellStyle name="Normal 3 3 6 2 2 6" xfId="8530" xr:uid="{1CB347B4-5DD5-4D6F-A71F-84E28EBD13C6}"/>
    <cellStyle name="Normal 3 3 6 2 2 6 2" xfId="18582" xr:uid="{AABA5253-BCD8-491A-975F-1FD34BA42D18}"/>
    <cellStyle name="Normal 3 3 6 2 2 7" xfId="9996" xr:uid="{0B3707A3-6711-478B-B1CF-62F993130F56}"/>
    <cellStyle name="Normal 3 3 6 2 2 8" xfId="10604" xr:uid="{1D701BC0-6642-4FAF-834C-B86236CAAD3B}"/>
    <cellStyle name="Normal 3 3 6 2 2 9" xfId="15956" xr:uid="{021E312E-03F1-4361-B061-F8E3C2BA9021}"/>
    <cellStyle name="Normal 3 3 6 2 3" xfId="4527" xr:uid="{769D3096-50C3-435B-A2EF-B0F7F424B9E4}"/>
    <cellStyle name="Normal 3 3 6 2 3 2" xfId="7173" xr:uid="{D3C449AB-D393-42F0-9A77-1EC64D3F2252}"/>
    <cellStyle name="Normal 3 3 6 2 3 2 2" xfId="8959" xr:uid="{EE56277D-21B2-4DE4-9E59-7DF56EF08F54}"/>
    <cellStyle name="Normal 3 3 6 2 3 2 2 2" xfId="19011" xr:uid="{49577ACB-ED9D-40AA-9E5E-49BF1A091589}"/>
    <cellStyle name="Normal 3 3 6 2 3 2 3" xfId="16464" xr:uid="{2CB1F88F-2420-4335-BA37-BB062A42FB78}"/>
    <cellStyle name="Normal 3 3 6 2 3 2 4" xfId="15167" xr:uid="{273A7E1E-95FE-4140-A1CA-A8D5C534F290}"/>
    <cellStyle name="Normal 3 3 6 2 3 3" xfId="7174" xr:uid="{5ECD46C8-996B-4032-AD51-65B2D07ECCC9}"/>
    <cellStyle name="Normal 3 3 6 2 3 3 2" xfId="9407" xr:uid="{D0B0F1FD-11AE-4A07-90D9-9B4E806CF8CE}"/>
    <cellStyle name="Normal 3 3 6 2 3 3 2 2" xfId="19459" xr:uid="{59A85CA2-3566-4F02-8CA1-832CEC7097F9}"/>
    <cellStyle name="Normal 3 3 6 2 3 3 3" xfId="16910" xr:uid="{F22BC9D3-132F-4E8A-95B9-514889558089}"/>
    <cellStyle name="Normal 3 3 6 2 3 3 4" xfId="15746" xr:uid="{AD786D07-F6B4-4733-84E8-E0E0AD58BB2C}"/>
    <cellStyle name="Normal 3 3 6 2 3 4" xfId="7175" xr:uid="{8F0663D4-0069-4262-A794-A7F36C67C1D2}"/>
    <cellStyle name="Normal 3 3 6 2 3 4 2" xfId="17511" xr:uid="{0A5D5394-A5EB-4C2F-AB36-8E6E6B5B10A1}"/>
    <cellStyle name="Normal 3 3 6 2 3 4 3" xfId="14684" xr:uid="{6D6C6E78-316A-4950-9064-A888BE670E59}"/>
    <cellStyle name="Normal 3 3 6 2 3 5" xfId="7176" xr:uid="{9C158E8D-4741-4065-99DB-1796EC09CF7D}"/>
    <cellStyle name="Normal 3 3 6 2 3 5 2" xfId="18122" xr:uid="{E9973C63-C1D0-4947-B955-994604D45542}"/>
    <cellStyle name="Normal 3 3 6 2 3 5 3" xfId="14331" xr:uid="{9EAC6685-C6D7-4EC6-924D-7DEA387E723E}"/>
    <cellStyle name="Normal 3 3 6 2 3 6" xfId="8531" xr:uid="{4117C499-605C-4DB4-928B-644077D6489C}"/>
    <cellStyle name="Normal 3 3 6 2 3 6 2" xfId="18583" xr:uid="{ADC731D0-644B-4351-A7A3-0A35FEBBB07E}"/>
    <cellStyle name="Normal 3 3 6 2 3 7" xfId="9997" xr:uid="{ADC596D4-7116-41B2-838F-7D9BE2DB5F34}"/>
    <cellStyle name="Normal 3 3 6 2 3 8" xfId="10605" xr:uid="{AECF2DF6-8E4A-44EA-8B5D-480E1A5359DD}"/>
    <cellStyle name="Normal 3 3 6 2 3 9" xfId="15955" xr:uid="{5C2DD536-083F-4998-9016-3B427AC83467}"/>
    <cellStyle name="Normal 3 3 6 2 4" xfId="7177" xr:uid="{9AC0DB81-A1D2-421C-BA6A-FA2A9749155D}"/>
    <cellStyle name="Normal 3 3 6 2 4 2" xfId="7178" xr:uid="{EE4F8D95-BDF4-4945-9335-F886299D1916}"/>
    <cellStyle name="Normal 3 3 6 2 4 2 2" xfId="17308" xr:uid="{8A321DFD-7F4C-49DE-848C-EB7ED30FF8EB}"/>
    <cellStyle name="Normal 3 3 6 2 4 3" xfId="7179" xr:uid="{FE544956-5951-45B2-B529-4E7D796692BC}"/>
    <cellStyle name="Normal 3 3 6 2 4 3 2" xfId="17922" xr:uid="{9F32FC19-36AE-4138-92D5-E25BEDFAF844}"/>
    <cellStyle name="Normal 3 3 6 2 4 4" xfId="8751" xr:uid="{85956F02-8303-46A0-8D4A-D173285559E4}"/>
    <cellStyle name="Normal 3 3 6 2 4 4 2" xfId="18803" xr:uid="{1801F65D-F32E-4079-9B03-5201425F159E}"/>
    <cellStyle name="Normal 3 3 6 2 4 5" xfId="9798" xr:uid="{4332ADC9-749F-4032-9C68-6A92716A948D}"/>
    <cellStyle name="Normal 3 3 6 2 4 6" xfId="10606" xr:uid="{0DF07507-E44E-4F20-8651-4DBD21CF8B2E}"/>
    <cellStyle name="Normal 3 3 6 2 4 7" xfId="15355" xr:uid="{DB6E298D-18E8-4BB9-8573-9007F0E3E68C}"/>
    <cellStyle name="Normal 3 3 6 2 5" xfId="7180" xr:uid="{AE2C021A-40A7-4B59-A5D6-56F54AC305A6}"/>
    <cellStyle name="Normal 3 3 6 2 5 2" xfId="9199" xr:uid="{5307509B-0EEC-4E76-B5E9-6E41A93A331B}"/>
    <cellStyle name="Normal 3 3 6 2 5 2 2" xfId="19251" xr:uid="{DED50CD4-C8D8-4AF6-9399-3C0F1175ECDC}"/>
    <cellStyle name="Normal 3 3 6 2 5 3" xfId="16702" xr:uid="{FBE0A1F1-0CF0-4B42-A5D4-2DCAC2D4D95F}"/>
    <cellStyle name="Normal 3 3 6 2 5 4" xfId="14960" xr:uid="{C40B7EBB-D88A-42C2-B9E6-A5C93C8F4B37}"/>
    <cellStyle name="Normal 3 3 6 2 6" xfId="7181" xr:uid="{981917EE-DBED-4EFA-BFC2-CF63B5C815FC}"/>
    <cellStyle name="Normal 3 3 6 2 6 2" xfId="17161" xr:uid="{4D0AB2BF-A58F-4A64-8DD2-BE2A864ECDCB}"/>
    <cellStyle name="Normal 3 3 6 2 6 3" xfId="14807" xr:uid="{069D2E4E-7FFB-429C-A302-D178E291365A}"/>
    <cellStyle name="Normal 3 3 6 2 7" xfId="7182" xr:uid="{DE0C2725-6D90-453C-AEBD-51E409360A13}"/>
    <cellStyle name="Normal 3 3 6 2 7 2" xfId="17771" xr:uid="{192738BF-FB25-488C-806C-BCC8874D3EBB}"/>
    <cellStyle name="Normal 3 3 6 2 7 3" xfId="14495" xr:uid="{EDFDFE01-6A1B-4873-B681-03DEDDD3C6A6}"/>
    <cellStyle name="Normal 3 3 6 2 8" xfId="8323" xr:uid="{5E2DD411-0BD6-46E5-8A7B-5DA53A3EB1F1}"/>
    <cellStyle name="Normal 3 3 6 2 8 2" xfId="18375" xr:uid="{C89AD35F-BFE8-4FBF-9739-F536E8EA4252}"/>
    <cellStyle name="Normal 3 3 6 2 9" xfId="9652" xr:uid="{486E3DD8-90BE-41C7-B124-0AD829E2D47C}"/>
    <cellStyle name="Normal 3 3 6 3" xfId="4528" xr:uid="{C96CA162-3A72-4D52-A966-708AFC1FA949}"/>
    <cellStyle name="Normal 3 3 6 3 2" xfId="7183" xr:uid="{80C0C166-08C5-44CE-A88F-38B1212E9961}"/>
    <cellStyle name="Normal 3 3 6 3 2 2" xfId="8960" xr:uid="{7ADAA24D-9E39-4B00-84BF-B3788FC8FE7B}"/>
    <cellStyle name="Normal 3 3 6 3 2 2 2" xfId="19012" xr:uid="{64C7E6EB-C576-41CC-AD03-6F797B2357A6}"/>
    <cellStyle name="Normal 3 3 6 3 2 3" xfId="16465" xr:uid="{A52F83CA-8CA9-4580-8B66-874C925037F8}"/>
    <cellStyle name="Normal 3 3 6 3 2 4" xfId="15166" xr:uid="{0E315D1E-9B9C-436A-985B-4F8EC1CE2C60}"/>
    <cellStyle name="Normal 3 3 6 3 3" xfId="7184" xr:uid="{E9CC60DC-C37C-47AD-9551-0461BC52156D}"/>
    <cellStyle name="Normal 3 3 6 3 3 2" xfId="9408" xr:uid="{8A52F69E-BBEF-4661-A9AA-7D79E358A09D}"/>
    <cellStyle name="Normal 3 3 6 3 3 2 2" xfId="19460" xr:uid="{F49E1165-4A60-4457-9499-131FBB808B23}"/>
    <cellStyle name="Normal 3 3 6 3 3 3" xfId="16911" xr:uid="{2E4C4618-2567-48AF-83FD-46B99C0F48FE}"/>
    <cellStyle name="Normal 3 3 6 3 3 4" xfId="15745" xr:uid="{6B665B1C-C3E6-4AD2-874C-D6D0E639EE2D}"/>
    <cellStyle name="Normal 3 3 6 3 4" xfId="7185" xr:uid="{61D62D36-7D94-4152-A3EE-8E4072680F9C}"/>
    <cellStyle name="Normal 3 3 6 3 4 2" xfId="17512" xr:uid="{D26D4E2B-A109-4E65-A46C-FB8FDFD87245}"/>
    <cellStyle name="Normal 3 3 6 3 4 3" xfId="14683" xr:uid="{81A33E69-D616-4548-A0DF-0EC803E9F9CC}"/>
    <cellStyle name="Normal 3 3 6 3 5" xfId="7186" xr:uid="{D87E0668-67F5-47BF-A7C3-0266D540F598}"/>
    <cellStyle name="Normal 3 3 6 3 5 2" xfId="18123" xr:uid="{5A8ECB7E-487F-4B6D-8411-5ED686D926D0}"/>
    <cellStyle name="Normal 3 3 6 3 5 3" xfId="14330" xr:uid="{6D68A505-5925-4B2E-BDE7-B4B0E6BAACC2}"/>
    <cellStyle name="Normal 3 3 6 3 6" xfId="8532" xr:uid="{00C60053-0FCD-491F-99B4-B9400A11EC12}"/>
    <cellStyle name="Normal 3 3 6 3 6 2" xfId="18584" xr:uid="{F248045E-2F41-431E-8832-6AC648D20570}"/>
    <cellStyle name="Normal 3 3 6 3 7" xfId="9998" xr:uid="{886B4524-6D92-4542-8E3B-3D5580767DEA}"/>
    <cellStyle name="Normal 3 3 6 3 8" xfId="10607" xr:uid="{DA146386-CEAA-4BFF-99F3-FB2019744FDF}"/>
    <cellStyle name="Normal 3 3 6 3 9" xfId="15954" xr:uid="{DFDE3035-15B5-4463-804D-50CB03587B51}"/>
    <cellStyle name="Normal 3 3 6 4" xfId="4529" xr:uid="{51E2DA17-6124-4B9A-99D3-472A36C56F54}"/>
    <cellStyle name="Normal 3 3 6 4 2" xfId="7187" xr:uid="{984D292A-E01F-4965-B0E3-61723A028AA3}"/>
    <cellStyle name="Normal 3 3 6 4 2 2" xfId="8961" xr:uid="{43E888E2-CAF2-4607-95D4-90B3128C5CDA}"/>
    <cellStyle name="Normal 3 3 6 4 2 2 2" xfId="19013" xr:uid="{673CD3B9-8C74-4B6E-92DE-2761A78C7A7E}"/>
    <cellStyle name="Normal 3 3 6 4 2 3" xfId="16466" xr:uid="{399FD8A7-FC1E-4116-A7D8-EB3135D7959A}"/>
    <cellStyle name="Normal 3 3 6 4 2 4" xfId="15165" xr:uid="{EDEF4D2F-F4FB-413E-A25B-C6C0D4499317}"/>
    <cellStyle name="Normal 3 3 6 4 3" xfId="7188" xr:uid="{0F1115E6-EDE2-49CF-A177-A86CF20FE3A8}"/>
    <cellStyle name="Normal 3 3 6 4 3 2" xfId="9409" xr:uid="{9C62A924-A3D3-4B35-8563-4C533CB571DD}"/>
    <cellStyle name="Normal 3 3 6 4 3 2 2" xfId="19461" xr:uid="{11414E9F-5BD3-40D3-A5AC-75337E7A2FA1}"/>
    <cellStyle name="Normal 3 3 6 4 3 3" xfId="16912" xr:uid="{C67453CB-2EA4-4A64-A10F-C9080D6EEB97}"/>
    <cellStyle name="Normal 3 3 6 4 3 4" xfId="15744" xr:uid="{B3BF3C90-A058-4D99-98D5-246D59766BA7}"/>
    <cellStyle name="Normal 3 3 6 4 4" xfId="7189" xr:uid="{AA023DF2-7E6D-49F8-BD13-F82E94FC96CF}"/>
    <cellStyle name="Normal 3 3 6 4 4 2" xfId="17513" xr:uid="{394A919A-C7D5-40CD-9FFC-AC708C962A44}"/>
    <cellStyle name="Normal 3 3 6 4 4 3" xfId="14682" xr:uid="{6ECCA390-3C53-423B-BBF8-C45F28BAA8EA}"/>
    <cellStyle name="Normal 3 3 6 4 5" xfId="7190" xr:uid="{65251FFA-64FC-48F9-9722-ABD64374B51C}"/>
    <cellStyle name="Normal 3 3 6 4 5 2" xfId="18124" xr:uid="{8326CB44-098C-4F31-9168-B5DF44A55F43}"/>
    <cellStyle name="Normal 3 3 6 4 5 3" xfId="14329" xr:uid="{3498DECB-4BBB-484F-8135-0340F9700AE3}"/>
    <cellStyle name="Normal 3 3 6 4 6" xfId="8533" xr:uid="{C2BE1572-51A3-4AF4-9195-A58FE15E676A}"/>
    <cellStyle name="Normal 3 3 6 4 6 2" xfId="18585" xr:uid="{B1FEDD23-0E23-4B2D-8AF8-136CCBCE5BA0}"/>
    <cellStyle name="Normal 3 3 6 4 7" xfId="9999" xr:uid="{C8C1BD27-BE8A-4209-9151-222403D39F3A}"/>
    <cellStyle name="Normal 3 3 6 4 8" xfId="10608" xr:uid="{120F17A8-A02A-4418-B645-D537ACFBC376}"/>
    <cellStyle name="Normal 3 3 6 4 9" xfId="15410" xr:uid="{297844C3-EF67-4C44-A4FF-FA1DCCE81642}"/>
    <cellStyle name="Normal 3 3 6 5" xfId="7191" xr:uid="{119F0DF3-3E79-4B15-B332-407FFFFA285E}"/>
    <cellStyle name="Normal 3 3 6 5 2" xfId="7192" xr:uid="{331F23A5-DD11-42FE-8B3F-E069BBB099E7}"/>
    <cellStyle name="Normal 3 3 6 5 2 2" xfId="17307" xr:uid="{E39952E2-437B-4D99-ACD5-D7C244A771C8}"/>
    <cellStyle name="Normal 3 3 6 5 3" xfId="7193" xr:uid="{5C7D2CCD-CCFE-46E3-808F-B5052C2B1592}"/>
    <cellStyle name="Normal 3 3 6 5 3 2" xfId="17921" xr:uid="{752ABBE7-987D-4849-92F0-E37DB6E35246}"/>
    <cellStyle name="Normal 3 3 6 5 4" xfId="8750" xr:uid="{F477C646-3B9D-477E-A825-3C1DBF0E026C}"/>
    <cellStyle name="Normal 3 3 6 5 4 2" xfId="18802" xr:uid="{EF0ED035-905B-4650-85A7-23E9EFFBB57C}"/>
    <cellStyle name="Normal 3 3 6 5 5" xfId="9797" xr:uid="{07DCC8FB-D487-4EC5-827B-D105F9118C3A}"/>
    <cellStyle name="Normal 3 3 6 5 6" xfId="10609" xr:uid="{D2854380-ED49-4CF2-B262-C944289503E3}"/>
    <cellStyle name="Normal 3 3 6 5 7" xfId="14167" xr:uid="{AD39F59B-B42E-46DD-8AA2-D3877184193F}"/>
    <cellStyle name="Normal 3 3 6 6" xfId="7194" xr:uid="{93437D41-62E6-49CF-8A2B-E0790A8C37FE}"/>
    <cellStyle name="Normal 3 3 6 6 2" xfId="9198" xr:uid="{E8CFE280-73F8-465C-9AFF-276D00FDA288}"/>
    <cellStyle name="Normal 3 3 6 6 2 2" xfId="19250" xr:uid="{33EE9F69-7869-4C18-91C1-2B173574AADB}"/>
    <cellStyle name="Normal 3 3 6 6 3" xfId="16701" xr:uid="{D04342E5-F61E-4EE0-A06E-9268EC6B306C}"/>
    <cellStyle name="Normal 3 3 6 6 4" xfId="14961" xr:uid="{BC93617C-F17D-4CA5-9133-6BF5F60A7570}"/>
    <cellStyle name="Normal 3 3 6 7" xfId="7195" xr:uid="{2F866C6E-C746-41DD-9101-AAD74E08BB22}"/>
    <cellStyle name="Normal 3 3 6 7 2" xfId="17160" xr:uid="{5EF72924-1189-4A49-BB35-E18786055250}"/>
    <cellStyle name="Normal 3 3 6 7 3" xfId="15548" xr:uid="{A4F5E4AB-734E-4F65-A199-95BCB412F760}"/>
    <cellStyle name="Normal 3 3 6 8" xfId="7196" xr:uid="{5006EA9D-27B6-4368-BFF2-69F1B4AB6627}"/>
    <cellStyle name="Normal 3 3 6 8 2" xfId="17770" xr:uid="{E608A6BD-E4A0-4139-89E6-B223EE35D58B}"/>
    <cellStyle name="Normal 3 3 6 8 3" xfId="14496" xr:uid="{444A3766-E744-4E69-BF3E-F6DF95FFA4A9}"/>
    <cellStyle name="Normal 3 3 6 9" xfId="8322" xr:uid="{827C370F-FDEC-43AE-825D-A1F4C7906926}"/>
    <cellStyle name="Normal 3 3 6 9 2" xfId="18374" xr:uid="{8D25FA75-289A-4AC8-B0E1-8EC560FB3086}"/>
    <cellStyle name="Normal 3 3 7" xfId="2836" xr:uid="{C7D1C006-A308-4FF6-874E-6665CDD14309}"/>
    <cellStyle name="Normal 3 3 7 10" xfId="9653" xr:uid="{697EA9AB-18D6-499D-B7A1-1CFF9C5E5688}"/>
    <cellStyle name="Normal 3 3 7 11" xfId="10307" xr:uid="{CD96AB82-D381-4CB2-8757-B56342D4BB05}"/>
    <cellStyle name="Normal 3 3 7 12" xfId="11114" xr:uid="{E4EA9F59-CD63-4755-910A-468571907FCE}"/>
    <cellStyle name="Normal 3 3 7 12 2" xfId="16128" xr:uid="{8F28C7E4-ABD4-4194-BB2F-5CE6CD51A75F}"/>
    <cellStyle name="Normal 3 3 7 12 3" xfId="20517" xr:uid="{A258DC25-1A45-46DC-8845-078D33951961}"/>
    <cellStyle name="Normal 3 3 7 2" xfId="2837" xr:uid="{14EFA0F6-0ECA-4492-B20E-8A1DD1BD20E0}"/>
    <cellStyle name="Normal 3 3 7 2 10" xfId="10308" xr:uid="{C097FD55-63CB-412A-8042-902AFA40E187}"/>
    <cellStyle name="Normal 3 3 7 2 11" xfId="16127" xr:uid="{5808557E-C93F-45D1-B415-A1A721B64190}"/>
    <cellStyle name="Normal 3 3 7 2 2" xfId="4530" xr:uid="{7EBEDF33-EA1D-4696-9DE5-1BA3A64465BF}"/>
    <cellStyle name="Normal 3 3 7 2 2 2" xfId="7197" xr:uid="{9D98AE14-EBD9-4B4C-AF6F-2CF210EC417E}"/>
    <cellStyle name="Normal 3 3 7 2 2 2 2" xfId="8962" xr:uid="{986E8625-E680-410D-896C-DC19207E47D1}"/>
    <cellStyle name="Normal 3 3 7 2 2 2 2 2" xfId="19014" xr:uid="{B2A371C5-F518-40F3-9E2C-7B33539CBAE8}"/>
    <cellStyle name="Normal 3 3 7 2 2 2 3" xfId="16467" xr:uid="{E2D4256B-18C6-4534-B9E8-FA7290A03887}"/>
    <cellStyle name="Normal 3 3 7 2 2 2 4" xfId="15164" xr:uid="{F588E2C2-E2C3-4A80-855E-D15000ACAE23}"/>
    <cellStyle name="Normal 3 3 7 2 2 3" xfId="7198" xr:uid="{6457B9B7-6CCF-43F5-BD85-C752E18E27BF}"/>
    <cellStyle name="Normal 3 3 7 2 2 3 2" xfId="9410" xr:uid="{F3934643-2418-417A-8304-DA399BD98153}"/>
    <cellStyle name="Normal 3 3 7 2 2 3 2 2" xfId="19462" xr:uid="{BE9EC63A-E23C-4D79-A947-98713EB26C41}"/>
    <cellStyle name="Normal 3 3 7 2 2 3 3" xfId="16913" xr:uid="{3A8BAF0F-16D6-4543-8ACC-ED6184DC2FC7}"/>
    <cellStyle name="Normal 3 3 7 2 2 3 4" xfId="15743" xr:uid="{A0BCD733-520A-4FF0-8C81-D1ACD6FC499A}"/>
    <cellStyle name="Normal 3 3 7 2 2 4" xfId="7199" xr:uid="{EDFFD6DF-45ED-46BD-AE4E-9F054E1A7722}"/>
    <cellStyle name="Normal 3 3 7 2 2 4 2" xfId="17514" xr:uid="{409DD08D-4929-427E-AAE0-1E0AEFE0D591}"/>
    <cellStyle name="Normal 3 3 7 2 2 4 3" xfId="14681" xr:uid="{77A86ADE-C8DF-4A9E-80D0-4DB0649DF634}"/>
    <cellStyle name="Normal 3 3 7 2 2 5" xfId="7200" xr:uid="{133855EE-6921-4527-BC74-239F545374A4}"/>
    <cellStyle name="Normal 3 3 7 2 2 5 2" xfId="18125" xr:uid="{5779A223-6B83-4686-89D6-016F3E787FF9}"/>
    <cellStyle name="Normal 3 3 7 2 2 5 3" xfId="14328" xr:uid="{F9531235-C80D-44B9-845C-9A28AA2AEDD7}"/>
    <cellStyle name="Normal 3 3 7 2 2 6" xfId="8534" xr:uid="{A0B87DEF-4D06-4E3E-9FEF-5F680B86B6E6}"/>
    <cellStyle name="Normal 3 3 7 2 2 6 2" xfId="18586" xr:uid="{8B0DD2B6-6F0A-4C7D-BD4B-B431DF9267A0}"/>
    <cellStyle name="Normal 3 3 7 2 2 7" xfId="10000" xr:uid="{0A9DAF8C-3C4B-41BD-BFF0-E6FF037F629C}"/>
    <cellStyle name="Normal 3 3 7 2 2 8" xfId="10610" xr:uid="{9D0C8C23-8058-4AA0-94FE-E8124CF562E7}"/>
    <cellStyle name="Normal 3 3 7 2 2 9" xfId="15953" xr:uid="{904DC170-443E-4DDB-9483-237D4DCEDC9B}"/>
    <cellStyle name="Normal 3 3 7 2 3" xfId="4531" xr:uid="{9C7D5846-208C-4D4F-A559-893E0F1AC8C0}"/>
    <cellStyle name="Normal 3 3 7 2 3 2" xfId="7201" xr:uid="{2A90F82C-678F-40C5-8F07-837EB271F370}"/>
    <cellStyle name="Normal 3 3 7 2 3 2 2" xfId="8963" xr:uid="{7BD415BF-1530-49AA-BF29-9D6D6DC1CB17}"/>
    <cellStyle name="Normal 3 3 7 2 3 2 2 2" xfId="19015" xr:uid="{BCD3567D-585E-4132-AB78-82555B530CD7}"/>
    <cellStyle name="Normal 3 3 7 2 3 2 3" xfId="16468" xr:uid="{669A6B7B-A9DA-4BF1-AE8D-D454A35D5FC3}"/>
    <cellStyle name="Normal 3 3 7 2 3 2 4" xfId="14152" xr:uid="{1C3C3C4D-929E-40F2-BB6C-D4367886A1DD}"/>
    <cellStyle name="Normal 3 3 7 2 3 3" xfId="7202" xr:uid="{61D2C081-EE6D-47FA-A564-ABC2BC18A04A}"/>
    <cellStyle name="Normal 3 3 7 2 3 3 2" xfId="9411" xr:uid="{8DCFC4EE-0B70-4055-829D-EB793F68780B}"/>
    <cellStyle name="Normal 3 3 7 2 3 3 2 2" xfId="19463" xr:uid="{0A85CC4F-EECA-42FB-8FED-F7A79A476F9B}"/>
    <cellStyle name="Normal 3 3 7 2 3 3 3" xfId="16914" xr:uid="{E61E2AE8-5044-4229-88F4-E89E2393E5A9}"/>
    <cellStyle name="Normal 3 3 7 2 3 3 4" xfId="14836" xr:uid="{4E577AD8-BAD1-40AF-BD39-4A81D351CCC2}"/>
    <cellStyle name="Normal 3 3 7 2 3 4" xfId="7203" xr:uid="{0D6C7844-0527-4B3F-898A-093203DAC2CE}"/>
    <cellStyle name="Normal 3 3 7 2 3 4 2" xfId="17515" xr:uid="{D9C7FCE3-044E-4F9F-8148-CE3DBE3B46C0}"/>
    <cellStyle name="Normal 3 3 7 2 3 4 3" xfId="14680" xr:uid="{FA89268B-7941-463D-A88C-1104E6F92FD0}"/>
    <cellStyle name="Normal 3 3 7 2 3 5" xfId="7204" xr:uid="{3F95C8C1-D720-4D1A-895B-6AB69E3F81CD}"/>
    <cellStyle name="Normal 3 3 7 2 3 5 2" xfId="18126" xr:uid="{3E0F1D7F-25C5-4135-95B7-C71D77EAD263}"/>
    <cellStyle name="Normal 3 3 7 2 3 5 3" xfId="14327" xr:uid="{8E32A121-A6A9-452F-A2D6-E84514202E72}"/>
    <cellStyle name="Normal 3 3 7 2 3 6" xfId="8535" xr:uid="{C6470EF1-665E-4D21-A4F5-5312F16723C4}"/>
    <cellStyle name="Normal 3 3 7 2 3 6 2" xfId="18587" xr:uid="{D183CE6D-D705-4D4B-B6EA-A3EEBED91D8F}"/>
    <cellStyle name="Normal 3 3 7 2 3 7" xfId="10001" xr:uid="{DCD7B26D-DE4B-4E6F-8C38-0EE5C3CAD988}"/>
    <cellStyle name="Normal 3 3 7 2 3 8" xfId="10611" xr:uid="{B941E5AC-135A-4BDE-B1D9-87C418CEE5F0}"/>
    <cellStyle name="Normal 3 3 7 2 3 9" xfId="15952" xr:uid="{9DE3E01E-49DE-4DEC-A295-6A4A4308FD76}"/>
    <cellStyle name="Normal 3 3 7 2 4" xfId="7205" xr:uid="{16B91B09-D9BF-44B0-8BEB-04F32E3365AD}"/>
    <cellStyle name="Normal 3 3 7 2 4 2" xfId="7206" xr:uid="{6CF60088-64CC-47DA-9859-0DF64FADF455}"/>
    <cellStyle name="Normal 3 3 7 2 4 2 2" xfId="17310" xr:uid="{1757B30A-9719-42E3-B503-B1BD523948D9}"/>
    <cellStyle name="Normal 3 3 7 2 4 3" xfId="7207" xr:uid="{09CF877E-0509-4029-A660-0C050DC0EE72}"/>
    <cellStyle name="Normal 3 3 7 2 4 3 2" xfId="17924" xr:uid="{E4B44098-5630-4F5E-8F20-9E7563A48B40}"/>
    <cellStyle name="Normal 3 3 7 2 4 4" xfId="8753" xr:uid="{E7F550E7-3B2A-45FB-A155-47C63EE66B22}"/>
    <cellStyle name="Normal 3 3 7 2 4 4 2" xfId="18805" xr:uid="{12310E60-1230-44C3-AC84-5A870E47E0E6}"/>
    <cellStyle name="Normal 3 3 7 2 4 5" xfId="9800" xr:uid="{E24E69C6-B007-41E0-9F50-918B90BC8CD7}"/>
    <cellStyle name="Normal 3 3 7 2 4 6" xfId="10612" xr:uid="{2417036B-5A01-44E8-9DDD-2966FDAF6B71}"/>
    <cellStyle name="Normal 3 3 7 2 4 7" xfId="15353" xr:uid="{1FC853F9-0532-40F1-BC57-9533DAA1E09B}"/>
    <cellStyle name="Normal 3 3 7 2 5" xfId="7208" xr:uid="{B1397E3B-5E03-47A2-B8A4-A560A87E212F}"/>
    <cellStyle name="Normal 3 3 7 2 5 2" xfId="9201" xr:uid="{2401BD39-B0B8-4F64-B0B9-8A20F38AA8FB}"/>
    <cellStyle name="Normal 3 3 7 2 5 2 2" xfId="19253" xr:uid="{501F9307-5E44-4799-9E61-B2A7E2A6EC58}"/>
    <cellStyle name="Normal 3 3 7 2 5 3" xfId="16704" xr:uid="{DF5E2E87-954F-4A6A-BC49-113EF3F375FC}"/>
    <cellStyle name="Normal 3 3 7 2 5 4" xfId="14958" xr:uid="{B98F537F-0DFB-4D03-8336-5B4A6204A9B0}"/>
    <cellStyle name="Normal 3 3 7 2 6" xfId="7209" xr:uid="{F19DBD00-25DB-479B-80CF-CC59EB6B3413}"/>
    <cellStyle name="Normal 3 3 7 2 6 2" xfId="17163" xr:uid="{0C217BD8-39AB-4DBA-A282-A4893E56744C}"/>
    <cellStyle name="Normal 3 3 7 2 6 3" xfId="15546" xr:uid="{5CD2B64B-E146-4898-ABDD-5A5BF7406E3C}"/>
    <cellStyle name="Normal 3 3 7 2 7" xfId="7210" xr:uid="{3268D99B-53CF-4290-A6FD-ADCEC1903E09}"/>
    <cellStyle name="Normal 3 3 7 2 7 2" xfId="17773" xr:uid="{EDF541B5-A3B1-4EFF-9F0D-4BC6D8C09CDD}"/>
    <cellStyle name="Normal 3 3 7 2 7 3" xfId="14493" xr:uid="{AB0B7581-2DBE-4F8E-8CBA-F659D50E2E21}"/>
    <cellStyle name="Normal 3 3 7 2 8" xfId="8325" xr:uid="{3D1B974C-AFA3-4B1C-84FA-4C54674103E1}"/>
    <cellStyle name="Normal 3 3 7 2 8 2" xfId="18377" xr:uid="{5488DE41-2B31-4775-A674-8000E1A53819}"/>
    <cellStyle name="Normal 3 3 7 2 9" xfId="9654" xr:uid="{3D6D1B4C-C369-4DBC-B20D-C89CAE29473B}"/>
    <cellStyle name="Normal 3 3 7 3" xfId="4532" xr:uid="{B287D5AE-BB0C-4F58-A60D-CA699A56064F}"/>
    <cellStyle name="Normal 3 3 7 3 2" xfId="7211" xr:uid="{831F37D4-4F0D-4023-BACF-4388FA5994B4}"/>
    <cellStyle name="Normal 3 3 7 3 2 2" xfId="8964" xr:uid="{394C51A8-9CBD-4BB3-91B0-5751992EDCE5}"/>
    <cellStyle name="Normal 3 3 7 3 2 2 2" xfId="19016" xr:uid="{81008CCE-BD61-4991-9EC1-0A5E239A5276}"/>
    <cellStyle name="Normal 3 3 7 3 2 3" xfId="16469" xr:uid="{F7D415D2-6F57-4015-BF18-5E11A6D7F7F6}"/>
    <cellStyle name="Normal 3 3 7 3 2 4" xfId="15163" xr:uid="{C7FF9686-8520-4601-A1D1-BB1859BC9742}"/>
    <cellStyle name="Normal 3 3 7 3 3" xfId="7212" xr:uid="{94D009AC-E9FA-42DD-9247-3FCDF70BCAD5}"/>
    <cellStyle name="Normal 3 3 7 3 3 2" xfId="9412" xr:uid="{99A68649-8B24-4B6F-80B8-CD0C68E9040B}"/>
    <cellStyle name="Normal 3 3 7 3 3 2 2" xfId="19464" xr:uid="{7336D5D1-EA0B-47D5-B240-280D81FE1F38}"/>
    <cellStyle name="Normal 3 3 7 3 3 3" xfId="16915" xr:uid="{1F27847B-8C11-4207-954F-E2F182692CA5}"/>
    <cellStyle name="Normal 3 3 7 3 3 4" xfId="15742" xr:uid="{DAA281A0-F64F-42E8-A6D0-FC230E952FCF}"/>
    <cellStyle name="Normal 3 3 7 3 4" xfId="7213" xr:uid="{98135E29-97DD-42C8-B9E5-643347711D72}"/>
    <cellStyle name="Normal 3 3 7 3 4 2" xfId="17516" xr:uid="{9A8390F5-4858-45B9-8DCA-A230DE4AA2A1}"/>
    <cellStyle name="Normal 3 3 7 3 4 3" xfId="14679" xr:uid="{A7A0DAFC-EEA2-4D22-8FA9-428D21CA9A2C}"/>
    <cellStyle name="Normal 3 3 7 3 5" xfId="7214" xr:uid="{458302EA-2416-4771-8A6F-798DD0B30BC4}"/>
    <cellStyle name="Normal 3 3 7 3 5 2" xfId="18127" xr:uid="{BBB17309-7C91-4390-AF01-3841B7DE9C3E}"/>
    <cellStyle name="Normal 3 3 7 3 5 3" xfId="14326" xr:uid="{930FF665-D470-4F01-8142-16104F6472C4}"/>
    <cellStyle name="Normal 3 3 7 3 6" xfId="8536" xr:uid="{615C2C42-5DB5-4A82-839C-B346D3F235AF}"/>
    <cellStyle name="Normal 3 3 7 3 6 2" xfId="18588" xr:uid="{C4F542FD-57FE-46AE-AC4F-82C6D25111B8}"/>
    <cellStyle name="Normal 3 3 7 3 7" xfId="10002" xr:uid="{87CED7F3-789B-4B5B-8357-10BE2BB959CE}"/>
    <cellStyle name="Normal 3 3 7 3 8" xfId="10613" xr:uid="{7FD5A943-23C1-41D0-AE1A-F264E5AA055B}"/>
    <cellStyle name="Normal 3 3 7 3 9" xfId="15951" xr:uid="{5A219E7D-5AED-40EB-9707-97D031C96B46}"/>
    <cellStyle name="Normal 3 3 7 4" xfId="4533" xr:uid="{2D05C771-3459-482F-8D3C-12B8A965DC2F}"/>
    <cellStyle name="Normal 3 3 7 4 2" xfId="7215" xr:uid="{9B255EA6-DB66-4B81-AA63-66D532CF298A}"/>
    <cellStyle name="Normal 3 3 7 4 2 2" xfId="8965" xr:uid="{BF0EB061-4417-4B74-BD12-0479E9EA1F71}"/>
    <cellStyle name="Normal 3 3 7 4 2 2 2" xfId="19017" xr:uid="{F5C15970-BC41-4DB0-A420-0D581D64F043}"/>
    <cellStyle name="Normal 3 3 7 4 2 3" xfId="16470" xr:uid="{0DEB7971-19CE-46F2-B305-A01B86F5714C}"/>
    <cellStyle name="Normal 3 3 7 4 2 4" xfId="15162" xr:uid="{8BAE4BE1-9A29-4566-92EF-0AA669983A30}"/>
    <cellStyle name="Normal 3 3 7 4 3" xfId="7216" xr:uid="{82B34E8C-53FE-4BA9-B775-37BA70D4154E}"/>
    <cellStyle name="Normal 3 3 7 4 3 2" xfId="9413" xr:uid="{F91F0364-2D92-4A8D-B2C9-8360B173CA57}"/>
    <cellStyle name="Normal 3 3 7 4 3 2 2" xfId="19465" xr:uid="{777D005C-2254-40AC-B4A5-6DD671A47F4B}"/>
    <cellStyle name="Normal 3 3 7 4 3 3" xfId="16916" xr:uid="{C29B7DD4-7347-4710-B4FD-4DB1DEBFBFF0}"/>
    <cellStyle name="Normal 3 3 7 4 3 4" xfId="15741" xr:uid="{FDE0D9A1-251F-4AF3-B43F-6943AC6C05A5}"/>
    <cellStyle name="Normal 3 3 7 4 4" xfId="7217" xr:uid="{553E5EEB-D209-4BA7-A305-06EE55D009DD}"/>
    <cellStyle name="Normal 3 3 7 4 4 2" xfId="17517" xr:uid="{18AC53D3-21BC-45AB-9797-18E75968D21F}"/>
    <cellStyle name="Normal 3 3 7 4 4 3" xfId="14113" xr:uid="{0F9EB6B0-D08C-40C6-92AA-1E004773FD2A}"/>
    <cellStyle name="Normal 3 3 7 4 5" xfId="7218" xr:uid="{4B2F3776-8F41-4812-B538-C37F62091057}"/>
    <cellStyle name="Normal 3 3 7 4 5 2" xfId="18128" xr:uid="{9BDA0871-079A-4ED3-97E3-139F6439B9E9}"/>
    <cellStyle name="Normal 3 3 7 4 5 3" xfId="14325" xr:uid="{6BDC160D-DD0A-4B53-88B4-32F96C25D12B}"/>
    <cellStyle name="Normal 3 3 7 4 6" xfId="8537" xr:uid="{2DD83A0F-2F20-4660-9867-DBD6440BB651}"/>
    <cellStyle name="Normal 3 3 7 4 6 2" xfId="18589" xr:uid="{E2C7B792-6DE8-41B6-9A94-1997BFE76A28}"/>
    <cellStyle name="Normal 3 3 7 4 7" xfId="10003" xr:uid="{8DEB0E89-BCDD-4D4B-B1DD-4545479CDF5D}"/>
    <cellStyle name="Normal 3 3 7 4 8" xfId="10614" xr:uid="{8322B0F1-7436-4F32-9DF1-76F9FEB5C21B}"/>
    <cellStyle name="Normal 3 3 7 4 9" xfId="15950" xr:uid="{7866AF10-3FBA-41FD-9934-2074D76E28EC}"/>
    <cellStyle name="Normal 3 3 7 5" xfId="7219" xr:uid="{C47D6121-8F8C-4490-AF75-8A0F4A38ABC8}"/>
    <cellStyle name="Normal 3 3 7 5 2" xfId="7220" xr:uid="{ED33EA40-2334-4F84-8386-EF1D4C595266}"/>
    <cellStyle name="Normal 3 3 7 5 2 2" xfId="17309" xr:uid="{09C32643-1031-47E5-8AE7-E3BAA26B0BD0}"/>
    <cellStyle name="Normal 3 3 7 5 3" xfId="7221" xr:uid="{E448B8DE-592B-4025-AC43-4859B3315D10}"/>
    <cellStyle name="Normal 3 3 7 5 3 2" xfId="17923" xr:uid="{7ABCB097-0651-4985-82EE-EEE18ADD9688}"/>
    <cellStyle name="Normal 3 3 7 5 4" xfId="8752" xr:uid="{539222C0-FEA8-408B-ABC4-77E07D802F24}"/>
    <cellStyle name="Normal 3 3 7 5 4 2" xfId="18804" xr:uid="{EE65A2A3-C4B2-43CE-820E-3C5CBF36E649}"/>
    <cellStyle name="Normal 3 3 7 5 5" xfId="9799" xr:uid="{D669F75F-ABDD-467E-B91A-B7047A7D6A9E}"/>
    <cellStyle name="Normal 3 3 7 5 6" xfId="10615" xr:uid="{E132B396-4BBB-4BDE-8B5A-3DA432EF2A44}"/>
    <cellStyle name="Normal 3 3 7 5 7" xfId="15354" xr:uid="{7D48D68A-A07A-4207-A91C-25C2EE4121EB}"/>
    <cellStyle name="Normal 3 3 7 6" xfId="7222" xr:uid="{B291A00E-686B-4130-B9F5-4C09703E0349}"/>
    <cellStyle name="Normal 3 3 7 6 2" xfId="9200" xr:uid="{D99FCE69-C05B-48C5-897D-76C66DF115AB}"/>
    <cellStyle name="Normal 3 3 7 6 2 2" xfId="19252" xr:uid="{0AACD2AF-1691-446B-B542-5665D8C57119}"/>
    <cellStyle name="Normal 3 3 7 6 3" xfId="16703" xr:uid="{291C9976-A509-43DA-A764-352ABBAC00BE}"/>
    <cellStyle name="Normal 3 3 7 6 4" xfId="14959" xr:uid="{30EF1E22-C899-4F2C-95A2-E2775762A7EB}"/>
    <cellStyle name="Normal 3 3 7 7" xfId="7223" xr:uid="{240332E0-0741-40B0-8993-00029BD3FD41}"/>
    <cellStyle name="Normal 3 3 7 7 2" xfId="17162" xr:uid="{FF9E0053-EE26-4196-8D03-C7217F0442EC}"/>
    <cellStyle name="Normal 3 3 7 7 3" xfId="15547" xr:uid="{ADC4F297-D152-4E55-83B5-8604453D3411}"/>
    <cellStyle name="Normal 3 3 7 8" xfId="7224" xr:uid="{B0497103-A75E-4DA9-B428-FF987F351E5D}"/>
    <cellStyle name="Normal 3 3 7 8 2" xfId="17772" xr:uid="{0D4DCE4A-2D12-4AFF-A9AD-46517553AA45}"/>
    <cellStyle name="Normal 3 3 7 8 3" xfId="14494" xr:uid="{EE9D8813-00F1-4AAD-9DE3-88BFA627890B}"/>
    <cellStyle name="Normal 3 3 7 9" xfId="8324" xr:uid="{109782CA-6117-4D0E-9D99-D177731FAD4F}"/>
    <cellStyle name="Normal 3 3 7 9 2" xfId="18376" xr:uid="{332C757F-8F0C-4A66-B9BD-3E8C6CD906C6}"/>
    <cellStyle name="Normal 3 3 8" xfId="2838" xr:uid="{D5F756EC-D88F-4C5C-B855-2792D9CF4F60}"/>
    <cellStyle name="Normal 3 3 8 10" xfId="9655" xr:uid="{74C6ED22-07F0-471C-8F3B-53670FC104B0}"/>
    <cellStyle name="Normal 3 3 8 11" xfId="10309" xr:uid="{F9699B63-E5BC-4CDD-9B02-427212352B25}"/>
    <cellStyle name="Normal 3 3 8 12" xfId="11789" xr:uid="{0BF738A0-A8CD-4704-BECE-34A6CD6BE62A}"/>
    <cellStyle name="Normal 3 3 8 12 2" xfId="16126" xr:uid="{3FF6DC1E-52C1-4A06-A470-DBB7EA5ACFCC}"/>
    <cellStyle name="Normal 3 3 8 12 3" xfId="20611" xr:uid="{CCE54C97-1C13-4D71-A76A-879BB2EF6475}"/>
    <cellStyle name="Normal 3 3 8 2" xfId="2839" xr:uid="{19054B70-42F8-4091-A915-801E6D73BDA9}"/>
    <cellStyle name="Normal 3 3 8 2 10" xfId="10310" xr:uid="{D7F61429-9412-4143-B30F-9610EF4AC5FB}"/>
    <cellStyle name="Normal 3 3 8 2 11" xfId="16125" xr:uid="{FF8E79AD-6A31-4BFE-A830-1437F7A1A103}"/>
    <cellStyle name="Normal 3 3 8 2 2" xfId="4534" xr:uid="{904DA562-1C56-405E-911B-8C21B151C7B2}"/>
    <cellStyle name="Normal 3 3 8 2 2 2" xfId="7225" xr:uid="{C93DE649-E11A-4EC1-924F-2BADC8831E64}"/>
    <cellStyle name="Normal 3 3 8 2 2 2 2" xfId="8966" xr:uid="{96BF019C-E967-40C8-8694-3803CAE7DE3B}"/>
    <cellStyle name="Normal 3 3 8 2 2 2 2 2" xfId="19018" xr:uid="{DF8CD2D8-C308-41FF-BB1D-28EDE2E727A5}"/>
    <cellStyle name="Normal 3 3 8 2 2 2 3" xfId="16471" xr:uid="{C738E75A-E0E0-4E9E-8BEA-11A0277AD928}"/>
    <cellStyle name="Normal 3 3 8 2 2 2 4" xfId="15161" xr:uid="{F022B576-0ABA-4E72-A34F-BAFE477E2D7F}"/>
    <cellStyle name="Normal 3 3 8 2 2 3" xfId="7226" xr:uid="{00A79E6B-49EB-42BE-93D3-110236988B1A}"/>
    <cellStyle name="Normal 3 3 8 2 2 3 2" xfId="9414" xr:uid="{769DF60B-1F59-487A-9056-CCA47857533A}"/>
    <cellStyle name="Normal 3 3 8 2 2 3 2 2" xfId="19466" xr:uid="{84EB3EE9-298B-4E79-BABC-FE7AA58501A9}"/>
    <cellStyle name="Normal 3 3 8 2 2 3 3" xfId="16917" xr:uid="{2D13A1F8-1FEC-44BF-8AD2-AB484AFAC7E1}"/>
    <cellStyle name="Normal 3 3 8 2 2 3 4" xfId="15740" xr:uid="{02D0C88B-9D61-4DC3-B1D9-D9F838774282}"/>
    <cellStyle name="Normal 3 3 8 2 2 4" xfId="7227" xr:uid="{F1A89B04-E08B-474D-B8EB-7D3E1852B350}"/>
    <cellStyle name="Normal 3 3 8 2 2 4 2" xfId="17518" xr:uid="{18A846FC-7CA9-4F34-BF01-FD1053C58252}"/>
    <cellStyle name="Normal 3 3 8 2 2 4 3" xfId="14187" xr:uid="{5B64D1AD-43F8-4E39-A148-2BC2F4F896DA}"/>
    <cellStyle name="Normal 3 3 8 2 2 5" xfId="7228" xr:uid="{F7828E52-71EC-43B6-81D4-09370AD57FC7}"/>
    <cellStyle name="Normal 3 3 8 2 2 5 2" xfId="18129" xr:uid="{BDFCC3E9-28D4-4641-BB19-02C8FF0E8603}"/>
    <cellStyle name="Normal 3 3 8 2 2 5 3" xfId="14324" xr:uid="{FC13044A-AB14-4CE9-B871-0AD870A40E86}"/>
    <cellStyle name="Normal 3 3 8 2 2 6" xfId="8538" xr:uid="{0C9F5E2E-E242-49FF-8A43-47AE1ABFE845}"/>
    <cellStyle name="Normal 3 3 8 2 2 6 2" xfId="18590" xr:uid="{4B78F1D4-C732-4C2F-B8F6-5C93D79BDAD0}"/>
    <cellStyle name="Normal 3 3 8 2 2 7" xfId="10004" xr:uid="{41DBD579-23B2-433C-B222-C067EEFE3944}"/>
    <cellStyle name="Normal 3 3 8 2 2 8" xfId="10616" xr:uid="{13601B2C-BB11-4FBC-B30D-CEBAF8949892}"/>
    <cellStyle name="Normal 3 3 8 2 2 9" xfId="15949" xr:uid="{C3A409CB-1CDF-4B2A-91B9-DA84A4126EC9}"/>
    <cellStyle name="Normal 3 3 8 2 3" xfId="4535" xr:uid="{9235F57D-66B2-4B18-8263-8BCA8C64FBEE}"/>
    <cellStyle name="Normal 3 3 8 2 3 2" xfId="7229" xr:uid="{2E9D2601-CAA7-4FB3-BDDC-3494A7F3AF57}"/>
    <cellStyle name="Normal 3 3 8 2 3 2 2" xfId="8967" xr:uid="{B1F6702A-B645-4CAF-ACB7-1F6E4C898089}"/>
    <cellStyle name="Normal 3 3 8 2 3 2 2 2" xfId="19019" xr:uid="{5AD62E95-B097-4B52-A07D-DFCC4874970A}"/>
    <cellStyle name="Normal 3 3 8 2 3 2 3" xfId="16472" xr:uid="{10E9851E-3DC0-4AB4-8207-C850C0F17061}"/>
    <cellStyle name="Normal 3 3 8 2 3 2 4" xfId="15160" xr:uid="{5F546163-4959-406C-94B5-C12BD157CD7C}"/>
    <cellStyle name="Normal 3 3 8 2 3 3" xfId="7230" xr:uid="{075BA4CA-061B-482E-81AF-E5F0B90DB945}"/>
    <cellStyle name="Normal 3 3 8 2 3 3 2" xfId="9415" xr:uid="{8BC289F4-9B71-4464-B8A7-28D43B8B97FE}"/>
    <cellStyle name="Normal 3 3 8 2 3 3 2 2" xfId="19467" xr:uid="{BDD2D71A-33CE-4E16-945F-C61C40A54AA9}"/>
    <cellStyle name="Normal 3 3 8 2 3 3 3" xfId="16918" xr:uid="{487AF79E-514C-450A-8E79-B5CA1C1C7FE2}"/>
    <cellStyle name="Normal 3 3 8 2 3 3 4" xfId="15739" xr:uid="{0EEA3894-5AAF-4414-A9A8-D8184C378B67}"/>
    <cellStyle name="Normal 3 3 8 2 3 4" xfId="7231" xr:uid="{56C47681-1FEA-4A0C-A45F-C0739B7DAF70}"/>
    <cellStyle name="Normal 3 3 8 2 3 4 2" xfId="17519" xr:uid="{9CFFF980-9758-48D9-9BD3-B5F5A6130296}"/>
    <cellStyle name="Normal 3 3 8 2 3 4 3" xfId="14678" xr:uid="{BA4E3EEC-6568-4584-AD56-285B3325D778}"/>
    <cellStyle name="Normal 3 3 8 2 3 5" xfId="7232" xr:uid="{319D1DD0-036D-48EA-9F3C-C6EE3B5FB008}"/>
    <cellStyle name="Normal 3 3 8 2 3 5 2" xfId="18130" xr:uid="{3E7EE751-4FF6-4C99-907E-A73446A6FE26}"/>
    <cellStyle name="Normal 3 3 8 2 3 5 3" xfId="14323" xr:uid="{42E9208E-0B3C-4487-9951-4D70B07989FA}"/>
    <cellStyle name="Normal 3 3 8 2 3 6" xfId="8539" xr:uid="{035869E9-3537-410B-B72B-253C34C3DE86}"/>
    <cellStyle name="Normal 3 3 8 2 3 6 2" xfId="18591" xr:uid="{03EC1DFC-269D-464A-B4FE-E0B472717016}"/>
    <cellStyle name="Normal 3 3 8 2 3 7" xfId="10005" xr:uid="{33EEF0BB-7CDF-4B39-9304-F70B36225786}"/>
    <cellStyle name="Normal 3 3 8 2 3 8" xfId="10617" xr:uid="{AE28B773-A838-40D3-BC7E-322CA1D9CCAA}"/>
    <cellStyle name="Normal 3 3 8 2 3 9" xfId="15948" xr:uid="{4D5FA6F6-D2D5-4E33-BA6B-1C7ECE452C18}"/>
    <cellStyle name="Normal 3 3 8 2 4" xfId="7233" xr:uid="{4DCAA96B-F673-4D4E-805A-1F0D42247284}"/>
    <cellStyle name="Normal 3 3 8 2 4 2" xfId="7234" xr:uid="{D989DADA-1838-45C2-8B09-487C1CB1FEE6}"/>
    <cellStyle name="Normal 3 3 8 2 4 2 2" xfId="17312" xr:uid="{F72F0A4A-1FEB-4C31-9D43-CA619D3F4796}"/>
    <cellStyle name="Normal 3 3 8 2 4 3" xfId="7235" xr:uid="{89DDF6B3-046D-4F4F-AB78-33F607B7D621}"/>
    <cellStyle name="Normal 3 3 8 2 4 3 2" xfId="17926" xr:uid="{3D4D4784-B81E-46A9-A1E7-D8270FC484DB}"/>
    <cellStyle name="Normal 3 3 8 2 4 4" xfId="8755" xr:uid="{E7A9C881-7915-4703-8363-77E9B1747427}"/>
    <cellStyle name="Normal 3 3 8 2 4 4 2" xfId="18807" xr:uid="{1291042D-9064-49E7-B99B-B2BEA00366C6}"/>
    <cellStyle name="Normal 3 3 8 2 4 5" xfId="9802" xr:uid="{DC23288C-B437-4809-BCA2-60D446EAD4EB}"/>
    <cellStyle name="Normal 3 3 8 2 4 6" xfId="10618" xr:uid="{F34EA6E5-9C5F-4DBE-9B75-45497AA3AF50}"/>
    <cellStyle name="Normal 3 3 8 2 4 7" xfId="15351" xr:uid="{A8249CC5-2C27-4AF5-A94C-C72330024220}"/>
    <cellStyle name="Normal 3 3 8 2 5" xfId="7236" xr:uid="{AEE25A3D-70B4-4F55-88F6-6FCB0E5784CC}"/>
    <cellStyle name="Normal 3 3 8 2 5 2" xfId="9203" xr:uid="{566D4ADD-26CC-4283-9E5D-34271D99CDE4}"/>
    <cellStyle name="Normal 3 3 8 2 5 2 2" xfId="19255" xr:uid="{BD764BD5-85AA-48C1-B13C-FD10003CF30F}"/>
    <cellStyle name="Normal 3 3 8 2 5 3" xfId="16706" xr:uid="{3F04F533-0E80-4C63-8EF3-13187AE30A78}"/>
    <cellStyle name="Normal 3 3 8 2 5 4" xfId="14956" xr:uid="{E8702342-598E-4BD7-B576-7F9BB7808E36}"/>
    <cellStyle name="Normal 3 3 8 2 6" xfId="7237" xr:uid="{0589652C-1BB0-4FE6-9815-7640226C261C}"/>
    <cellStyle name="Normal 3 3 8 2 6 2" xfId="17165" xr:uid="{ED2DBD92-69FE-48F4-AC41-365F4367778E}"/>
    <cellStyle name="Normal 3 3 8 2 6 3" xfId="15544" xr:uid="{52B8F794-1926-43E4-BD61-A604E5759D82}"/>
    <cellStyle name="Normal 3 3 8 2 7" xfId="7238" xr:uid="{0A984E12-5AC4-4080-A24D-50A713E57531}"/>
    <cellStyle name="Normal 3 3 8 2 7 2" xfId="17775" xr:uid="{AE071C06-B361-4D56-A6F8-29428B8E8F00}"/>
    <cellStyle name="Normal 3 3 8 2 7 3" xfId="14491" xr:uid="{474DAF4E-B34F-465C-B4E3-273EC05CD54C}"/>
    <cellStyle name="Normal 3 3 8 2 8" xfId="8327" xr:uid="{EC09867A-1183-4BE6-A872-7D20E1637BEB}"/>
    <cellStyle name="Normal 3 3 8 2 8 2" xfId="18379" xr:uid="{C116AC08-3D7A-476D-ADF4-A80BD4BA5061}"/>
    <cellStyle name="Normal 3 3 8 2 9" xfId="9656" xr:uid="{B80A8635-D601-49C9-BA16-6D7EDC9553CA}"/>
    <cellStyle name="Normal 3 3 8 3" xfId="4536" xr:uid="{10CA95FD-BFC9-40A2-BD5C-52E5703D065D}"/>
    <cellStyle name="Normal 3 3 8 3 2" xfId="7239" xr:uid="{7BCD4DBD-5C0B-4203-9673-9D7D748D6835}"/>
    <cellStyle name="Normal 3 3 8 3 2 2" xfId="8968" xr:uid="{9846D7B3-5C6F-4975-AB25-ABA823923CE2}"/>
    <cellStyle name="Normal 3 3 8 3 2 2 2" xfId="19020" xr:uid="{3C18EF11-2599-4B33-A2A8-80B9FEAD268E}"/>
    <cellStyle name="Normal 3 3 8 3 2 3" xfId="16473" xr:uid="{DAADCCA9-0DBA-48CD-8147-A9549A4EF90F}"/>
    <cellStyle name="Normal 3 3 8 3 2 4" xfId="15159" xr:uid="{4A6ED612-897E-492E-83F0-0F78B691F13D}"/>
    <cellStyle name="Normal 3 3 8 3 3" xfId="7240" xr:uid="{A81E4652-A6F7-434B-BF9C-606D1089893C}"/>
    <cellStyle name="Normal 3 3 8 3 3 2" xfId="9416" xr:uid="{617EF233-5C1C-4AFF-A14C-5CC372C0F490}"/>
    <cellStyle name="Normal 3 3 8 3 3 2 2" xfId="19468" xr:uid="{FCF42174-C89E-4E52-BD4D-9EAAA70B4E37}"/>
    <cellStyle name="Normal 3 3 8 3 3 3" xfId="16919" xr:uid="{F2239ED8-2D41-4E61-AEF5-718C13F62F09}"/>
    <cellStyle name="Normal 3 3 8 3 3 4" xfId="15738" xr:uid="{943F6D35-BB90-4E3E-B241-3CF5C03A8A6F}"/>
    <cellStyle name="Normal 3 3 8 3 4" xfId="7241" xr:uid="{8A6BBF20-E6A9-41EC-A6E7-5DC0D87CA113}"/>
    <cellStyle name="Normal 3 3 8 3 4 2" xfId="17520" xr:uid="{83F02380-8E94-474F-86FF-508084E253C4}"/>
    <cellStyle name="Normal 3 3 8 3 4 3" xfId="14677" xr:uid="{4ABC92C7-F9DE-43DE-A7E6-6DD243EE9FCB}"/>
    <cellStyle name="Normal 3 3 8 3 5" xfId="7242" xr:uid="{DDF3FF1A-9785-4A54-92AC-8C29076D9BE6}"/>
    <cellStyle name="Normal 3 3 8 3 5 2" xfId="18131" xr:uid="{97349797-AAFE-4BA4-BF1C-4B68F78E726F}"/>
    <cellStyle name="Normal 3 3 8 3 5 3" xfId="14322" xr:uid="{53E43BAF-8FEE-4524-9668-B34C70F1DEE7}"/>
    <cellStyle name="Normal 3 3 8 3 6" xfId="8540" xr:uid="{61F69D5A-7CA3-4BB7-96EA-1DB51A25C3C0}"/>
    <cellStyle name="Normal 3 3 8 3 6 2" xfId="18592" xr:uid="{BEAAB327-2B9D-48AC-B929-C9092738EFD9}"/>
    <cellStyle name="Normal 3 3 8 3 7" xfId="10006" xr:uid="{A9C23B9C-1F24-485C-B114-013A85264DDE}"/>
    <cellStyle name="Normal 3 3 8 3 8" xfId="10619" xr:uid="{9EB58ABD-A330-4288-AD24-BF740D1B3BD0}"/>
    <cellStyle name="Normal 3 3 8 3 9" xfId="14171" xr:uid="{D03CFE47-979B-4B35-A405-809709A9366C}"/>
    <cellStyle name="Normal 3 3 8 4" xfId="4537" xr:uid="{6D72846B-FF86-4D80-88E1-E6C6717BC63B}"/>
    <cellStyle name="Normal 3 3 8 4 2" xfId="7243" xr:uid="{DA04A650-12D4-4F94-AA75-AD0737E9C7CE}"/>
    <cellStyle name="Normal 3 3 8 4 2 2" xfId="8969" xr:uid="{F022EA32-3F8F-4EA4-80B1-8FB7494EC134}"/>
    <cellStyle name="Normal 3 3 8 4 2 2 2" xfId="19021" xr:uid="{B25D5DBD-A730-4064-8E20-B6C6BA672ED9}"/>
    <cellStyle name="Normal 3 3 8 4 2 3" xfId="16474" xr:uid="{DA48DD28-278D-480A-B9AB-EE888169A9AC}"/>
    <cellStyle name="Normal 3 3 8 4 2 4" xfId="15158" xr:uid="{98A68743-4235-49AC-83B7-83B357943D1C}"/>
    <cellStyle name="Normal 3 3 8 4 3" xfId="7244" xr:uid="{436C7FE9-2963-42FE-907C-14E36FA8C6A9}"/>
    <cellStyle name="Normal 3 3 8 4 3 2" xfId="9417" xr:uid="{485ABD0A-9A74-43ED-8A8D-510E8F5F4F80}"/>
    <cellStyle name="Normal 3 3 8 4 3 2 2" xfId="19469" xr:uid="{726286BD-11CD-452F-838E-AA1474D1DA7D}"/>
    <cellStyle name="Normal 3 3 8 4 3 3" xfId="16920" xr:uid="{7DB5D520-F257-4A3C-BBB5-2D5B69A2A900}"/>
    <cellStyle name="Normal 3 3 8 4 3 4" xfId="15737" xr:uid="{4CD7AA61-D6B2-4290-AECC-0F236C4A8F0B}"/>
    <cellStyle name="Normal 3 3 8 4 4" xfId="7245" xr:uid="{BD5A991D-87DB-4D7B-A297-D08E5FB1BAED}"/>
    <cellStyle name="Normal 3 3 8 4 4 2" xfId="17521" xr:uid="{7BF0CF28-D999-4D32-8B47-112B4A85E25F}"/>
    <cellStyle name="Normal 3 3 8 4 4 3" xfId="14676" xr:uid="{0B0A192D-4C08-4E52-8B76-2EA2AEBA4C8C}"/>
    <cellStyle name="Normal 3 3 8 4 5" xfId="7246" xr:uid="{3076AD66-4C69-41E3-8518-FA0222C7BBFB}"/>
    <cellStyle name="Normal 3 3 8 4 5 2" xfId="18132" xr:uid="{C1B7A120-0417-4143-9266-8E9360A300E1}"/>
    <cellStyle name="Normal 3 3 8 4 5 3" xfId="14069" xr:uid="{C5045933-73E6-4B78-BFF9-39280A32E9AF}"/>
    <cellStyle name="Normal 3 3 8 4 6" xfId="8541" xr:uid="{4D3A53E9-7ED8-4BE1-B0B9-6C9187CDE655}"/>
    <cellStyle name="Normal 3 3 8 4 6 2" xfId="18593" xr:uid="{CC919AEF-9C0C-45F8-81C7-38AAF4963448}"/>
    <cellStyle name="Normal 3 3 8 4 7" xfId="10007" xr:uid="{FD9E31B8-698D-4BF1-AA2B-61ECAFBC3FE3}"/>
    <cellStyle name="Normal 3 3 8 4 8" xfId="10620" xr:uid="{10C8DEFD-CC0D-4E12-8D84-8BA78C6F9460}"/>
    <cellStyle name="Normal 3 3 8 4 9" xfId="15947" xr:uid="{794F3FA3-22E5-454A-804F-3EDB20CBCBE4}"/>
    <cellStyle name="Normal 3 3 8 5" xfId="7247" xr:uid="{036972CD-FF19-4033-8CB3-08824FF9F3C8}"/>
    <cellStyle name="Normal 3 3 8 5 2" xfId="7248" xr:uid="{16E46F68-4260-4B6D-9D0B-49DB26B50264}"/>
    <cellStyle name="Normal 3 3 8 5 2 2" xfId="17311" xr:uid="{807B2B7C-D285-4F63-986D-CAA61BCACB2E}"/>
    <cellStyle name="Normal 3 3 8 5 3" xfId="7249" xr:uid="{3D0FF830-D691-4EF0-81FD-A1C56A3CD84D}"/>
    <cellStyle name="Normal 3 3 8 5 3 2" xfId="17925" xr:uid="{37ED3375-2501-4B7E-A3B1-B82B52EE4305}"/>
    <cellStyle name="Normal 3 3 8 5 4" xfId="8754" xr:uid="{13DCFB11-5BE0-4CF1-8808-D2A3504EDB32}"/>
    <cellStyle name="Normal 3 3 8 5 4 2" xfId="18806" xr:uid="{DBC74CF9-4CF9-46AC-8968-2A86498521D5}"/>
    <cellStyle name="Normal 3 3 8 5 5" xfId="9801" xr:uid="{B85524BC-5DC0-433D-9B89-CDAC1CF73BE3}"/>
    <cellStyle name="Normal 3 3 8 5 6" xfId="10621" xr:uid="{D24F8AEC-4127-4BEF-BFA4-2C2339CB545E}"/>
    <cellStyle name="Normal 3 3 8 5 7" xfId="15352" xr:uid="{C1052603-6B96-4349-9DF6-8963ED82D9FC}"/>
    <cellStyle name="Normal 3 3 8 6" xfId="7250" xr:uid="{FDD63507-5158-427F-B786-08AE6CAEABFD}"/>
    <cellStyle name="Normal 3 3 8 6 2" xfId="9202" xr:uid="{BA78706D-EF11-41EC-A45E-4BFFF144823F}"/>
    <cellStyle name="Normal 3 3 8 6 2 2" xfId="19254" xr:uid="{0ED2F089-FF13-496C-AE24-4D8ED108C7D9}"/>
    <cellStyle name="Normal 3 3 8 6 3" xfId="16705" xr:uid="{A52C79D3-E6E6-458E-A13D-63498B3CC63C}"/>
    <cellStyle name="Normal 3 3 8 6 4" xfId="14957" xr:uid="{B87DF933-530B-4BDC-A192-613598B4AB27}"/>
    <cellStyle name="Normal 3 3 8 7" xfId="7251" xr:uid="{F2E8B690-B252-47FB-8C73-A22AD0E52E82}"/>
    <cellStyle name="Normal 3 3 8 7 2" xfId="17164" xr:uid="{B96722AE-12FB-4D6F-A49B-A82D09C41C50}"/>
    <cellStyle name="Normal 3 3 8 7 3" xfId="15545" xr:uid="{79DA2E65-9B16-4538-BC92-76281BC29AE8}"/>
    <cellStyle name="Normal 3 3 8 8" xfId="7252" xr:uid="{047A3936-1CCE-4931-BAC8-8BE8AEACA715}"/>
    <cellStyle name="Normal 3 3 8 8 2" xfId="17774" xr:uid="{3574D003-08DE-426C-B830-9E7B059E80A7}"/>
    <cellStyle name="Normal 3 3 8 8 3" xfId="14492" xr:uid="{64713ADC-B549-445F-9A9E-2D5D0D907953}"/>
    <cellStyle name="Normal 3 3 8 9" xfId="8326" xr:uid="{28A6BF19-0444-479B-A663-B30D6C6C29F1}"/>
    <cellStyle name="Normal 3 3 8 9 2" xfId="18378" xr:uid="{F45D0FC9-1FB5-49CC-9FA9-2B48653E416A}"/>
    <cellStyle name="Normal 3 3 9" xfId="2840" xr:uid="{5C69A1C2-13A0-4F12-95E7-093ABD5444DA}"/>
    <cellStyle name="Normal 3 3 9 10" xfId="10311" xr:uid="{878731FA-DFAD-4154-989C-17BF47B15E22}"/>
    <cellStyle name="Normal 3 3 9 11" xfId="11790" xr:uid="{EAE556AD-BC0E-447F-B7ED-0D6FFA8ACB47}"/>
    <cellStyle name="Normal 3 3 9 11 2" xfId="16124" xr:uid="{B541A28A-B57D-456C-90F1-0912C605C3CD}"/>
    <cellStyle name="Normal 3 3 9 11 3" xfId="20612" xr:uid="{267FCD55-8576-4F88-9FDF-E98C8B789635}"/>
    <cellStyle name="Normal 3 3 9 2" xfId="4538" xr:uid="{8FFA26F1-AFB9-48FD-B175-2DCC541C90C3}"/>
    <cellStyle name="Normal 3 3 9 2 2" xfId="7253" xr:uid="{70B78E53-C39B-4487-853A-ADA87F32F816}"/>
    <cellStyle name="Normal 3 3 9 2 2 2" xfId="8970" xr:uid="{D4378B1C-5B2F-4E0B-A256-22F5468F3443}"/>
    <cellStyle name="Normal 3 3 9 2 2 2 2" xfId="19022" xr:uid="{E6A09C6E-A4E7-447C-B3A2-1A72037C78C1}"/>
    <cellStyle name="Normal 3 3 9 2 2 3" xfId="16475" xr:uid="{6A217F49-3EDB-46BB-8FC1-F927F604DA6B}"/>
    <cellStyle name="Normal 3 3 9 2 2 4" xfId="15157" xr:uid="{45C77BDA-9315-4464-8034-9320EBADEF23}"/>
    <cellStyle name="Normal 3 3 9 2 3" xfId="7254" xr:uid="{46657DCB-011C-4BC7-AF2D-A8EFA19FDC10}"/>
    <cellStyle name="Normal 3 3 9 2 3 2" xfId="9418" xr:uid="{3AB4B149-71BF-4D3E-978F-3691CB40ABFD}"/>
    <cellStyle name="Normal 3 3 9 2 3 2 2" xfId="19470" xr:uid="{0D91E95B-B832-4302-BD8C-4FF1C7E488E2}"/>
    <cellStyle name="Normal 3 3 9 2 3 3" xfId="16921" xr:uid="{896980DA-E8F3-44DB-A3FB-5AF64F5549A6}"/>
    <cellStyle name="Normal 3 3 9 2 3 4" xfId="14126" xr:uid="{35442592-9D43-46D8-88AF-37CDD2010B75}"/>
    <cellStyle name="Normal 3 3 9 2 4" xfId="7255" xr:uid="{AA885D6C-3D88-40EA-B4E9-CDF5D75D0D1E}"/>
    <cellStyle name="Normal 3 3 9 2 4 2" xfId="17522" xr:uid="{FB37282C-C9A7-4F65-ADF0-7F69E0C9B493}"/>
    <cellStyle name="Normal 3 3 9 2 4 3" xfId="14675" xr:uid="{E19E734E-C7C3-4AB2-BB31-D524BE81CDB7}"/>
    <cellStyle name="Normal 3 3 9 2 5" xfId="7256" xr:uid="{30C83975-0B84-4B1C-B6A4-25672EB106DC}"/>
    <cellStyle name="Normal 3 3 9 2 5 2" xfId="18133" xr:uid="{68D1B1F9-E1F2-44B1-8808-478AF3E2AA00}"/>
    <cellStyle name="Normal 3 3 9 2 5 3" xfId="14068" xr:uid="{02FA3C35-5426-427A-A542-2B7A177576E2}"/>
    <cellStyle name="Normal 3 3 9 2 6" xfId="8542" xr:uid="{EDF2855C-D6FC-4014-B708-04304E890935}"/>
    <cellStyle name="Normal 3 3 9 2 6 2" xfId="18594" xr:uid="{94CA0A2E-D9F5-44A5-A612-F3842C96B5C6}"/>
    <cellStyle name="Normal 3 3 9 2 7" xfId="10008" xr:uid="{8E1EFB1A-AE58-4530-B87F-6F54E51A1709}"/>
    <cellStyle name="Normal 3 3 9 2 8" xfId="10622" xr:uid="{98BA7ACC-1694-4B04-BD1D-4C543B96CA56}"/>
    <cellStyle name="Normal 3 3 9 2 9" xfId="15946" xr:uid="{7604556A-33FF-4940-A8B9-A43975696FF0}"/>
    <cellStyle name="Normal 3 3 9 3" xfId="4539" xr:uid="{09B5640C-7434-441B-A37B-8D35BC432344}"/>
    <cellStyle name="Normal 3 3 9 3 2" xfId="7257" xr:uid="{C43CC533-8FB7-47C2-8B5E-3EDD02519062}"/>
    <cellStyle name="Normal 3 3 9 3 2 2" xfId="8971" xr:uid="{8CBAD7D4-2B19-4A2E-B15F-6D97D14EF4A3}"/>
    <cellStyle name="Normal 3 3 9 3 2 2 2" xfId="19023" xr:uid="{D2F95B53-3552-45DD-BC55-ED021B64B5F0}"/>
    <cellStyle name="Normal 3 3 9 3 2 3" xfId="16476" xr:uid="{3056DDC5-226C-410C-9B9C-ABD5D5DBEBD3}"/>
    <cellStyle name="Normal 3 3 9 3 2 4" xfId="15156" xr:uid="{DFDA2FF4-127E-4668-871D-A20A93D507BA}"/>
    <cellStyle name="Normal 3 3 9 3 3" xfId="7258" xr:uid="{95A423A6-A965-4E35-A93F-914634D7F505}"/>
    <cellStyle name="Normal 3 3 9 3 3 2" xfId="9419" xr:uid="{B26647E2-A2B2-4B12-90C8-6B6DA023B4E0}"/>
    <cellStyle name="Normal 3 3 9 3 3 2 2" xfId="19471" xr:uid="{380D4132-44CD-4C62-BC9B-2845A75D2A85}"/>
    <cellStyle name="Normal 3 3 9 3 3 3" xfId="16922" xr:uid="{63596DBC-FCF3-47C9-AB2C-45556B21B24B}"/>
    <cellStyle name="Normal 3 3 9 3 3 4" xfId="16150" xr:uid="{4A2E4F3A-84D5-40C9-80C8-CE515118CBD3}"/>
    <cellStyle name="Normal 3 3 9 3 4" xfId="7259" xr:uid="{270FAE0B-9687-46D6-B0B1-065F9BCC5F8C}"/>
    <cellStyle name="Normal 3 3 9 3 4 2" xfId="17523" xr:uid="{CFA60FF2-6C8A-4833-99A3-5AC63510E8E0}"/>
    <cellStyle name="Normal 3 3 9 3 4 3" xfId="14674" xr:uid="{6A8CF8E3-0716-4983-B6B4-A716B51259ED}"/>
    <cellStyle name="Normal 3 3 9 3 5" xfId="7260" xr:uid="{A40D86FD-C5EA-434A-A2C6-5D282184F628}"/>
    <cellStyle name="Normal 3 3 9 3 5 2" xfId="18134" xr:uid="{15628C27-4A5E-4F89-A100-B59D15ECE15D}"/>
    <cellStyle name="Normal 3 3 9 3 5 3" xfId="14321" xr:uid="{A131D4C6-C6D0-4DF4-B0CB-5514A875A40A}"/>
    <cellStyle name="Normal 3 3 9 3 6" xfId="8543" xr:uid="{0659A1ED-8472-44FE-903B-2608FB40BBF2}"/>
    <cellStyle name="Normal 3 3 9 3 6 2" xfId="18595" xr:uid="{A8ED9A02-F871-487B-9053-D39AC75E91B8}"/>
    <cellStyle name="Normal 3 3 9 3 7" xfId="10009" xr:uid="{8AA8FF8A-B7F5-419B-8610-58546B0CF246}"/>
    <cellStyle name="Normal 3 3 9 3 8" xfId="10623" xr:uid="{C5DA0F91-F19B-4603-A4AC-59C2E6F6B719}"/>
    <cellStyle name="Normal 3 3 9 3 9" xfId="15945" xr:uid="{D228AB7D-751F-4909-AAA8-884A278A3747}"/>
    <cellStyle name="Normal 3 3 9 4" xfId="7261" xr:uid="{5B0B1D4B-3253-4228-AB56-C99C0CBCF8FC}"/>
    <cellStyle name="Normal 3 3 9 4 2" xfId="7262" xr:uid="{C8EAA884-F438-4953-AE4F-2BB25EAB4023}"/>
    <cellStyle name="Normal 3 3 9 4 2 2" xfId="17313" xr:uid="{6F971722-BB3B-4607-86B4-C67C04BF303E}"/>
    <cellStyle name="Normal 3 3 9 4 3" xfId="7263" xr:uid="{5D6F7A13-99C4-41BC-A368-2AA1C54E65BF}"/>
    <cellStyle name="Normal 3 3 9 4 3 2" xfId="17927" xr:uid="{8E7440EC-8D0D-4187-81D9-F2130123D875}"/>
    <cellStyle name="Normal 3 3 9 4 4" xfId="8756" xr:uid="{007F8EF1-32F9-4AC9-9801-49AD8CA2B1C3}"/>
    <cellStyle name="Normal 3 3 9 4 4 2" xfId="18808" xr:uid="{31F68CEA-81E2-4B46-BD52-490963455A24}"/>
    <cellStyle name="Normal 3 3 9 4 5" xfId="9803" xr:uid="{67E2137F-9058-481D-8EAE-3E7247648645}"/>
    <cellStyle name="Normal 3 3 9 4 6" xfId="10624" xr:uid="{20AC4B5E-EEC6-4B7C-BB84-6888470706EB}"/>
    <cellStyle name="Normal 3 3 9 4 7" xfId="15350" xr:uid="{8A2F559D-D7E5-48C6-8446-77F4E3F1BD7A}"/>
    <cellStyle name="Normal 3 3 9 5" xfId="7264" xr:uid="{1E9EF2F3-9233-466C-9893-2042FE375BDF}"/>
    <cellStyle name="Normal 3 3 9 5 2" xfId="9204" xr:uid="{ECCF778A-F2E0-420D-811D-9C560C8D32FD}"/>
    <cellStyle name="Normal 3 3 9 5 2 2" xfId="19256" xr:uid="{28A893AD-476A-4AF6-8E2A-B182D5DD2134}"/>
    <cellStyle name="Normal 3 3 9 5 3" xfId="16707" xr:uid="{44D26E02-B6C1-416A-A339-647FFEDB8822}"/>
    <cellStyle name="Normal 3 3 9 5 4" xfId="14955" xr:uid="{F7DF2ED5-7754-48D2-989E-48AC92377E64}"/>
    <cellStyle name="Normal 3 3 9 6" xfId="7265" xr:uid="{EC6ACA4D-3CEB-45A0-8A14-DC84AADEBFD0}"/>
    <cellStyle name="Normal 3 3 9 6 2" xfId="17166" xr:uid="{9DE7497C-9D90-4CE7-8CB6-848F27DDEB9E}"/>
    <cellStyle name="Normal 3 3 9 6 3" xfId="15543" xr:uid="{F68231BE-A0A1-4D1F-970A-EDAA042FE662}"/>
    <cellStyle name="Normal 3 3 9 7" xfId="7266" xr:uid="{19D80642-EEAC-45E8-AC01-ACE22378C75E}"/>
    <cellStyle name="Normal 3 3 9 7 2" xfId="17776" xr:uid="{E6B0861D-BD79-4C09-9ADA-9D05D5C64CA2}"/>
    <cellStyle name="Normal 3 3 9 7 3" xfId="14490" xr:uid="{E6CC6DB5-E1A8-479C-BD52-FBF314288A68}"/>
    <cellStyle name="Normal 3 3 9 8" xfId="8328" xr:uid="{3929F7BA-DD5B-42E1-9923-10111BC284A5}"/>
    <cellStyle name="Normal 3 3 9 8 2" xfId="18380" xr:uid="{BE61D44F-D6C1-444C-9702-91A589C5E86B}"/>
    <cellStyle name="Normal 3 3 9 9" xfId="9657" xr:uid="{7B9D5A55-03E6-48B0-ABDE-67981FF80C74}"/>
    <cellStyle name="Normal 3 30" xfId="12760" xr:uid="{661ED59B-1B08-4B16-968C-8B372F15A377}"/>
    <cellStyle name="Normal 3 31" xfId="11930" xr:uid="{BAA240DA-334A-4CBD-8B0A-9A22EDDE314E}"/>
    <cellStyle name="Normal 3 32" xfId="11055" xr:uid="{15FF65C1-F1F6-4F62-8483-1FFEB55D3820}"/>
    <cellStyle name="Normal 3 33" xfId="11791" xr:uid="{90EF0D09-8195-4E3E-8895-345B08FD7506}"/>
    <cellStyle name="Normal 3 34" xfId="11317" xr:uid="{49871A78-B220-4ED2-91AC-7E66796F10D7}"/>
    <cellStyle name="Normal 3 35" xfId="11410" xr:uid="{32C3B626-93BC-4D8A-B65A-4260AA451B54}"/>
    <cellStyle name="Normal 3 36" xfId="11792" xr:uid="{1B6812B7-3357-4557-83A7-0E2EE161DA85}"/>
    <cellStyle name="Normal 3 37" xfId="12835" xr:uid="{165998A9-CE46-4132-BBF0-96E8B0E45AD6}"/>
    <cellStyle name="Normal 3 38" xfId="11246" xr:uid="{F64B2354-CF99-434C-B370-B8180AC80F17}"/>
    <cellStyle name="Normal 3 39" xfId="13245" xr:uid="{317CC8C2-1E48-4035-95FE-772C00A6E92E}"/>
    <cellStyle name="Normal 3 4" xfId="64" xr:uid="{8F6219A7-83AD-4E57-A44A-5EB56EF986FD}"/>
    <cellStyle name="Normal 3 4 10" xfId="4540" xr:uid="{6C120856-AEFC-4EE9-8A35-A274E704FD9C}"/>
    <cellStyle name="Normal 3 4 10 2" xfId="7267" xr:uid="{A411D947-974B-4602-B43C-4D5991387F29}"/>
    <cellStyle name="Normal 3 4 10 2 2" xfId="8972" xr:uid="{D78CB459-422E-49E0-A7E2-D6999F796D5A}"/>
    <cellStyle name="Normal 3 4 10 2 2 2" xfId="19024" xr:uid="{CF7E28C4-6668-4946-A205-9F87C8C6E6D8}"/>
    <cellStyle name="Normal 3 4 10 2 3" xfId="16477" xr:uid="{DF97879F-CDEE-413D-BA42-BF233916DE25}"/>
    <cellStyle name="Normal 3 4 10 2 4" xfId="15155" xr:uid="{EE4DDC10-631C-423D-A86A-6B8A21EB4B85}"/>
    <cellStyle name="Normal 3 4 10 3" xfId="7268" xr:uid="{D8850E5A-41F2-4BE2-98D9-4D39E0833666}"/>
    <cellStyle name="Normal 3 4 10 3 2" xfId="9420" xr:uid="{8D957C7F-0F5E-4089-963D-B70F675FD082}"/>
    <cellStyle name="Normal 3 4 10 3 2 2" xfId="19472" xr:uid="{BDBA3824-4C70-4CC6-AF48-2C80371F6248}"/>
    <cellStyle name="Normal 3 4 10 3 3" xfId="16923" xr:uid="{6895B52B-E91E-4AA2-A2A0-D809C75F3425}"/>
    <cellStyle name="Normal 3 4 10 3 4" xfId="15736" xr:uid="{A1A660C5-4E8B-4E15-854B-24616B0A0DF5}"/>
    <cellStyle name="Normal 3 4 10 4" xfId="7269" xr:uid="{DBF661A5-D393-4B8B-8BEE-A116E19F66EF}"/>
    <cellStyle name="Normal 3 4 10 4 2" xfId="17524" xr:uid="{44573DB0-525A-47D4-B41D-15226024C6F6}"/>
    <cellStyle name="Normal 3 4 10 4 3" xfId="14673" xr:uid="{E6F991DD-87F1-4F30-8921-A12658DF7946}"/>
    <cellStyle name="Normal 3 4 10 5" xfId="7270" xr:uid="{10A8AEEF-EDB9-4AC4-8E22-043BC1D00F5C}"/>
    <cellStyle name="Normal 3 4 10 5 2" xfId="18135" xr:uid="{F6160050-F67A-4522-AF78-A9D36DB59EB3}"/>
    <cellStyle name="Normal 3 4 10 5 3" xfId="14320" xr:uid="{DB8DC585-E0EC-4FE7-8713-F6D4797B0CC3}"/>
    <cellStyle name="Normal 3 4 10 6" xfId="8544" xr:uid="{699896C6-9B18-423D-8AF4-B841DB78856C}"/>
    <cellStyle name="Normal 3 4 10 6 2" xfId="18596" xr:uid="{4FED227D-D437-48E9-A35A-0B916F7D6217}"/>
    <cellStyle name="Normal 3 4 10 7" xfId="10010" xr:uid="{989FEF1A-933B-4BDE-9271-1E42E823F5FF}"/>
    <cellStyle name="Normal 3 4 10 8" xfId="10625" xr:uid="{DD94CC3E-5134-4237-AB92-FDD3459D4D34}"/>
    <cellStyle name="Normal 3 4 10 9" xfId="11321" xr:uid="{6C6533C9-3F62-40C0-8853-A9BBAA9ED136}"/>
    <cellStyle name="Normal 3 4 10 9 2" xfId="15944" xr:uid="{09C0591A-02D5-42D1-8424-557476C67CDD}"/>
    <cellStyle name="Normal 3 4 10 9 3" xfId="20543" xr:uid="{744FAC4B-1EAD-47D7-8F01-285766967A27}"/>
    <cellStyle name="Normal 3 4 11" xfId="4541" xr:uid="{6453826B-DCBC-4ECE-8769-9EAEE27C18DD}"/>
    <cellStyle name="Normal 3 4 11 2" xfId="7271" xr:uid="{1A39CDB4-39BC-4267-A8A1-B768286B6113}"/>
    <cellStyle name="Normal 3 4 11 2 2" xfId="8973" xr:uid="{72D880F0-4A49-4DC9-8761-D180C4A91EAD}"/>
    <cellStyle name="Normal 3 4 11 2 2 2" xfId="19025" xr:uid="{0CCAE269-3423-4915-8F3B-E01B15861A02}"/>
    <cellStyle name="Normal 3 4 11 2 3" xfId="16478" xr:uid="{82598705-A944-4C0C-B9E2-03FB7B6C6B0E}"/>
    <cellStyle name="Normal 3 4 11 2 4" xfId="15154" xr:uid="{7D863F3E-4575-4492-A886-9C9FD368CA18}"/>
    <cellStyle name="Normal 3 4 11 3" xfId="7272" xr:uid="{28738F73-7F4D-468B-B2F3-BABC9CA96504}"/>
    <cellStyle name="Normal 3 4 11 3 2" xfId="9421" xr:uid="{7058356E-5A6C-40BC-BD27-21E214F38CFA}"/>
    <cellStyle name="Normal 3 4 11 3 2 2" xfId="19473" xr:uid="{5971B36A-02AE-4DC1-A4D2-CD7F10BD55C8}"/>
    <cellStyle name="Normal 3 4 11 3 3" xfId="16924" xr:uid="{6FBCD410-EBA4-4242-A216-CAB868EC1681}"/>
    <cellStyle name="Normal 3 4 11 3 4" xfId="15735" xr:uid="{DCFAC6A0-38EA-4A49-A242-4AC6FEBD31EA}"/>
    <cellStyle name="Normal 3 4 11 4" xfId="7273" xr:uid="{7146AE31-FF9C-49D8-98F6-46547D39F8D4}"/>
    <cellStyle name="Normal 3 4 11 4 2" xfId="17525" xr:uid="{5C6D4959-330F-4341-8762-5DF531A0C456}"/>
    <cellStyle name="Normal 3 4 11 4 3" xfId="14672" xr:uid="{516BC4C6-EDC0-47AC-9F35-EB6FC3D537F8}"/>
    <cellStyle name="Normal 3 4 11 5" xfId="7274" xr:uid="{4E116DAC-0324-4299-8204-267A6562CD8E}"/>
    <cellStyle name="Normal 3 4 11 5 2" xfId="18136" xr:uid="{675D01D3-2DF8-4F8C-B103-699CA1D35EB1}"/>
    <cellStyle name="Normal 3 4 11 5 3" xfId="14319" xr:uid="{9A8C3C48-B3EB-4A84-804B-683AE80113AA}"/>
    <cellStyle name="Normal 3 4 11 6" xfId="8545" xr:uid="{FB2D7D8F-345B-4DFE-9437-545BF2840942}"/>
    <cellStyle name="Normal 3 4 11 6 2" xfId="18597" xr:uid="{196F1125-BF06-4E9D-8756-15F63F64E985}"/>
    <cellStyle name="Normal 3 4 11 7" xfId="10011" xr:uid="{96AF676E-58E1-49F0-AB6F-45C6A8130650}"/>
    <cellStyle name="Normal 3 4 11 8" xfId="10626" xr:uid="{096BC0A6-F4C0-4D4F-AA7E-DA9FA5DE6F24}"/>
    <cellStyle name="Normal 3 4 11 9" xfId="11970" xr:uid="{FCD0F8B3-6D33-4AEE-B51F-F6A74F96C7BB}"/>
    <cellStyle name="Normal 3 4 11 9 2" xfId="15943" xr:uid="{EE4D0FE6-D7A6-4A2D-8A89-45DF3BA50297}"/>
    <cellStyle name="Normal 3 4 11 9 3" xfId="20639" xr:uid="{FB37FF71-6D2A-4EBC-918E-03299B1FA7F9}"/>
    <cellStyle name="Normal 3 4 12" xfId="2841" xr:uid="{F734C59D-3C38-4DA5-86B6-D685936BA05B}"/>
    <cellStyle name="Normal 3 4 12 2" xfId="7275" xr:uid="{0B01EA1D-E8F4-48F3-B530-A505A11D2C50}"/>
    <cellStyle name="Normal 3 4 12 2 2" xfId="9205" xr:uid="{5D0E0DDC-B706-42B3-BD5C-D1A538DF540D}"/>
    <cellStyle name="Normal 3 4 12 2 2 2" xfId="19257" xr:uid="{17C7922C-E30F-4743-AFBA-ADF0A9FD0A90}"/>
    <cellStyle name="Normal 3 4 12 2 3" xfId="16708" xr:uid="{D060C8C7-D201-492D-A3AF-F6BB615C1D67}"/>
    <cellStyle name="Normal 3 4 12 2 4" xfId="14954" xr:uid="{40CB70A9-1299-49B4-993F-EC4A7B703D34}"/>
    <cellStyle name="Normal 3 4 12 3" xfId="7276" xr:uid="{E79B38E2-0649-48C4-A840-19C3BE8E8186}"/>
    <cellStyle name="Normal 3 4 12 3 2" xfId="17314" xr:uid="{815DFA86-9F11-4765-8029-BE3D54A291B2}"/>
    <cellStyle name="Normal 3 4 12 3 3" xfId="14795" xr:uid="{53C184B9-25AA-4C0A-A3F4-C79AB0D35298}"/>
    <cellStyle name="Normal 3 4 12 4" xfId="7277" xr:uid="{1ACC0DFC-FF40-4253-BDFE-123C5B2F1E16}"/>
    <cellStyle name="Normal 3 4 12 4 2" xfId="17928" xr:uid="{248C872D-A7D1-43C3-8E54-430D7166D788}"/>
    <cellStyle name="Normal 3 4 12 4 3" xfId="14429" xr:uid="{B561DAE2-B5E9-4568-87DD-9D8C64409024}"/>
    <cellStyle name="Normal 3 4 12 5" xfId="8757" xr:uid="{ADC63A5A-9E65-4006-98AC-7E97FAA9F5C3}"/>
    <cellStyle name="Normal 3 4 12 5 2" xfId="18809" xr:uid="{D9066214-9860-4865-8D32-6E7351E5F298}"/>
    <cellStyle name="Normal 3 4 12 6" xfId="9804" xr:uid="{84BA3468-231E-44AE-923C-B5AEF10C85D8}"/>
    <cellStyle name="Normal 3 4 12 7" xfId="10627" xr:uid="{12F0528E-5936-455F-9A0E-C8A73A8BCB99}"/>
    <cellStyle name="Normal 3 4 12 8" xfId="11115" xr:uid="{D921786C-387C-4FE5-B74B-421D087D7638}"/>
    <cellStyle name="Normal 3 4 12 8 2" xfId="15349" xr:uid="{F325BF72-C36F-41B8-8FAF-0FBE9D681CCB}"/>
    <cellStyle name="Normal 3 4 12 8 3" xfId="20518" xr:uid="{AC666D99-384C-4381-A413-B149B537F711}"/>
    <cellStyle name="Normal 3 4 13" xfId="6072" xr:uid="{449E2D26-FC95-43CF-81E0-89B2F09DC4DC}"/>
    <cellStyle name="Normal 3 4 13 2" xfId="11793" xr:uid="{55B48666-1484-4406-A017-C305C7865119}"/>
    <cellStyle name="Normal 3 4 13 2 2" xfId="19639" xr:uid="{B73C77BC-E952-45C7-97D3-EFADCF394321}"/>
    <cellStyle name="Normal 3 4 13 2 3" xfId="20613" xr:uid="{9509D735-65E9-4C8E-8A5A-68A93C239564}"/>
    <cellStyle name="Normal 3 4 14" xfId="153" xr:uid="{13AB0A37-9B0E-4D40-9538-27D1FC624A2B}"/>
    <cellStyle name="Normal 3 4 14 2" xfId="9125" xr:uid="{38B68B33-E500-4DC8-9ECF-C8C932A19510}"/>
    <cellStyle name="Normal 3 4 14 2 2" xfId="19177" xr:uid="{1D820EE1-8ED7-44D4-A451-81B3F9BB51F5}"/>
    <cellStyle name="Normal 3 4 14 2 3" xfId="16261" xr:uid="{E3A879FA-3E7C-45C1-9839-434387204C02}"/>
    <cellStyle name="Normal 3 4 14 3" xfId="11411" xr:uid="{41522CCE-C4C7-4804-9752-8DD190919801}"/>
    <cellStyle name="Normal 3 4 14 3 2" xfId="16628" xr:uid="{C3DAB46D-3732-434A-BC05-99E56A1EC3B6}"/>
    <cellStyle name="Normal 3 4 14 3 3" xfId="15452" xr:uid="{5AD7F6B3-CB81-4D7F-89B4-A14BA8BF9241}"/>
    <cellStyle name="Normal 3 4 14 3 4" xfId="20567" xr:uid="{5D26A264-D4A3-46CD-AFFA-E681B946768A}"/>
    <cellStyle name="Normal 3 4 14 4" xfId="15018" xr:uid="{D6DFAC32-0492-4ABF-AADE-63E8CD8EC40F}"/>
    <cellStyle name="Normal 3 4 15" xfId="7278" xr:uid="{BA7BE8F8-92F2-4BD8-B838-E11C3FB9060C}"/>
    <cellStyle name="Normal 3 4 15 2" xfId="11026" xr:uid="{727405AE-A286-4BA4-89D1-3F6C8E071888}"/>
    <cellStyle name="Normal 3 4 16" xfId="7279" xr:uid="{CF8B02AB-348A-467E-A24B-32A21C4F9344}"/>
    <cellStyle name="Normal 3 4 16 2" xfId="12815" xr:uid="{18028625-C0EB-4293-BF10-4A8ED8171163}"/>
    <cellStyle name="Normal 3 4 16 2 2" xfId="17167" xr:uid="{AC49C78C-14FC-4040-AA80-ED5788874DC1}"/>
    <cellStyle name="Normal 3 4 16 2 3" xfId="20729" xr:uid="{D920A782-EBE6-4750-83C1-748FDAD3A25E}"/>
    <cellStyle name="Normal 3 4 17" xfId="7280" xr:uid="{50723740-8881-4B03-826E-7EB2799A1D76}"/>
    <cellStyle name="Normal 3 4 17 2" xfId="11794" xr:uid="{688B45BC-57E8-464A-8A6D-7C1D374D4A97}"/>
    <cellStyle name="Normal 3 4 17 2 2" xfId="17777" xr:uid="{4516744B-CA5A-4034-AE80-4EDA2B8F2888}"/>
    <cellStyle name="Normal 3 4 17 2 3" xfId="20614" xr:uid="{BF327333-2DC8-4360-AA9B-93C428B5D370}"/>
    <cellStyle name="Normal 3 4 18" xfId="8329" xr:uid="{39F397D4-F9F2-4E21-AB83-4209213B87CE}"/>
    <cellStyle name="Normal 3 4 18 2" xfId="13643" xr:uid="{45AB1169-C854-48D0-98B2-3A41263E250B}"/>
    <cellStyle name="Normal 3 4 18 2 2" xfId="18381" xr:uid="{F5AE8B2A-5D0F-43A4-94DF-9324C1D7FBAB}"/>
    <cellStyle name="Normal 3 4 18 2 3" xfId="20806" xr:uid="{BE28223F-ACD4-4CF1-B7A0-415A5556B2B1}"/>
    <cellStyle name="Normal 3 4 19" xfId="9658" xr:uid="{70064E92-C64F-463E-8F26-972FC6C9BBA2}"/>
    <cellStyle name="Normal 3 4 19 2" xfId="11370" xr:uid="{090175FB-27DF-4B8F-9582-36C958B5BE87}"/>
    <cellStyle name="Normal 3 4 2" xfId="2842" xr:uid="{5FCB39AB-DCF7-4229-8823-D03949DD545A}"/>
    <cellStyle name="Normal 3 4 2 10" xfId="9659" xr:uid="{4A7089FC-91AC-4F86-869E-07F8665946C1}"/>
    <cellStyle name="Normal 3 4 2 11" xfId="10313" xr:uid="{AA091093-2922-4042-A77E-CBB9FF9C62EC}"/>
    <cellStyle name="Normal 3 4 2 12" xfId="11208" xr:uid="{9663A39C-547E-4C40-A3F7-34E009021B0C}"/>
    <cellStyle name="Normal 3 4 2 12 2" xfId="15437" xr:uid="{A4C559FC-D0A3-4860-8287-7254DF3E9CC7}"/>
    <cellStyle name="Normal 3 4 2 12 3" xfId="20521" xr:uid="{7F1A92DB-B3EE-4ACE-A158-4BFE001AF3CC}"/>
    <cellStyle name="Normal 3 4 2 2" xfId="2843" xr:uid="{151CECED-BBCC-4856-B751-92063BDD4470}"/>
    <cellStyle name="Normal 3 4 2 2 10" xfId="10314" xr:uid="{5E5730A7-D803-46D9-9A65-C68B05A352A1}"/>
    <cellStyle name="Normal 3 4 2 2 11" xfId="16122" xr:uid="{4D7BF837-5274-486B-AF77-689D40E6A037}"/>
    <cellStyle name="Normal 3 4 2 2 2" xfId="4542" xr:uid="{9827D237-C8E6-4277-9F6A-077DB8CDDF35}"/>
    <cellStyle name="Normal 3 4 2 2 2 2" xfId="7281" xr:uid="{715C2C7A-9B2A-4AA4-B97B-23E1F95807E5}"/>
    <cellStyle name="Normal 3 4 2 2 2 2 2" xfId="8974" xr:uid="{C632AFCC-4A1E-4ACF-ADCA-AFA95D6EBD44}"/>
    <cellStyle name="Normal 3 4 2 2 2 2 2 2" xfId="19026" xr:uid="{D5365886-28E9-4E90-9475-BE04B4CB39E9}"/>
    <cellStyle name="Normal 3 4 2 2 2 2 3" xfId="16479" xr:uid="{129033D7-7848-452D-B90D-0D31ED2DC3B3}"/>
    <cellStyle name="Normal 3 4 2 2 2 2 4" xfId="14151" xr:uid="{CBB54DEB-9AFB-4CF6-9FA1-D40A44C30054}"/>
    <cellStyle name="Normal 3 4 2 2 2 3" xfId="7282" xr:uid="{D2035331-B64F-4FAB-8CA5-D5E76840BB14}"/>
    <cellStyle name="Normal 3 4 2 2 2 3 2" xfId="9422" xr:uid="{F08C417B-8E28-4FFA-AC50-FAAE92E9082E}"/>
    <cellStyle name="Normal 3 4 2 2 2 3 2 2" xfId="19474" xr:uid="{72DB7201-93FD-4D1F-B6A6-2220BF423C1D}"/>
    <cellStyle name="Normal 3 4 2 2 2 3 3" xfId="16925" xr:uid="{E23F389D-9207-46F8-88F6-A5839163B575}"/>
    <cellStyle name="Normal 3 4 2 2 2 3 4" xfId="15734" xr:uid="{90D49FA6-FD88-4FF5-AF5C-F80D3FA5798B}"/>
    <cellStyle name="Normal 3 4 2 2 2 4" xfId="7283" xr:uid="{FE63A1BC-EA25-4349-9E6C-F4D41280C25B}"/>
    <cellStyle name="Normal 3 4 2 2 2 4 2" xfId="17526" xr:uid="{7E0DE0B9-0F03-4E7C-B700-E81A71AA4878}"/>
    <cellStyle name="Normal 3 4 2 2 2 4 3" xfId="14671" xr:uid="{A763C67D-2138-40AF-964F-9DCFDA117BD5}"/>
    <cellStyle name="Normal 3 4 2 2 2 5" xfId="7284" xr:uid="{E3EDA99B-7FAC-42B4-A95A-768967E35229}"/>
    <cellStyle name="Normal 3 4 2 2 2 5 2" xfId="18137" xr:uid="{83389800-CDE8-4130-BF02-27FA37855F26}"/>
    <cellStyle name="Normal 3 4 2 2 2 5 3" xfId="14318" xr:uid="{84B0966D-5B2B-4DA7-ACCF-C1D116955863}"/>
    <cellStyle name="Normal 3 4 2 2 2 6" xfId="8546" xr:uid="{D7694E1C-8C33-41F3-9249-BD91A216B3BE}"/>
    <cellStyle name="Normal 3 4 2 2 2 6 2" xfId="18598" xr:uid="{982F822C-2927-4FA3-814D-5787D7821853}"/>
    <cellStyle name="Normal 3 4 2 2 2 7" xfId="10012" xr:uid="{D0084063-8D1D-422A-B449-628A24227A05}"/>
    <cellStyle name="Normal 3 4 2 2 2 8" xfId="10628" xr:uid="{119D024E-A1B3-4AA7-A8BD-B065BB3A4173}"/>
    <cellStyle name="Normal 3 4 2 2 2 9" xfId="15942" xr:uid="{F4D563E4-025C-4166-80E8-1B5069993ED6}"/>
    <cellStyle name="Normal 3 4 2 2 3" xfId="4543" xr:uid="{5C899C54-A5E1-4411-BFEF-D43CB2BAE724}"/>
    <cellStyle name="Normal 3 4 2 2 3 2" xfId="7285" xr:uid="{E4C9A170-DB38-45AA-AD91-E8A2F1F04B5B}"/>
    <cellStyle name="Normal 3 4 2 2 3 2 2" xfId="8975" xr:uid="{F6C04A94-D3B8-4DAE-BB73-A9A05F658F5F}"/>
    <cellStyle name="Normal 3 4 2 2 3 2 2 2" xfId="19027" xr:uid="{61FA9331-1D6E-4781-A6D5-CC69E0F9AC34}"/>
    <cellStyle name="Normal 3 4 2 2 3 2 3" xfId="16480" xr:uid="{65D44DB9-403F-4119-BC62-6CB992156964}"/>
    <cellStyle name="Normal 3 4 2 2 3 2 4" xfId="15153" xr:uid="{D2BC1EF7-288B-4992-A8C1-2E323E22021F}"/>
    <cellStyle name="Normal 3 4 2 2 3 3" xfId="7286" xr:uid="{549863AC-F943-429E-A2C4-CFF30B75F2DB}"/>
    <cellStyle name="Normal 3 4 2 2 3 3 2" xfId="9423" xr:uid="{2DF1A1AA-85DB-4FF4-A727-ABE5FE714015}"/>
    <cellStyle name="Normal 3 4 2 2 3 3 2 2" xfId="19475" xr:uid="{0B1BB2AE-D729-4A94-8A46-61FE23AE58F3}"/>
    <cellStyle name="Normal 3 4 2 2 3 3 3" xfId="16926" xr:uid="{8FB28FCE-05CE-4D45-926A-45136D6C01E7}"/>
    <cellStyle name="Normal 3 4 2 2 3 3 4" xfId="15733" xr:uid="{D67A3EB0-F04D-4FB9-812C-ECE01FC854B8}"/>
    <cellStyle name="Normal 3 4 2 2 3 4" xfId="7287" xr:uid="{F42234DE-F142-4F4B-8C5E-D92773F05EF8}"/>
    <cellStyle name="Normal 3 4 2 2 3 4 2" xfId="17527" xr:uid="{D74887EA-3050-46DD-96F4-639E27DA1803}"/>
    <cellStyle name="Normal 3 4 2 2 3 4 3" xfId="14112" xr:uid="{CB3D359C-0234-4E6F-A9D9-8E2AA070861E}"/>
    <cellStyle name="Normal 3 4 2 2 3 5" xfId="7288" xr:uid="{C36E1CC3-5E60-4711-9F22-F80F10DB15CE}"/>
    <cellStyle name="Normal 3 4 2 2 3 5 2" xfId="18138" xr:uid="{095C2037-5626-4A0E-96FB-3C7BCE8A93E1}"/>
    <cellStyle name="Normal 3 4 2 2 3 5 3" xfId="14317" xr:uid="{B698C969-EE54-4744-8A02-31B8F08AF8DD}"/>
    <cellStyle name="Normal 3 4 2 2 3 6" xfId="8547" xr:uid="{0156C693-8914-4278-860F-BF0EA7313B43}"/>
    <cellStyle name="Normal 3 4 2 2 3 6 2" xfId="18599" xr:uid="{25A26A8B-16A5-41DC-9806-310CDBDB9ACF}"/>
    <cellStyle name="Normal 3 4 2 2 3 7" xfId="10013" xr:uid="{7985F234-EDE1-40EB-A29F-94BBFA7F98D8}"/>
    <cellStyle name="Normal 3 4 2 2 3 8" xfId="10629" xr:uid="{32373E3B-A58B-4237-A5A7-B63D4C9B5EF1}"/>
    <cellStyle name="Normal 3 4 2 2 3 9" xfId="15409" xr:uid="{4E20CA2F-B59E-4F2E-997C-EF8134FF9E12}"/>
    <cellStyle name="Normal 3 4 2 2 4" xfId="7289" xr:uid="{9B65BE74-A48B-42A7-BB81-7595D21B1B91}"/>
    <cellStyle name="Normal 3 4 2 2 4 2" xfId="7290" xr:uid="{F3105FFA-BACF-491F-94DD-11EAE0CE8D78}"/>
    <cellStyle name="Normal 3 4 2 2 4 2 2" xfId="17316" xr:uid="{56396D2C-F75A-449D-81DE-3D3A76D1B7D1}"/>
    <cellStyle name="Normal 3 4 2 2 4 3" xfId="7291" xr:uid="{686A08D7-C384-4F36-B643-0ADBA1A60CFF}"/>
    <cellStyle name="Normal 3 4 2 2 4 3 2" xfId="17930" xr:uid="{FE2D64B0-4B3B-41A5-97B3-7CBEA7D60E31}"/>
    <cellStyle name="Normal 3 4 2 2 4 4" xfId="8759" xr:uid="{216E8056-F0D7-4F8F-A1CC-ADF69964FA93}"/>
    <cellStyle name="Normal 3 4 2 2 4 4 2" xfId="18811" xr:uid="{D63EA641-546D-4C5A-AE85-484325814418}"/>
    <cellStyle name="Normal 3 4 2 2 4 5" xfId="9806" xr:uid="{4D90AE66-4640-4E78-A045-0D6727E6A9F5}"/>
    <cellStyle name="Normal 3 4 2 2 4 6" xfId="10630" xr:uid="{75FEB52D-35C0-48DC-BFCE-2C077E241C9D}"/>
    <cellStyle name="Normal 3 4 2 2 4 7" xfId="15347" xr:uid="{CA771E04-8384-408D-8545-EF0E46703B31}"/>
    <cellStyle name="Normal 3 4 2 2 5" xfId="7292" xr:uid="{F6CBF66D-F34F-40DA-BAEC-7741B9C86C32}"/>
    <cellStyle name="Normal 3 4 2 2 5 2" xfId="9207" xr:uid="{25C4B02A-87F5-4C07-A4E2-14AB5266CF8C}"/>
    <cellStyle name="Normal 3 4 2 2 5 2 2" xfId="19259" xr:uid="{74108729-AFF6-4031-949B-22E96EF0651C}"/>
    <cellStyle name="Normal 3 4 2 2 5 3" xfId="16710" xr:uid="{A5C2A9C9-0E65-4ED4-AEFA-91A0FB34AC87}"/>
    <cellStyle name="Normal 3 4 2 2 5 4" xfId="14953" xr:uid="{70DECE05-D5F9-4D0A-8138-F7DAAD375783}"/>
    <cellStyle name="Normal 3 4 2 2 6" xfId="7293" xr:uid="{A356F4D4-3962-4CED-B5E9-60A93B4454F1}"/>
    <cellStyle name="Normal 3 4 2 2 6 2" xfId="17169" xr:uid="{E42C642C-EB3E-4D6A-91F5-9589A1F21AF2}"/>
    <cellStyle name="Normal 3 4 2 2 6 3" xfId="15542" xr:uid="{5128435B-99F3-4B14-8CB4-F740E4BB9FAE}"/>
    <cellStyle name="Normal 3 4 2 2 7" xfId="7294" xr:uid="{138F4A1F-8455-4943-85C7-F1291BD1415B}"/>
    <cellStyle name="Normal 3 4 2 2 7 2" xfId="17779" xr:uid="{128415FA-4C6A-4CD6-AA7D-285CC1493906}"/>
    <cellStyle name="Normal 3 4 2 2 7 3" xfId="14488" xr:uid="{C5D152DA-B7C3-454F-AECF-179C0E555BA6}"/>
    <cellStyle name="Normal 3 4 2 2 8" xfId="8331" xr:uid="{7C2A2270-D717-4212-B1E8-9E92A9DC01A7}"/>
    <cellStyle name="Normal 3 4 2 2 8 2" xfId="18383" xr:uid="{4DC9B910-CCCF-4355-964A-30F0689477CC}"/>
    <cellStyle name="Normal 3 4 2 2 9" xfId="9660" xr:uid="{ABCC7183-E1DC-4277-8830-01E2E326ECB2}"/>
    <cellStyle name="Normal 3 4 2 3" xfId="4544" xr:uid="{ADB13ABF-805C-4DC3-93CF-B98250D7036C}"/>
    <cellStyle name="Normal 3 4 2 3 2" xfId="7295" xr:uid="{577779D3-BAFB-40F2-859E-B027D51E8FCB}"/>
    <cellStyle name="Normal 3 4 2 3 2 2" xfId="8976" xr:uid="{EB19777E-A16B-4FDF-B57B-1371F4FDEEFC}"/>
    <cellStyle name="Normal 3 4 2 3 2 2 2" xfId="19028" xr:uid="{ABC7B013-2E6E-4769-AC35-603C1280B348}"/>
    <cellStyle name="Normal 3 4 2 3 2 3" xfId="16481" xr:uid="{EE38624B-90BB-494A-98D4-5CB2F7EB20DD}"/>
    <cellStyle name="Normal 3 4 2 3 2 4" xfId="15152" xr:uid="{7EC6783D-5E99-4778-B92E-9313D97794E6}"/>
    <cellStyle name="Normal 3 4 2 3 3" xfId="7296" xr:uid="{BE6F52A0-BE41-410D-9417-9B06946CD555}"/>
    <cellStyle name="Normal 3 4 2 3 3 2" xfId="9424" xr:uid="{3E22325B-DE61-4DBF-B77D-046003988F8C}"/>
    <cellStyle name="Normal 3 4 2 3 3 2 2" xfId="19476" xr:uid="{0A49D3C3-519E-495B-8AD1-E94138C9D944}"/>
    <cellStyle name="Normal 3 4 2 3 3 3" xfId="16927" xr:uid="{471E5090-C6BB-416D-8D6C-A5EFB8EC1E98}"/>
    <cellStyle name="Normal 3 4 2 3 3 4" xfId="15732" xr:uid="{C893D2C5-24C5-4610-BC05-D45B01CA6A3D}"/>
    <cellStyle name="Normal 3 4 2 3 4" xfId="7297" xr:uid="{B3718EAB-656B-496E-B8E4-D9B8C8C52FDE}"/>
    <cellStyle name="Normal 3 4 2 3 4 2" xfId="17528" xr:uid="{F29553B3-9E54-4D1C-BD65-0B2E969F6B88}"/>
    <cellStyle name="Normal 3 4 2 3 4 3" xfId="14670" xr:uid="{133A7644-B01C-466E-ABD3-DE6ECE88A2CF}"/>
    <cellStyle name="Normal 3 4 2 3 5" xfId="7298" xr:uid="{22EDC64F-788C-4D58-91D1-36A554CFCEAC}"/>
    <cellStyle name="Normal 3 4 2 3 5 2" xfId="18139" xr:uid="{541FC8C7-A3D2-4779-BEA5-674564FD6A4F}"/>
    <cellStyle name="Normal 3 4 2 3 5 3" xfId="14316" xr:uid="{4DEFF29E-3FEA-4332-85BB-A9E2BF469DE9}"/>
    <cellStyle name="Normal 3 4 2 3 6" xfId="8548" xr:uid="{4CAC54EA-7715-48EA-8A65-D17AF2036F06}"/>
    <cellStyle name="Normal 3 4 2 3 6 2" xfId="18600" xr:uid="{40F3ED8E-400D-4FF3-8DFB-70D1352C8DD8}"/>
    <cellStyle name="Normal 3 4 2 3 7" xfId="10014" xr:uid="{470AFC44-0DDD-43E0-A71A-8303B5226F73}"/>
    <cellStyle name="Normal 3 4 2 3 8" xfId="10631" xr:uid="{E2B2D70F-7C06-4ED3-94F2-2A3619EA253A}"/>
    <cellStyle name="Normal 3 4 2 3 9" xfId="15941" xr:uid="{1BF75D0F-6280-40C1-BE44-C517F146023C}"/>
    <cellStyle name="Normal 3 4 2 4" xfId="4545" xr:uid="{971049B3-3B28-4B67-8E21-5C3DBF8C3CB2}"/>
    <cellStyle name="Normal 3 4 2 4 2" xfId="7299" xr:uid="{B5F4CE0E-437E-43E2-B287-C38BE9248985}"/>
    <cellStyle name="Normal 3 4 2 4 2 2" xfId="8977" xr:uid="{6AF87BE8-DF24-4355-BA54-60C8DECD3AAB}"/>
    <cellStyle name="Normal 3 4 2 4 2 2 2" xfId="19029" xr:uid="{B46F4EB9-DBC0-4E03-B9FC-D25B9E205419}"/>
    <cellStyle name="Normal 3 4 2 4 2 3" xfId="16482" xr:uid="{72AA8CF4-5147-4EC1-8212-7F6726B80E47}"/>
    <cellStyle name="Normal 3 4 2 4 2 4" xfId="15151" xr:uid="{84207397-A14C-4F4A-80D0-45EC01F149E6}"/>
    <cellStyle name="Normal 3 4 2 4 3" xfId="7300" xr:uid="{0A29F7E5-F8D0-482B-BB09-2100D21EB778}"/>
    <cellStyle name="Normal 3 4 2 4 3 2" xfId="9425" xr:uid="{7E762F5C-FBD9-43E7-99B0-433E9E2D6C19}"/>
    <cellStyle name="Normal 3 4 2 4 3 2 2" xfId="19477" xr:uid="{DED42BA3-D123-43E3-8DED-5B2190BF6416}"/>
    <cellStyle name="Normal 3 4 2 4 3 3" xfId="16928" xr:uid="{897647CA-46A0-4405-AE1C-30CF3AD2AA10}"/>
    <cellStyle name="Normal 3 4 2 4 3 4" xfId="14835" xr:uid="{EE31CACB-D72F-4AF8-9CFB-EB15241F1039}"/>
    <cellStyle name="Normal 3 4 2 4 4" xfId="7301" xr:uid="{60D4FA83-1980-4BAD-AC23-F3B15E567741}"/>
    <cellStyle name="Normal 3 4 2 4 4 2" xfId="17529" xr:uid="{91241776-DD9C-4914-BFD8-AE510ABB4FE6}"/>
    <cellStyle name="Normal 3 4 2 4 4 3" xfId="14669" xr:uid="{8E500B30-11B3-43C4-AAA8-283B4EBA1A8B}"/>
    <cellStyle name="Normal 3 4 2 4 5" xfId="7302" xr:uid="{6209E1EE-AB0E-4C90-9F89-A519C77C9DBC}"/>
    <cellStyle name="Normal 3 4 2 4 5 2" xfId="18140" xr:uid="{E3B5F8F9-F623-475C-91E7-54F127F5A72A}"/>
    <cellStyle name="Normal 3 4 2 4 5 3" xfId="14315" xr:uid="{8285F806-1940-414C-B465-2D89E8D87B93}"/>
    <cellStyle name="Normal 3 4 2 4 6" xfId="8549" xr:uid="{4E327BA9-3A5E-45FB-8F4B-614A5034DC41}"/>
    <cellStyle name="Normal 3 4 2 4 6 2" xfId="18601" xr:uid="{23BDF060-1D20-40A6-B36A-DBEDEB2AA78C}"/>
    <cellStyle name="Normal 3 4 2 4 7" xfId="10015" xr:uid="{FD3B59D5-AF6C-4588-AB18-1910D7D10B59}"/>
    <cellStyle name="Normal 3 4 2 4 8" xfId="10632" xr:uid="{10BCDCAE-D399-489C-8E27-6FFFF55BBDA4}"/>
    <cellStyle name="Normal 3 4 2 4 9" xfId="15940" xr:uid="{2708AC83-1633-4108-906F-F2FFADBDC6D4}"/>
    <cellStyle name="Normal 3 4 2 5" xfId="7303" xr:uid="{882643BD-C31D-4CA9-AEFD-846991C37C2A}"/>
    <cellStyle name="Normal 3 4 2 5 2" xfId="7304" xr:uid="{DC12A73F-3A00-4906-9280-B233728A3393}"/>
    <cellStyle name="Normal 3 4 2 5 2 2" xfId="17315" xr:uid="{147310CA-DE95-4006-B058-9EE2A9EBFFD3}"/>
    <cellStyle name="Normal 3 4 2 5 3" xfId="7305" xr:uid="{1558F370-D148-45A5-A4DF-6F02A5E230E8}"/>
    <cellStyle name="Normal 3 4 2 5 3 2" xfId="17929" xr:uid="{31FC3AA3-598C-4DAD-999B-9611AA65036B}"/>
    <cellStyle name="Normal 3 4 2 5 4" xfId="8758" xr:uid="{668C1DB3-63AC-49A4-879B-B744B9CBAE23}"/>
    <cellStyle name="Normal 3 4 2 5 4 2" xfId="18810" xr:uid="{D7CF1571-BA8D-4ABA-822F-CBE6E5B6BE53}"/>
    <cellStyle name="Normal 3 4 2 5 5" xfId="9805" xr:uid="{44A3B234-D7D9-4A50-A248-9D116435AFD5}"/>
    <cellStyle name="Normal 3 4 2 5 6" xfId="10633" xr:uid="{FBA096ED-EEF8-4523-AA9D-BF70668E415D}"/>
    <cellStyle name="Normal 3 4 2 5 7" xfId="15348" xr:uid="{671361FD-C8BE-42E8-B502-6CB88B06AB17}"/>
    <cellStyle name="Normal 3 4 2 6" xfId="7306" xr:uid="{B1CC49C6-71DD-49F4-A6C7-84D5B0BF0DEB}"/>
    <cellStyle name="Normal 3 4 2 6 2" xfId="9206" xr:uid="{889687D8-77D8-4B54-8E71-8DC2F7369D3B}"/>
    <cellStyle name="Normal 3 4 2 6 2 2" xfId="19258" xr:uid="{74877E21-5E8D-405C-AB10-F5B62C550533}"/>
    <cellStyle name="Normal 3 4 2 6 3" xfId="16709" xr:uid="{AF356C81-2313-4667-8C15-AFA7317972D9}"/>
    <cellStyle name="Normal 3 4 2 6 4" xfId="14135" xr:uid="{48D6CA65-4C95-400F-8392-ED6135472368}"/>
    <cellStyle name="Normal 3 4 2 7" xfId="7307" xr:uid="{1D893932-692D-470D-B4E4-1D84DCE797FA}"/>
    <cellStyle name="Normal 3 4 2 7 2" xfId="17168" xr:uid="{291EF89A-C12B-40D2-B5E2-F6B6977D60E1}"/>
    <cellStyle name="Normal 3 4 2 7 3" xfId="14806" xr:uid="{F8495007-CD1E-4B78-881A-98ADF85878DA}"/>
    <cellStyle name="Normal 3 4 2 8" xfId="7308" xr:uid="{399B19C4-EEBE-47CA-8EE1-E7DF26F48458}"/>
    <cellStyle name="Normal 3 4 2 8 2" xfId="17778" xr:uid="{F25E47A3-8BE9-41AF-A025-5408990DA977}"/>
    <cellStyle name="Normal 3 4 2 8 3" xfId="14489" xr:uid="{C51BA85D-4303-4127-947E-C01E9DB922E5}"/>
    <cellStyle name="Normal 3 4 2 9" xfId="8330" xr:uid="{B99E4D5F-13D6-49A4-B81D-68DA8A4C9534}"/>
    <cellStyle name="Normal 3 4 2 9 2" xfId="18382" xr:uid="{0838D6EB-87AD-4FE4-A2E8-40292BE95D1C}"/>
    <cellStyle name="Normal 3 4 20" xfId="10312" xr:uid="{E405646D-8C29-4A05-B7A8-F5EDFD2622B3}"/>
    <cellStyle name="Normal 3 4 20 2" xfId="12795" xr:uid="{99D141E8-7681-4D02-A280-6E832811BC32}"/>
    <cellStyle name="Normal 3 4 21" xfId="12809" xr:uid="{8B850C06-84CD-4ED6-B533-5030DFF1EB52}"/>
    <cellStyle name="Normal 3 4 21 2" xfId="16123" xr:uid="{01C6982D-E029-4A62-8C47-B5F81C3DAA31}"/>
    <cellStyle name="Normal 3 4 21 3" xfId="20728" xr:uid="{2CE726B6-09D9-4158-BCFA-B75E0682AF0B}"/>
    <cellStyle name="Normal 3 4 22" xfId="12992" xr:uid="{3378F296-6E7F-4D13-98E7-3A75161B0365}"/>
    <cellStyle name="Normal 3 4 23" xfId="12731" xr:uid="{22080BCF-852D-49C2-ACBD-B433E12186BC}"/>
    <cellStyle name="Normal 3 4 3" xfId="2844" xr:uid="{706BE7EA-3D65-446A-B9AD-876E6F7700A9}"/>
    <cellStyle name="Normal 3 4 3 10" xfId="9661" xr:uid="{B94686BE-C83E-4FA6-9D82-9CC667A3D056}"/>
    <cellStyle name="Normal 3 4 3 11" xfId="10315" xr:uid="{4A146965-43EF-4996-B410-E02336D18A00}"/>
    <cellStyle name="Normal 3 4 3 12" xfId="11352" xr:uid="{72C0C82C-861A-4429-B9A1-936344F7FA82}"/>
    <cellStyle name="Normal 3 4 3 12 2" xfId="16121" xr:uid="{0BEB4521-2F86-497B-84B2-03A374C0D7C5}"/>
    <cellStyle name="Normal 3 4 3 12 3" xfId="20549" xr:uid="{CD9350C2-5DFE-4279-9F26-C9BF789A54D6}"/>
    <cellStyle name="Normal 3 4 3 2" xfId="2845" xr:uid="{3071386D-242E-4F52-8074-091664E59F9D}"/>
    <cellStyle name="Normal 3 4 3 2 10" xfId="10316" xr:uid="{30BF8D7C-4709-483E-B2CE-00F294C05A2B}"/>
    <cellStyle name="Normal 3 4 3 2 11" xfId="16120" xr:uid="{0F12A066-E65E-47DF-A32B-401BB0BC4464}"/>
    <cellStyle name="Normal 3 4 3 2 2" xfId="4546" xr:uid="{6BA73D0B-AAE3-462D-B79B-DED6670A7792}"/>
    <cellStyle name="Normal 3 4 3 2 2 2" xfId="7309" xr:uid="{CBA92D4A-34FC-4662-BB9B-0106C458A9F8}"/>
    <cellStyle name="Normal 3 4 3 2 2 2 2" xfId="8978" xr:uid="{A7C285CE-2755-4DCC-ACC9-838F408C52B8}"/>
    <cellStyle name="Normal 3 4 3 2 2 2 2 2" xfId="19030" xr:uid="{5F1DC82A-0497-43AA-A536-7FE999473464}"/>
    <cellStyle name="Normal 3 4 3 2 2 2 3" xfId="16483" xr:uid="{8B5533E9-7A6D-4B2D-84A6-37FBEAE3A7EF}"/>
    <cellStyle name="Normal 3 4 3 2 2 2 4" xfId="15150" xr:uid="{B98747EC-5F3D-4788-8676-D6D1FACC783B}"/>
    <cellStyle name="Normal 3 4 3 2 2 3" xfId="7310" xr:uid="{67180975-2EF4-411B-93F0-6A9EF7D71AD2}"/>
    <cellStyle name="Normal 3 4 3 2 2 3 2" xfId="9426" xr:uid="{B142256C-E582-4C6A-BCA3-FAB223D85C2B}"/>
    <cellStyle name="Normal 3 4 3 2 2 3 2 2" xfId="19478" xr:uid="{F50F4368-7F9B-456B-AB63-DDD7A4CB6367}"/>
    <cellStyle name="Normal 3 4 3 2 2 3 3" xfId="16929" xr:uid="{5241BCC1-6C46-4418-8B1B-A230A3377A23}"/>
    <cellStyle name="Normal 3 4 3 2 2 3 4" xfId="15731" xr:uid="{06C0E0C1-F82E-43A7-88AB-7AB73E276CFB}"/>
    <cellStyle name="Normal 3 4 3 2 2 4" xfId="7311" xr:uid="{398B26BA-D505-44FD-B044-2276B9E695BA}"/>
    <cellStyle name="Normal 3 4 3 2 2 4 2" xfId="17530" xr:uid="{8B8D1B9A-B51C-445D-ADC7-2201F485D3FD}"/>
    <cellStyle name="Normal 3 4 3 2 2 4 3" xfId="14668" xr:uid="{DD9B6C65-4132-40A3-B0CE-A6A610FB28A9}"/>
    <cellStyle name="Normal 3 4 3 2 2 5" xfId="7312" xr:uid="{79E8238E-8143-49F3-9F5D-6FC1D183B70C}"/>
    <cellStyle name="Normal 3 4 3 2 2 5 2" xfId="18141" xr:uid="{8F92A00C-9AAB-4F42-B3C5-A67E3DAEBD96}"/>
    <cellStyle name="Normal 3 4 3 2 2 5 3" xfId="14314" xr:uid="{AB19B148-33B5-4CB2-BAF6-34F6BA901C67}"/>
    <cellStyle name="Normal 3 4 3 2 2 6" xfId="8550" xr:uid="{73536AF6-86F7-4AEE-880D-487E2A0E3758}"/>
    <cellStyle name="Normal 3 4 3 2 2 6 2" xfId="18602" xr:uid="{0EFCB0A5-A0A4-4E10-8BD2-04D6DD1C0836}"/>
    <cellStyle name="Normal 3 4 3 2 2 7" xfId="10016" xr:uid="{068C13FC-1044-4C5D-878C-26C47E1EF2F3}"/>
    <cellStyle name="Normal 3 4 3 2 2 8" xfId="10634" xr:uid="{80F242B3-179E-43A7-B846-C02411A370EA}"/>
    <cellStyle name="Normal 3 4 3 2 2 9" xfId="15939" xr:uid="{42FD2A7E-CDD7-483F-B59B-9D56DC20FB4B}"/>
    <cellStyle name="Normal 3 4 3 2 3" xfId="4547" xr:uid="{C80198C2-B580-473D-A63B-8738E381364D}"/>
    <cellStyle name="Normal 3 4 3 2 3 2" xfId="7313" xr:uid="{DFBCB6FD-F053-4A9A-A98A-F0EF61B596DF}"/>
    <cellStyle name="Normal 3 4 3 2 3 2 2" xfId="8979" xr:uid="{46410BDB-37B8-48C2-892B-153629E7C034}"/>
    <cellStyle name="Normal 3 4 3 2 3 2 2 2" xfId="19031" xr:uid="{D718DC81-4443-44AE-A175-1AA9EC91EA1A}"/>
    <cellStyle name="Normal 3 4 3 2 3 2 3" xfId="16484" xr:uid="{739AFCE0-6AEB-4A3E-A69F-C0AA303491E3}"/>
    <cellStyle name="Normal 3 4 3 2 3 2 4" xfId="15149" xr:uid="{A772B1F2-9BC1-4577-B8F7-92DBC336DFDF}"/>
    <cellStyle name="Normal 3 4 3 2 3 3" xfId="7314" xr:uid="{FDA692CA-160C-47F7-9400-CD14AD934997}"/>
    <cellStyle name="Normal 3 4 3 2 3 3 2" xfId="9427" xr:uid="{D60329EF-9B4C-406F-B080-598B06718699}"/>
    <cellStyle name="Normal 3 4 3 2 3 3 2 2" xfId="19479" xr:uid="{F92A22DC-6348-4F5B-B496-251F77932BBB}"/>
    <cellStyle name="Normal 3 4 3 2 3 3 3" xfId="16930" xr:uid="{5A062F71-682B-4197-92DA-AF9FBFFBC98F}"/>
    <cellStyle name="Normal 3 4 3 2 3 3 4" xfId="15730" xr:uid="{89568D5D-3E88-4630-8149-98B26BC8891F}"/>
    <cellStyle name="Normal 3 4 3 2 3 4" xfId="7315" xr:uid="{1911C14F-5652-4ECA-8979-9629F4F7581C}"/>
    <cellStyle name="Normal 3 4 3 2 3 4 2" xfId="17531" xr:uid="{424A5CA4-295F-4F60-B45D-C70DBD304102}"/>
    <cellStyle name="Normal 3 4 3 2 3 4 3" xfId="14667" xr:uid="{1F429B71-53D0-4C16-B16B-13A77052A9C7}"/>
    <cellStyle name="Normal 3 4 3 2 3 5" xfId="7316" xr:uid="{E2BE67EC-4BD6-409B-9BAD-9C78BB776AD8}"/>
    <cellStyle name="Normal 3 4 3 2 3 5 2" xfId="18142" xr:uid="{3CF1483C-C5CD-4B98-969F-E92E6C6D21A2}"/>
    <cellStyle name="Normal 3 4 3 2 3 5 3" xfId="14313" xr:uid="{554D6F27-B06F-42B0-8EEE-19BE8917B1C5}"/>
    <cellStyle name="Normal 3 4 3 2 3 6" xfId="8551" xr:uid="{33677D2A-6374-4216-BABC-9F88483743A3}"/>
    <cellStyle name="Normal 3 4 3 2 3 6 2" xfId="18603" xr:uid="{DB521AAA-26E8-4802-AEBD-DCE4B615AE18}"/>
    <cellStyle name="Normal 3 4 3 2 3 7" xfId="10017" xr:uid="{D1F128C0-1815-48DB-A2E7-491306AB34C4}"/>
    <cellStyle name="Normal 3 4 3 2 3 8" xfId="10635" xr:uid="{FFA59401-3632-4CD8-9FAE-D01B435BC676}"/>
    <cellStyle name="Normal 3 4 3 2 3 9" xfId="15938" xr:uid="{F42D19CD-F2B8-4D6D-BDC8-07C2DB7051E6}"/>
    <cellStyle name="Normal 3 4 3 2 4" xfId="7317" xr:uid="{1AF0D71E-45CC-4DAB-B491-1A621D68948D}"/>
    <cellStyle name="Normal 3 4 3 2 4 2" xfId="7318" xr:uid="{8C4552E9-B619-44A1-86B6-1D877CBA36A5}"/>
    <cellStyle name="Normal 3 4 3 2 4 2 2" xfId="17318" xr:uid="{EA8F605E-5BA4-469E-9135-83CA52268513}"/>
    <cellStyle name="Normal 3 4 3 2 4 3" xfId="7319" xr:uid="{968F9147-AC38-41A6-A134-F034733EF514}"/>
    <cellStyle name="Normal 3 4 3 2 4 3 2" xfId="17932" xr:uid="{338EF4F2-BC14-4FA1-AA90-BA4D9A0A9F21}"/>
    <cellStyle name="Normal 3 4 3 2 4 4" xfId="8761" xr:uid="{5BA7844F-7C39-4A0A-BF1E-321BC1DAA1D1}"/>
    <cellStyle name="Normal 3 4 3 2 4 4 2" xfId="18813" xr:uid="{69989DBA-F53B-4199-9F8E-5E59FA546871}"/>
    <cellStyle name="Normal 3 4 3 2 4 5" xfId="9808" xr:uid="{DD86889C-3C5B-474F-B659-6D05310E0D1F}"/>
    <cellStyle name="Normal 3 4 3 2 4 6" xfId="10636" xr:uid="{5DD06B32-F6A6-4C40-B8F1-B69ED7B040A6}"/>
    <cellStyle name="Normal 3 4 3 2 4 7" xfId="14166" xr:uid="{C06C3AB0-3034-438B-A06C-5D0BEA3CABF6}"/>
    <cellStyle name="Normal 3 4 3 2 5" xfId="7320" xr:uid="{6C98819C-9C56-4A4D-A77F-D81A43105449}"/>
    <cellStyle name="Normal 3 4 3 2 5 2" xfId="9209" xr:uid="{3B4C08CC-9357-44CC-B726-45E002ACBFEC}"/>
    <cellStyle name="Normal 3 4 3 2 5 2 2" xfId="19261" xr:uid="{8E0C89C3-24F8-4EEF-8E80-16FFAD3484F8}"/>
    <cellStyle name="Normal 3 4 3 2 5 3" xfId="16712" xr:uid="{6A9E1E37-E7F5-4347-916F-E4FBD8D19BEB}"/>
    <cellStyle name="Normal 3 4 3 2 5 4" xfId="14951" xr:uid="{DC6512B0-5C72-4636-8739-5D1137D63B94}"/>
    <cellStyle name="Normal 3 4 3 2 6" xfId="7321" xr:uid="{2ECF79AF-EA99-4D2D-A663-92333DCFB720}"/>
    <cellStyle name="Normal 3 4 3 2 6 2" xfId="17171" xr:uid="{D53F5D15-4A85-46A1-99B6-E3C85264B5B4}"/>
    <cellStyle name="Normal 3 4 3 2 6 3" xfId="15540" xr:uid="{EC3A72F4-AE7E-4DC0-8785-E93BD9C22D26}"/>
    <cellStyle name="Normal 3 4 3 2 7" xfId="7322" xr:uid="{2850B2DC-5305-4F13-9553-B023C501C28A}"/>
    <cellStyle name="Normal 3 4 3 2 7 2" xfId="17781" xr:uid="{E1C8C8FD-655E-427A-8341-2BD98B36B501}"/>
    <cellStyle name="Normal 3 4 3 2 7 3" xfId="14098" xr:uid="{833D2F64-A875-498C-9E52-5F2517747F42}"/>
    <cellStyle name="Normal 3 4 3 2 8" xfId="8333" xr:uid="{5022D98C-6F78-4C73-859B-1A4783D765FF}"/>
    <cellStyle name="Normal 3 4 3 2 8 2" xfId="18385" xr:uid="{8ED00D96-B015-4122-9DE8-3DBC95E08F16}"/>
    <cellStyle name="Normal 3 4 3 2 9" xfId="9662" xr:uid="{F7B9085E-52D7-4747-B3F6-B4FB0A695318}"/>
    <cellStyle name="Normal 3 4 3 3" xfId="4548" xr:uid="{B8BD74BF-72D1-4EF8-BBC0-334658410677}"/>
    <cellStyle name="Normal 3 4 3 3 2" xfId="7323" xr:uid="{7D52ED8D-6E42-4050-B555-A5D23168A825}"/>
    <cellStyle name="Normal 3 4 3 3 2 2" xfId="8980" xr:uid="{36F26D69-C988-4212-A7B6-83D161BA0D8C}"/>
    <cellStyle name="Normal 3 4 3 3 2 2 2" xfId="19032" xr:uid="{BD44D9F2-3F1C-4996-958E-C9D581D547FA}"/>
    <cellStyle name="Normal 3 4 3 3 2 3" xfId="16485" xr:uid="{B08D0772-D673-474B-B716-E0468AB0578F}"/>
    <cellStyle name="Normal 3 4 3 3 2 4" xfId="15148" xr:uid="{DCB227C5-E2C5-4B5C-B47F-3EA6953345BF}"/>
    <cellStyle name="Normal 3 4 3 3 3" xfId="7324" xr:uid="{86F1D90E-5820-4BD0-BBE3-0170FA094A39}"/>
    <cellStyle name="Normal 3 4 3 3 3 2" xfId="9428" xr:uid="{383027C3-CFDB-47DD-9C56-51003D5AE959}"/>
    <cellStyle name="Normal 3 4 3 3 3 2 2" xfId="19480" xr:uid="{ED01901C-8A2C-4A9D-9274-51159D07F79E}"/>
    <cellStyle name="Normal 3 4 3 3 3 3" xfId="16931" xr:uid="{4007E92B-E4F4-4FF1-BC5B-94C92D942FB3}"/>
    <cellStyle name="Normal 3 4 3 3 3 4" xfId="15729" xr:uid="{EEC1C736-F880-463C-863F-7583F396344F}"/>
    <cellStyle name="Normal 3 4 3 3 4" xfId="7325" xr:uid="{04108D1B-FE1C-4530-9A54-B17690C5C845}"/>
    <cellStyle name="Normal 3 4 3 3 4 2" xfId="17532" xr:uid="{D416B4C0-7F59-4912-85E4-2D817D9BABEA}"/>
    <cellStyle name="Normal 3 4 3 3 4 3" xfId="14666" xr:uid="{3AD54761-0B48-4B15-91B2-D4953734D00D}"/>
    <cellStyle name="Normal 3 4 3 3 5" xfId="7326" xr:uid="{ACC5244B-B4E1-4C21-92CA-58132A5ACB28}"/>
    <cellStyle name="Normal 3 4 3 3 5 2" xfId="18143" xr:uid="{F7C70AE6-CE33-425E-A84F-41460EED5A20}"/>
    <cellStyle name="Normal 3 4 3 3 5 3" xfId="14312" xr:uid="{B2945ADF-0B48-4FAA-8DAB-50F05079FBBF}"/>
    <cellStyle name="Normal 3 4 3 3 6" xfId="8552" xr:uid="{06DD5680-4687-4682-98BC-187E3A663F16}"/>
    <cellStyle name="Normal 3 4 3 3 6 2" xfId="18604" xr:uid="{4045A9A7-BEC1-4699-A38D-1459A1349C00}"/>
    <cellStyle name="Normal 3 4 3 3 7" xfId="10018" xr:uid="{1A6A5035-1F00-41D7-B7E6-77F5AFE4B744}"/>
    <cellStyle name="Normal 3 4 3 3 8" xfId="10637" xr:uid="{2E6FFDEB-A97F-4196-B0BD-812C30701C1F}"/>
    <cellStyle name="Normal 3 4 3 3 9" xfId="15937" xr:uid="{ACE6E409-D91B-4A85-8548-98F9869B997C}"/>
    <cellStyle name="Normal 3 4 3 4" xfId="4549" xr:uid="{39CA4FFD-E482-4737-A493-065DB56F3F18}"/>
    <cellStyle name="Normal 3 4 3 4 2" xfId="7327" xr:uid="{173E66DD-2DF9-4277-956D-F314CABF7A54}"/>
    <cellStyle name="Normal 3 4 3 4 2 2" xfId="8981" xr:uid="{DB70EF6A-4D64-4959-B2E1-61F2D9927CB7}"/>
    <cellStyle name="Normal 3 4 3 4 2 2 2" xfId="19033" xr:uid="{E1B19A05-D6E3-4963-900A-7DEA182F4E48}"/>
    <cellStyle name="Normal 3 4 3 4 2 3" xfId="16486" xr:uid="{EC94387C-FCFB-435A-99B6-B0DF0F8D4D74}"/>
    <cellStyle name="Normal 3 4 3 4 2 4" xfId="15147" xr:uid="{9E2DFCBC-AF61-4D29-B6B1-8DF4C859FDF3}"/>
    <cellStyle name="Normal 3 4 3 4 3" xfId="7328" xr:uid="{40457A83-684D-4105-BABC-4FC294A45C1F}"/>
    <cellStyle name="Normal 3 4 3 4 3 2" xfId="9429" xr:uid="{862E6628-CF60-4B0A-AD0B-C5FECB5CBEB7}"/>
    <cellStyle name="Normal 3 4 3 4 3 2 2" xfId="19481" xr:uid="{9FBE3119-9441-45C3-8A54-8A5714BBD502}"/>
    <cellStyle name="Normal 3 4 3 4 3 3" xfId="16932" xr:uid="{7986ADA5-A555-463D-9E66-4B14B1814EDB}"/>
    <cellStyle name="Normal 3 4 3 4 3 4" xfId="15728" xr:uid="{2556FB96-14DB-4224-A7D2-5FF49145B0FB}"/>
    <cellStyle name="Normal 3 4 3 4 4" xfId="7329" xr:uid="{E4961D0C-26A4-4204-851D-BF3CA0A29541}"/>
    <cellStyle name="Normal 3 4 3 4 4 2" xfId="17533" xr:uid="{18DA916E-2E76-463F-BE21-0496DF389B70}"/>
    <cellStyle name="Normal 3 4 3 4 4 3" xfId="14665" xr:uid="{B87F64D0-C207-464F-9228-48E9DD1419DD}"/>
    <cellStyle name="Normal 3 4 3 4 5" xfId="7330" xr:uid="{194734BB-9680-430A-9354-61BF5D083575}"/>
    <cellStyle name="Normal 3 4 3 4 5 2" xfId="18144" xr:uid="{14E8E771-771C-435B-919A-AE8EF1D78A6C}"/>
    <cellStyle name="Normal 3 4 3 4 5 3" xfId="14311" xr:uid="{01F0D4E3-9812-4404-9936-5D0F7DE57C26}"/>
    <cellStyle name="Normal 3 4 3 4 6" xfId="8553" xr:uid="{9207A382-6A70-4849-9122-571751D28B9B}"/>
    <cellStyle name="Normal 3 4 3 4 6 2" xfId="18605" xr:uid="{B0D96C12-5CE5-4541-BFF3-8C9ECA25CAD6}"/>
    <cellStyle name="Normal 3 4 3 4 7" xfId="10019" xr:uid="{0E183D17-6A8E-464D-A21C-C34DCAB212C5}"/>
    <cellStyle name="Normal 3 4 3 4 8" xfId="10638" xr:uid="{4200CD0A-4073-4770-A6D0-7821B67A3F98}"/>
    <cellStyle name="Normal 3 4 3 4 9" xfId="15936" xr:uid="{C4CE0018-3B41-4AE7-8BBB-A6CAD83FD404}"/>
    <cellStyle name="Normal 3 4 3 5" xfId="7331" xr:uid="{B14557F4-859B-4AF2-BF78-77331F4A722E}"/>
    <cellStyle name="Normal 3 4 3 5 2" xfId="7332" xr:uid="{5B18CAC2-0BFE-4FBD-967B-FF6108380B88}"/>
    <cellStyle name="Normal 3 4 3 5 2 2" xfId="17317" xr:uid="{906A4A28-66FE-488B-9332-0920B83B5391}"/>
    <cellStyle name="Normal 3 4 3 5 3" xfId="7333" xr:uid="{6CDB4215-ADDB-41E5-BE4A-8828868C953B}"/>
    <cellStyle name="Normal 3 4 3 5 3 2" xfId="17931" xr:uid="{EBCFB165-E8AA-4248-A71C-7A05E99A9EDE}"/>
    <cellStyle name="Normal 3 4 3 5 4" xfId="8760" xr:uid="{36B2503C-B410-434F-AAF2-F396C0234C60}"/>
    <cellStyle name="Normal 3 4 3 5 4 2" xfId="18812" xr:uid="{BD6C3020-FE00-4448-933D-CE542BF34549}"/>
    <cellStyle name="Normal 3 4 3 5 5" xfId="9807" xr:uid="{FD14AF3B-FDE3-4AB1-8263-8B02BFD18954}"/>
    <cellStyle name="Normal 3 4 3 5 6" xfId="10639" xr:uid="{298337AA-B3DB-4F1A-ADB7-2F5599D2F6C2}"/>
    <cellStyle name="Normal 3 4 3 5 7" xfId="15346" xr:uid="{6DFC2509-FF1A-4541-A9AE-22CE0ADA55E5}"/>
    <cellStyle name="Normal 3 4 3 6" xfId="7334" xr:uid="{AD514087-D907-479C-B05B-214C44F0DAE8}"/>
    <cellStyle name="Normal 3 4 3 6 2" xfId="9208" xr:uid="{0A76864A-371F-40CE-88C8-5B026C5BDDBD}"/>
    <cellStyle name="Normal 3 4 3 6 2 2" xfId="19260" xr:uid="{24D1E446-A0D1-4DB8-963C-B20D6ADA3640}"/>
    <cellStyle name="Normal 3 4 3 6 3" xfId="16711" xr:uid="{1C1EF819-6532-4FCE-B76F-2D7A78F80489}"/>
    <cellStyle name="Normal 3 4 3 6 4" xfId="14952" xr:uid="{1BEB6EC6-4BE4-4F9E-A147-0D0FE2779700}"/>
    <cellStyle name="Normal 3 4 3 7" xfId="7335" xr:uid="{2DEAD781-381B-426C-99DB-F57A1CFCC943}"/>
    <cellStyle name="Normal 3 4 3 7 2" xfId="17170" xr:uid="{26E1A1DC-9465-4599-99DD-8670B0C33DFE}"/>
    <cellStyle name="Normal 3 4 3 7 3" xfId="15541" xr:uid="{44B39239-2117-415B-A650-504B6B747939}"/>
    <cellStyle name="Normal 3 4 3 8" xfId="7336" xr:uid="{0F14FAB8-31A2-49C7-BA3B-3B253A29FE5D}"/>
    <cellStyle name="Normal 3 4 3 8 2" xfId="17780" xr:uid="{C8E81CFB-734B-41CF-AE54-AC4ACC214B63}"/>
    <cellStyle name="Normal 3 4 3 8 3" xfId="14099" xr:uid="{76BA2DA1-9744-4192-BDFC-9BEC00E3DE1E}"/>
    <cellStyle name="Normal 3 4 3 9" xfId="8332" xr:uid="{123B0EDE-DDE7-401D-ADD6-55D2ACDD19EF}"/>
    <cellStyle name="Normal 3 4 3 9 2" xfId="18384" xr:uid="{F11054BA-02AE-4438-83BA-5F2A5D6A370A}"/>
    <cellStyle name="Normal 3 4 4" xfId="2846" xr:uid="{F09E9B71-2182-435C-BFCA-A86B04C42C52}"/>
    <cellStyle name="Normal 3 4 4 10" xfId="9663" xr:uid="{ABCB3310-B926-4EFD-BC73-3425097E2D83}"/>
    <cellStyle name="Normal 3 4 4 11" xfId="10317" xr:uid="{74ADCD7B-E874-4BF0-BF6D-B6AD3B1D7742}"/>
    <cellStyle name="Normal 3 4 4 12" xfId="11753" xr:uid="{E5065DB3-087C-4FD7-B75E-95EA21B73E6B}"/>
    <cellStyle name="Normal 3 4 4 12 2" xfId="16119" xr:uid="{EE288AC8-9D5F-42C5-9A9A-A781BDBC6F38}"/>
    <cellStyle name="Normal 3 4 4 12 3" xfId="20601" xr:uid="{378B3D86-15FD-4998-A0BA-B05C55AB827F}"/>
    <cellStyle name="Normal 3 4 4 2" xfId="2847" xr:uid="{91EBEACB-FC3A-4DFA-B5B7-EC73CB259662}"/>
    <cellStyle name="Normal 3 4 4 2 10" xfId="10318" xr:uid="{8C62DC64-88D7-4505-87D8-7866E8F087F8}"/>
    <cellStyle name="Normal 3 4 4 2 11" xfId="16118" xr:uid="{912746E4-0476-411B-8B18-8D39545D707C}"/>
    <cellStyle name="Normal 3 4 4 2 2" xfId="4550" xr:uid="{6C0EE7A6-9C71-458E-8244-B6D5B70C9FB6}"/>
    <cellStyle name="Normal 3 4 4 2 2 2" xfId="7337" xr:uid="{3538FE2B-03FE-4B0A-AF69-E48610EE98E0}"/>
    <cellStyle name="Normal 3 4 4 2 2 2 2" xfId="8982" xr:uid="{59137E61-CCDF-48CC-8307-B1E9C1969F48}"/>
    <cellStyle name="Normal 3 4 4 2 2 2 2 2" xfId="19034" xr:uid="{F838D213-ECFB-4250-B10E-18EF6F54BF9B}"/>
    <cellStyle name="Normal 3 4 4 2 2 2 3" xfId="16487" xr:uid="{B80D8401-C463-4FAF-B9C7-6465A57EAAAF}"/>
    <cellStyle name="Normal 3 4 4 2 2 2 4" xfId="15146" xr:uid="{738B474B-18AD-49F6-A484-CC382AF6CFEB}"/>
    <cellStyle name="Normal 3 4 4 2 2 3" xfId="7338" xr:uid="{D77212AE-91F7-43B9-A5FF-3A7080B9B25E}"/>
    <cellStyle name="Normal 3 4 4 2 2 3 2" xfId="9430" xr:uid="{8D5295A0-066E-439E-A2E8-A2C22C0B35D3}"/>
    <cellStyle name="Normal 3 4 4 2 2 3 2 2" xfId="19482" xr:uid="{6F1B3783-A93A-42B0-BC6A-DF4A4FE71448}"/>
    <cellStyle name="Normal 3 4 4 2 2 3 3" xfId="16933" xr:uid="{7AF937FB-BE3A-4658-AFB7-2D6D37FAB81D}"/>
    <cellStyle name="Normal 3 4 4 2 2 3 4" xfId="15727" xr:uid="{EB9B57A8-E4CF-41EE-8864-367B59601E43}"/>
    <cellStyle name="Normal 3 4 4 2 2 4" xfId="7339" xr:uid="{A0E99A56-C727-4085-95E3-7C705AF0F87C}"/>
    <cellStyle name="Normal 3 4 4 2 2 4 2" xfId="17534" xr:uid="{CF87ECA4-F6A2-4714-B6D2-85C5967173BB}"/>
    <cellStyle name="Normal 3 4 4 2 2 4 3" xfId="14664" xr:uid="{0FBD3AFD-2F47-47E6-836A-9286856237BD}"/>
    <cellStyle name="Normal 3 4 4 2 2 5" xfId="7340" xr:uid="{85033CE9-C560-4EF9-8BC4-873B8200A724}"/>
    <cellStyle name="Normal 3 4 4 2 2 5 2" xfId="18145" xr:uid="{66EF805C-226D-4707-B67F-0D21972D03AA}"/>
    <cellStyle name="Normal 3 4 4 2 2 5 3" xfId="14310" xr:uid="{A593BAF2-3149-4FED-8F72-5DED57ED182B}"/>
    <cellStyle name="Normal 3 4 4 2 2 6" xfId="8554" xr:uid="{4EB7A8D9-3A7D-4A3F-9B2D-4322EE53798E}"/>
    <cellStyle name="Normal 3 4 4 2 2 6 2" xfId="18606" xr:uid="{073996BF-67B4-4BED-9B90-4FF6916F059F}"/>
    <cellStyle name="Normal 3 4 4 2 2 7" xfId="10020" xr:uid="{66798898-A8ED-481B-8CEE-9AAD6A80063F}"/>
    <cellStyle name="Normal 3 4 4 2 2 8" xfId="10640" xr:uid="{92FC6BE8-7B90-4DA8-BF65-F38406A813A5}"/>
    <cellStyle name="Normal 3 4 4 2 2 9" xfId="15408" xr:uid="{68731409-C0C4-420F-8583-E3F8A16DE238}"/>
    <cellStyle name="Normal 3 4 4 2 3" xfId="4551" xr:uid="{C203D041-77C6-4F45-A17A-E9B02F88E6E9}"/>
    <cellStyle name="Normal 3 4 4 2 3 2" xfId="7341" xr:uid="{B6941DCF-0105-4F79-9C93-5608BF2508A0}"/>
    <cellStyle name="Normal 3 4 4 2 3 2 2" xfId="8983" xr:uid="{733D0C05-BADD-48D1-92F6-04D1097062CC}"/>
    <cellStyle name="Normal 3 4 4 2 3 2 2 2" xfId="19035" xr:uid="{62CE6C94-19D7-41DC-973C-A03EBCDF167D}"/>
    <cellStyle name="Normal 3 4 4 2 3 2 3" xfId="16488" xr:uid="{5081949D-BA13-465C-AD6C-74F04E4551FA}"/>
    <cellStyle name="Normal 3 4 4 2 3 2 4" xfId="15145" xr:uid="{E1D66AE6-5553-4522-B487-5C57720E05A9}"/>
    <cellStyle name="Normal 3 4 4 2 3 3" xfId="7342" xr:uid="{90AD23B5-85D1-4889-9FBB-D46C608F03B4}"/>
    <cellStyle name="Normal 3 4 4 2 3 3 2" xfId="9431" xr:uid="{799E3ABD-CBCE-4720-8CB9-FCEA5E05C8C6}"/>
    <cellStyle name="Normal 3 4 4 2 3 3 2 2" xfId="19483" xr:uid="{59C5B77D-F042-4099-81B4-14CAB4AADEF7}"/>
    <cellStyle name="Normal 3 4 4 2 3 3 3" xfId="16934" xr:uid="{8E40C831-187D-463E-B17C-96C390F416F6}"/>
    <cellStyle name="Normal 3 4 4 2 3 3 4" xfId="15726" xr:uid="{76B143BF-1404-44E5-A576-55DA586F76ED}"/>
    <cellStyle name="Normal 3 4 4 2 3 4" xfId="7343" xr:uid="{69E8CEE4-E8A9-44F1-85A5-E582954F9185}"/>
    <cellStyle name="Normal 3 4 4 2 3 4 2" xfId="17535" xr:uid="{A66EFD44-2A42-4088-99BA-35D22C6FDB1A}"/>
    <cellStyle name="Normal 3 4 4 2 3 4 3" xfId="14663" xr:uid="{7BB2D82D-4DC4-464A-9C39-5B8B629252C3}"/>
    <cellStyle name="Normal 3 4 4 2 3 5" xfId="7344" xr:uid="{E16E65AC-5A09-4445-8BCA-1FCAC7F243AF}"/>
    <cellStyle name="Normal 3 4 4 2 3 5 2" xfId="18146" xr:uid="{0503AE03-CE7B-4C48-AB3E-04DB325B9CDC}"/>
    <cellStyle name="Normal 3 4 4 2 3 5 3" xfId="14309" xr:uid="{FE8FFACD-8A07-4ABF-B437-66FCA29014DE}"/>
    <cellStyle name="Normal 3 4 4 2 3 6" xfId="8555" xr:uid="{DDB3339B-2EE7-4133-A087-C8EF569B0B37}"/>
    <cellStyle name="Normal 3 4 4 2 3 6 2" xfId="18607" xr:uid="{127F3740-EA42-45AF-A7A8-E8E2B6C41C4B}"/>
    <cellStyle name="Normal 3 4 4 2 3 7" xfId="10021" xr:uid="{C9B58FFA-83A2-44B9-8F74-7A4B4429830A}"/>
    <cellStyle name="Normal 3 4 4 2 3 8" xfId="10641" xr:uid="{091646A9-689B-471E-8E1A-948D9F7152BB}"/>
    <cellStyle name="Normal 3 4 4 2 3 9" xfId="15935" xr:uid="{B4E52433-E88B-48D1-9A39-CC9AB205DA10}"/>
    <cellStyle name="Normal 3 4 4 2 4" xfId="7345" xr:uid="{C53302DB-AEC0-4CBD-BA3A-9A24158EE604}"/>
    <cellStyle name="Normal 3 4 4 2 4 2" xfId="7346" xr:uid="{5D3F238A-3992-42D4-B41C-0DB39B4C93AE}"/>
    <cellStyle name="Normal 3 4 4 2 4 2 2" xfId="17320" xr:uid="{80B30606-837E-4835-81FB-2F0998D31994}"/>
    <cellStyle name="Normal 3 4 4 2 4 3" xfId="7347" xr:uid="{1F80539A-8F5E-42BE-863A-56A99622F3C5}"/>
    <cellStyle name="Normal 3 4 4 2 4 3 2" xfId="17934" xr:uid="{B664D6FC-4ECF-4AB9-BD72-1267552CA46A}"/>
    <cellStyle name="Normal 3 4 4 2 4 4" xfId="8763" xr:uid="{984C95C3-D2DC-4D98-994A-555410330807}"/>
    <cellStyle name="Normal 3 4 4 2 4 4 2" xfId="18815" xr:uid="{4BDD7A0E-FE35-42AC-AA91-F62FF55CF444}"/>
    <cellStyle name="Normal 3 4 4 2 4 5" xfId="9810" xr:uid="{2AC5E2D0-9E61-4760-AC59-EA2935F0CDD4}"/>
    <cellStyle name="Normal 3 4 4 2 4 6" xfId="10642" xr:uid="{0041EBA5-DF74-4C42-8E1F-6A202C168D14}"/>
    <cellStyle name="Normal 3 4 4 2 4 7" xfId="15344" xr:uid="{52A3BF4E-F6A9-42E4-B02D-CDE2104CEB7B}"/>
    <cellStyle name="Normal 3 4 4 2 5" xfId="7348" xr:uid="{3F00381E-4058-4CF1-BD9E-88301BBE7273}"/>
    <cellStyle name="Normal 3 4 4 2 5 2" xfId="9211" xr:uid="{A78321C8-4F5A-44A1-8A85-EE64407BF473}"/>
    <cellStyle name="Normal 3 4 4 2 5 2 2" xfId="19263" xr:uid="{18A44693-68E6-4D57-A756-1DF70C4A1972}"/>
    <cellStyle name="Normal 3 4 4 2 5 3" xfId="16714" xr:uid="{70B9733C-F728-4024-BCFD-75741DEA3D48}"/>
    <cellStyle name="Normal 3 4 4 2 5 4" xfId="14949" xr:uid="{85F6DE3A-23B7-491B-B43F-F1B795ABD28C}"/>
    <cellStyle name="Normal 3 4 4 2 6" xfId="7349" xr:uid="{78A0DF46-23C6-46B3-B22F-0AE1FD1DCF6E}"/>
    <cellStyle name="Normal 3 4 4 2 6 2" xfId="17173" xr:uid="{FCC7B593-D800-4319-85D2-A293C8AF0686}"/>
    <cellStyle name="Normal 3 4 4 2 6 3" xfId="15538" xr:uid="{2C0592F2-B287-4021-83AA-F2AE96BAAA2A}"/>
    <cellStyle name="Normal 3 4 4 2 7" xfId="7350" xr:uid="{E871F29B-5D57-43ED-924E-38AEF8F91EB1}"/>
    <cellStyle name="Normal 3 4 4 2 7 2" xfId="17783" xr:uid="{9E0F8D2C-75A8-443C-AE3C-F7260B234AC5}"/>
    <cellStyle name="Normal 3 4 4 2 7 3" xfId="14182" xr:uid="{597B8507-927A-4DCB-9DF4-222AB547567B}"/>
    <cellStyle name="Normal 3 4 4 2 8" xfId="8335" xr:uid="{26BB7CDF-B6CD-401B-B25D-E75C7CC98039}"/>
    <cellStyle name="Normal 3 4 4 2 8 2" xfId="18387" xr:uid="{75FC59DA-9526-4A09-9408-C7A061F5CCFA}"/>
    <cellStyle name="Normal 3 4 4 2 9" xfId="9664" xr:uid="{9DD274D3-6FD3-47F0-8B9C-C2F77EEA3FD4}"/>
    <cellStyle name="Normal 3 4 4 3" xfId="4552" xr:uid="{E51E81B5-6A1A-49B9-A6FB-27788057560D}"/>
    <cellStyle name="Normal 3 4 4 3 2" xfId="7351" xr:uid="{B0D26D97-654E-4231-91DC-C38F1C45C92B}"/>
    <cellStyle name="Normal 3 4 4 3 2 2" xfId="8984" xr:uid="{87E00392-84F5-473E-9F79-A8EA33D04775}"/>
    <cellStyle name="Normal 3 4 4 3 2 2 2" xfId="19036" xr:uid="{204B0FE2-7B84-4860-9387-375A131FC1DD}"/>
    <cellStyle name="Normal 3 4 4 3 2 3" xfId="16489" xr:uid="{078634BD-48FA-4A28-AE3B-4D8DD1FF616E}"/>
    <cellStyle name="Normal 3 4 4 3 2 4" xfId="15144" xr:uid="{AF3A8C30-E8C0-4858-9C26-4AC9FCD4B780}"/>
    <cellStyle name="Normal 3 4 4 3 3" xfId="7352" xr:uid="{3CC305D3-3A93-45E9-B7FD-EA4343B9301C}"/>
    <cellStyle name="Normal 3 4 4 3 3 2" xfId="9432" xr:uid="{45F9ADAF-6E2E-4F6E-B686-7A132D4CD0D3}"/>
    <cellStyle name="Normal 3 4 4 3 3 2 2" xfId="19484" xr:uid="{7AD991FF-FC91-42DF-9912-67AC73B766F4}"/>
    <cellStyle name="Normal 3 4 4 3 3 3" xfId="16935" xr:uid="{5532E6D4-E4CE-4A29-8B5A-894DC100F872}"/>
    <cellStyle name="Normal 3 4 4 3 3 4" xfId="14834" xr:uid="{F5144043-B640-4FAA-9D8A-D0F5ED1EDF28}"/>
    <cellStyle name="Normal 3 4 4 3 4" xfId="7353" xr:uid="{AFEE3615-6AE3-47CE-B2E7-84F0A67A9939}"/>
    <cellStyle name="Normal 3 4 4 3 4 2" xfId="17536" xr:uid="{A515065D-3A04-400C-94D2-830C3C20E7ED}"/>
    <cellStyle name="Normal 3 4 4 3 4 3" xfId="14662" xr:uid="{A4E9DACF-E467-485F-B973-F39DF2902EB4}"/>
    <cellStyle name="Normal 3 4 4 3 5" xfId="7354" xr:uid="{0B67D1EA-CDCD-473B-9FD2-6C80F87CA6EA}"/>
    <cellStyle name="Normal 3 4 4 3 5 2" xfId="18147" xr:uid="{4C5CBD1D-543D-405E-AEB1-8CCF708C7844}"/>
    <cellStyle name="Normal 3 4 4 3 5 3" xfId="14067" xr:uid="{25266ECD-0AFE-428B-8933-DB6DE5A59662}"/>
    <cellStyle name="Normal 3 4 4 3 6" xfId="8556" xr:uid="{B0A83E5D-90ED-4EDA-BEB4-0AF93D0C6957}"/>
    <cellStyle name="Normal 3 4 4 3 6 2" xfId="18608" xr:uid="{298B24EA-8E4B-4CBA-ABF8-9120FDF1296D}"/>
    <cellStyle name="Normal 3 4 4 3 7" xfId="10022" xr:uid="{9AF4D244-0E93-428A-B41D-986A19627B0A}"/>
    <cellStyle name="Normal 3 4 4 3 8" xfId="10643" xr:uid="{79C43D9D-2A1A-48EA-95EB-E97C27CDE484}"/>
    <cellStyle name="Normal 3 4 4 3 9" xfId="15934" xr:uid="{2E5D8972-A9FF-4908-8989-F1D05FDB14DB}"/>
    <cellStyle name="Normal 3 4 4 4" xfId="4553" xr:uid="{01D62898-1C93-43C7-A6B0-0529BFD0E4F3}"/>
    <cellStyle name="Normal 3 4 4 4 2" xfId="7355" xr:uid="{B5520478-034A-43C1-895D-8D809D6F9C58}"/>
    <cellStyle name="Normal 3 4 4 4 2 2" xfId="8985" xr:uid="{4B0A083E-188F-4560-BC3F-06C548664CD4}"/>
    <cellStyle name="Normal 3 4 4 4 2 2 2" xfId="19037" xr:uid="{BEA6400C-6EC3-4E8A-B469-2FFF8BDAA68B}"/>
    <cellStyle name="Normal 3 4 4 4 2 3" xfId="16490" xr:uid="{4D322848-153B-47EC-A00B-15F2690C70CF}"/>
    <cellStyle name="Normal 3 4 4 4 2 4" xfId="15143" xr:uid="{09634344-7A43-45B0-B071-C8609AFD23D2}"/>
    <cellStyle name="Normal 3 4 4 4 3" xfId="7356" xr:uid="{0DE22F33-0FCF-4DF7-AEB8-DF2236E8E274}"/>
    <cellStyle name="Normal 3 4 4 4 3 2" xfId="9433" xr:uid="{3A451053-BEE1-400D-B2F4-2248DD6E4EF1}"/>
    <cellStyle name="Normal 3 4 4 4 3 2 2" xfId="19485" xr:uid="{9EE07511-1BB3-4911-B9E5-AE4A934F1B37}"/>
    <cellStyle name="Normal 3 4 4 4 3 3" xfId="16936" xr:uid="{EA5432E4-211A-42D2-BD50-F8B0CFFB6A6C}"/>
    <cellStyle name="Normal 3 4 4 4 3 4" xfId="15725" xr:uid="{EDE0EBA0-3C00-472B-AF8D-6FD7593D7556}"/>
    <cellStyle name="Normal 3 4 4 4 4" xfId="7357" xr:uid="{3C2038B6-04BF-4E13-B623-2B8C167C90CD}"/>
    <cellStyle name="Normal 3 4 4 4 4 2" xfId="17537" xr:uid="{19D8E6C3-1D40-4013-B2A7-B1E3D8D4F461}"/>
    <cellStyle name="Normal 3 4 4 4 4 3" xfId="14661" xr:uid="{7D22F2F5-728C-4BE8-884E-EB5541649ED5}"/>
    <cellStyle name="Normal 3 4 4 4 5" xfId="7358" xr:uid="{6E00329E-ABA7-401A-A0DC-F5EFB4DC4770}"/>
    <cellStyle name="Normal 3 4 4 4 5 2" xfId="18148" xr:uid="{0A441A50-316D-43E6-B1D6-EE93BFC396C6}"/>
    <cellStyle name="Normal 3 4 4 4 5 3" xfId="14016" xr:uid="{29852FCE-BA35-40BA-91D3-738FE219BE1C}"/>
    <cellStyle name="Normal 3 4 4 4 6" xfId="8557" xr:uid="{15411DE0-92AB-4CC9-AF3E-F461461BEDC2}"/>
    <cellStyle name="Normal 3 4 4 4 6 2" xfId="18609" xr:uid="{7A28680C-7826-404F-9C39-7A1DDA62DDE2}"/>
    <cellStyle name="Normal 3 4 4 4 7" xfId="10023" xr:uid="{CDE3A300-179F-4E11-9F00-DDF3592CB79E}"/>
    <cellStyle name="Normal 3 4 4 4 8" xfId="10644" xr:uid="{5407F3F0-D9C1-4EE8-BEF5-B02097375E12}"/>
    <cellStyle name="Normal 3 4 4 4 9" xfId="15933" xr:uid="{2C60E3FF-9C6D-4C84-858D-2C16BD5BA2FA}"/>
    <cellStyle name="Normal 3 4 4 5" xfId="7359" xr:uid="{45B2EAF4-189D-4969-A8C4-14044DBA0BE1}"/>
    <cellStyle name="Normal 3 4 4 5 2" xfId="7360" xr:uid="{9178084F-3C4E-4203-833D-925FFEC3BEA7}"/>
    <cellStyle name="Normal 3 4 4 5 2 2" xfId="17319" xr:uid="{7B0578CB-18C4-4252-BE6F-CB414E2A4BE3}"/>
    <cellStyle name="Normal 3 4 4 5 3" xfId="7361" xr:uid="{1739E7F8-84BE-4722-A85E-B2DBB711DBFB}"/>
    <cellStyle name="Normal 3 4 4 5 3 2" xfId="17933" xr:uid="{15DA6563-A729-4A4B-BD4C-14852E2D5B3D}"/>
    <cellStyle name="Normal 3 4 4 5 4" xfId="8762" xr:uid="{F239F613-69BD-4EB2-90B5-003E0E994AE8}"/>
    <cellStyle name="Normal 3 4 4 5 4 2" xfId="18814" xr:uid="{31AECF43-CD87-4B07-BB6F-00B13C906F83}"/>
    <cellStyle name="Normal 3 4 4 5 5" xfId="9809" xr:uid="{026B332D-D742-4FF0-B919-9971059F640B}"/>
    <cellStyle name="Normal 3 4 4 5 6" xfId="10645" xr:uid="{8153C59A-2891-497F-8E6A-4FB059E8D0D6}"/>
    <cellStyle name="Normal 3 4 4 5 7" xfId="15345" xr:uid="{898628FB-7901-4AAF-A0BD-AEC348FAC2A3}"/>
    <cellStyle name="Normal 3 4 4 6" xfId="7362" xr:uid="{59893685-F5D3-4653-9786-C2921AF38DBD}"/>
    <cellStyle name="Normal 3 4 4 6 2" xfId="9210" xr:uid="{AF4F9A4F-8A0C-465D-855C-9CAFC5968011}"/>
    <cellStyle name="Normal 3 4 4 6 2 2" xfId="19262" xr:uid="{526A8D71-078A-48FC-9A72-5783293707AD}"/>
    <cellStyle name="Normal 3 4 4 6 3" xfId="16713" xr:uid="{CFD72FD2-586D-4A2B-AD5A-D3FE2AA4D855}"/>
    <cellStyle name="Normal 3 4 4 6 4" xfId="14950" xr:uid="{128A34BF-D68E-4FBE-8F28-D70E55C695E7}"/>
    <cellStyle name="Normal 3 4 4 7" xfId="7363" xr:uid="{65111DCB-1DC9-4BE7-A402-7DADAA9A5676}"/>
    <cellStyle name="Normal 3 4 4 7 2" xfId="17172" xr:uid="{77B72EDC-9DC6-4CB0-8DB5-8594CF64F7BB}"/>
    <cellStyle name="Normal 3 4 4 7 3" xfId="15539" xr:uid="{DCEC8CA5-0608-438A-8286-3F9ED50C30E4}"/>
    <cellStyle name="Normal 3 4 4 8" xfId="7364" xr:uid="{F1A2FD03-1878-4348-8720-95E2BCB5ED42}"/>
    <cellStyle name="Normal 3 4 4 8 2" xfId="17782" xr:uid="{BDA397D0-3050-4676-A093-CBED69709926}"/>
    <cellStyle name="Normal 3 4 4 8 3" xfId="14097" xr:uid="{01118A51-CBF0-42FD-A583-61ACFAF1D615}"/>
    <cellStyle name="Normal 3 4 4 9" xfId="8334" xr:uid="{BE4353AF-A69F-4292-801E-C8A186781BE1}"/>
    <cellStyle name="Normal 3 4 4 9 2" xfId="18386" xr:uid="{37A65445-4884-4F79-BB02-F4EB2F1C3164}"/>
    <cellStyle name="Normal 3 4 5" xfId="2848" xr:uid="{66C2C670-F028-4ED4-A04C-B2F5805FE56C}"/>
    <cellStyle name="Normal 3 4 5 10" xfId="9665" xr:uid="{25707789-18FB-4DD3-B9EC-57E4562C4C4F}"/>
    <cellStyle name="Normal 3 4 5 11" xfId="10319" xr:uid="{5C54A9DD-F740-4F89-913B-FB3ED15218DC}"/>
    <cellStyle name="Normal 3 4 5 12" xfId="11718" xr:uid="{3F337634-C39D-47C8-8359-7AB56F66A7BD}"/>
    <cellStyle name="Normal 3 4 5 12 2" xfId="16117" xr:uid="{C7920451-02B8-4787-9CB1-09437E224AA9}"/>
    <cellStyle name="Normal 3 4 5 12 3" xfId="20592" xr:uid="{69395FB1-5480-4168-886E-254677181163}"/>
    <cellStyle name="Normal 3 4 5 2" xfId="2849" xr:uid="{6AD7424D-6F38-4D21-929E-9104243CC99A}"/>
    <cellStyle name="Normal 3 4 5 2 10" xfId="10320" xr:uid="{8887DA38-FF30-4F26-BF7E-D4F747665FB4}"/>
    <cellStyle name="Normal 3 4 5 2 11" xfId="15436" xr:uid="{9AE43564-B3C7-4C82-A641-884A7710E257}"/>
    <cellStyle name="Normal 3 4 5 2 2" xfId="4554" xr:uid="{6E26478B-5606-4A29-BA3C-42723D949975}"/>
    <cellStyle name="Normal 3 4 5 2 2 2" xfId="7365" xr:uid="{BEBBA2A6-59BD-4A79-96DF-778B7C54BE58}"/>
    <cellStyle name="Normal 3 4 5 2 2 2 2" xfId="8986" xr:uid="{C8490BF3-3C48-4C48-AAA2-A1FE0327CCA1}"/>
    <cellStyle name="Normal 3 4 5 2 2 2 2 2" xfId="19038" xr:uid="{68F0AEBC-705B-4B76-99B5-3B939301CABD}"/>
    <cellStyle name="Normal 3 4 5 2 2 2 3" xfId="16491" xr:uid="{16ABD2F1-6E15-4173-83B1-38481B4D60B7}"/>
    <cellStyle name="Normal 3 4 5 2 2 2 4" xfId="15142" xr:uid="{A1FCE27E-BDB0-41D4-BC8D-03BF8628B57C}"/>
    <cellStyle name="Normal 3 4 5 2 2 3" xfId="7366" xr:uid="{AB58519C-C567-4037-9AEE-F02E6070990A}"/>
    <cellStyle name="Normal 3 4 5 2 2 3 2" xfId="9434" xr:uid="{331D3078-BA73-4144-8184-22AF38A4DE5D}"/>
    <cellStyle name="Normal 3 4 5 2 2 3 2 2" xfId="19486" xr:uid="{4C9ED5EA-4C18-41EC-9B23-099F082567E0}"/>
    <cellStyle name="Normal 3 4 5 2 2 3 3" xfId="16937" xr:uid="{FE1D21D0-4197-4B5B-8041-64E270942668}"/>
    <cellStyle name="Normal 3 4 5 2 2 3 4" xfId="15724" xr:uid="{B7DF23A1-0D52-4DB4-A403-62FE62F2B1AA}"/>
    <cellStyle name="Normal 3 4 5 2 2 4" xfId="7367" xr:uid="{C079AC92-237D-49B0-A47B-46EBCB25247E}"/>
    <cellStyle name="Normal 3 4 5 2 2 4 2" xfId="17538" xr:uid="{02AB6C2C-DDF0-4B08-ABD6-4224A10C01C4}"/>
    <cellStyle name="Normal 3 4 5 2 2 4 3" xfId="14111" xr:uid="{C9125B6E-3F88-4D46-B066-78B8B8D9C187}"/>
    <cellStyle name="Normal 3 4 5 2 2 5" xfId="7368" xr:uid="{96DCB9D1-943F-450D-9600-B53E15A6CDD6}"/>
    <cellStyle name="Normal 3 4 5 2 2 5 2" xfId="18149" xr:uid="{311037A9-AA70-4377-A788-D2EE1698193C}"/>
    <cellStyle name="Normal 3 4 5 2 2 5 3" xfId="14308" xr:uid="{E887926B-59AA-4A31-B79A-B0ECF9407469}"/>
    <cellStyle name="Normal 3 4 5 2 2 6" xfId="8558" xr:uid="{484B3A13-C7F8-498B-9D6D-3A192AA3120A}"/>
    <cellStyle name="Normal 3 4 5 2 2 6 2" xfId="18610" xr:uid="{3BEA2F16-C3CA-474F-A89F-79A98E407835}"/>
    <cellStyle name="Normal 3 4 5 2 2 7" xfId="10024" xr:uid="{C1519E80-0DD3-4655-B090-3E34264C5BA4}"/>
    <cellStyle name="Normal 3 4 5 2 2 8" xfId="10646" xr:uid="{0881C857-9CF3-44E6-8C83-F249DC166A57}"/>
    <cellStyle name="Normal 3 4 5 2 2 9" xfId="15932" xr:uid="{169605A4-A559-496B-9F56-47383AF3DE40}"/>
    <cellStyle name="Normal 3 4 5 2 3" xfId="4555" xr:uid="{CC0C80C5-4708-4E9A-AB25-469428A369E6}"/>
    <cellStyle name="Normal 3 4 5 2 3 2" xfId="7369" xr:uid="{A2CD9E72-946A-4E5C-88F1-245E9F64CD64}"/>
    <cellStyle name="Normal 3 4 5 2 3 2 2" xfId="8987" xr:uid="{39D2513C-C5CF-4B41-AB65-659D63995638}"/>
    <cellStyle name="Normal 3 4 5 2 3 2 2 2" xfId="19039" xr:uid="{14A177E7-7196-4E12-85C9-C79C4117899A}"/>
    <cellStyle name="Normal 3 4 5 2 3 2 3" xfId="16492" xr:uid="{94EEB5C9-3EF6-4C30-92E4-D644D894BA2B}"/>
    <cellStyle name="Normal 3 4 5 2 3 2 4" xfId="15141" xr:uid="{20418AC9-7CDA-4EFF-9429-0C5904431647}"/>
    <cellStyle name="Normal 3 4 5 2 3 3" xfId="7370" xr:uid="{2E2CE38B-B1A6-40B9-90E4-2B667441DFFE}"/>
    <cellStyle name="Normal 3 4 5 2 3 3 2" xfId="9435" xr:uid="{88208050-6F46-42D6-BDB2-150CF89F4ABA}"/>
    <cellStyle name="Normal 3 4 5 2 3 3 2 2" xfId="19487" xr:uid="{F6FE6904-B33D-48EA-A6DA-8FBC7B97B0D9}"/>
    <cellStyle name="Normal 3 4 5 2 3 3 3" xfId="16938" xr:uid="{9E7CB780-487E-4385-8D94-88906DEE37B3}"/>
    <cellStyle name="Normal 3 4 5 2 3 3 4" xfId="15723" xr:uid="{AE0B6B4C-C30C-4373-B760-1339E75FCCF5}"/>
    <cellStyle name="Normal 3 4 5 2 3 4" xfId="7371" xr:uid="{BC6B9718-767B-4DE5-B4ED-F2E8E3C660D1}"/>
    <cellStyle name="Normal 3 4 5 2 3 4 2" xfId="17539" xr:uid="{4564BE30-A8E9-4E7B-BBCB-4C110A16BCD7}"/>
    <cellStyle name="Normal 3 4 5 2 3 4 3" xfId="14660" xr:uid="{342CF9AD-A623-4611-8A38-39E13CC114A9}"/>
    <cellStyle name="Normal 3 4 5 2 3 5" xfId="7372" xr:uid="{334C0124-EEB5-4665-98B0-859DEA043020}"/>
    <cellStyle name="Normal 3 4 5 2 3 5 2" xfId="18150" xr:uid="{20BC5991-9BF2-4DA7-9304-3B05A13CB59A}"/>
    <cellStyle name="Normal 3 4 5 2 3 5 3" xfId="14307" xr:uid="{CE08A631-0524-4A9E-91FA-EA1620A167BC}"/>
    <cellStyle name="Normal 3 4 5 2 3 6" xfId="8559" xr:uid="{D1E8181E-1F64-411B-A115-60DEC3C43D18}"/>
    <cellStyle name="Normal 3 4 5 2 3 6 2" xfId="18611" xr:uid="{82FB32AD-DD73-4581-B9A2-7DD29F2BC41A}"/>
    <cellStyle name="Normal 3 4 5 2 3 7" xfId="10025" xr:uid="{D06D5623-CF8C-4BDF-ABB3-E88EDD54AE9F}"/>
    <cellStyle name="Normal 3 4 5 2 3 8" xfId="10647" xr:uid="{AD42F1C6-5982-446C-8194-B42EBD163D66}"/>
    <cellStyle name="Normal 3 4 5 2 3 9" xfId="15931" xr:uid="{330891F1-3266-483F-A60F-3AF3FD99B397}"/>
    <cellStyle name="Normal 3 4 5 2 4" xfId="7373" xr:uid="{5B4097F1-1C07-4A25-A5B7-4D05FFA23037}"/>
    <cellStyle name="Normal 3 4 5 2 4 2" xfId="7374" xr:uid="{F754AE34-91EF-4E38-9439-94A8547B053E}"/>
    <cellStyle name="Normal 3 4 5 2 4 2 2" xfId="17322" xr:uid="{FF63561C-B384-4076-88F9-187B8FFEF777}"/>
    <cellStyle name="Normal 3 4 5 2 4 3" xfId="7375" xr:uid="{8FD95B2D-60CB-4290-9B84-D6E92F9A2125}"/>
    <cellStyle name="Normal 3 4 5 2 4 3 2" xfId="17936" xr:uid="{5E09BF0A-2DA2-46F2-932A-D929BBE566C1}"/>
    <cellStyle name="Normal 3 4 5 2 4 4" xfId="8765" xr:uid="{1B0B55DA-1F2B-454A-892B-609E9C44DDE6}"/>
    <cellStyle name="Normal 3 4 5 2 4 4 2" xfId="18817" xr:uid="{36591463-ACD6-4F73-8B6A-D9B2BF751257}"/>
    <cellStyle name="Normal 3 4 5 2 4 5" xfId="9812" xr:uid="{84A87CE4-EBB1-47F0-B4D7-C991CC1F7E94}"/>
    <cellStyle name="Normal 3 4 5 2 4 6" xfId="10648" xr:uid="{673B603E-026A-4FCC-8B99-864C48562A1B}"/>
    <cellStyle name="Normal 3 4 5 2 4 7" xfId="15342" xr:uid="{04F76427-5172-4E5A-BAAB-382155ABAF2E}"/>
    <cellStyle name="Normal 3 4 5 2 5" xfId="7376" xr:uid="{70254A1C-3EB0-43B1-8976-B2C57F66AA28}"/>
    <cellStyle name="Normal 3 4 5 2 5 2" xfId="9213" xr:uid="{EC7CE7F2-F7A8-4761-864F-04B0F8E1DDF5}"/>
    <cellStyle name="Normal 3 4 5 2 5 2 2" xfId="19265" xr:uid="{D6480061-03E3-4499-9992-2DAFEA0B7BE5}"/>
    <cellStyle name="Normal 3 4 5 2 5 3" xfId="16716" xr:uid="{1C07751B-8214-4EDC-9EC3-86A2372C6034}"/>
    <cellStyle name="Normal 3 4 5 2 5 4" xfId="14947" xr:uid="{1256EE20-731E-4A1C-8D2A-09C89A1B9710}"/>
    <cellStyle name="Normal 3 4 5 2 6" xfId="7377" xr:uid="{4743A1D3-F7B0-4DB1-B441-5B9CA5D06480}"/>
    <cellStyle name="Normal 3 4 5 2 6 2" xfId="17175" xr:uid="{C8E07736-33C5-425D-A806-2BC95B4ADB63}"/>
    <cellStyle name="Normal 3 4 5 2 6 3" xfId="14805" xr:uid="{F3E7D473-BFC4-45E8-89C8-5D7F37DA8883}"/>
    <cellStyle name="Normal 3 4 5 2 7" xfId="7378" xr:uid="{D83F0BF8-0E38-4015-92E8-4D9BA1E0A8AF}"/>
    <cellStyle name="Normal 3 4 5 2 7 2" xfId="17785" xr:uid="{E688F6DF-DA0B-4948-84BB-DBF9D3B8B3F0}"/>
    <cellStyle name="Normal 3 4 5 2 7 3" xfId="14486" xr:uid="{671FE17C-82EC-423B-A7FA-BB3AD9ED1ADC}"/>
    <cellStyle name="Normal 3 4 5 2 8" xfId="8337" xr:uid="{C387AB2B-1B3A-4673-A0E1-A8AB8EEF9C2C}"/>
    <cellStyle name="Normal 3 4 5 2 8 2" xfId="18389" xr:uid="{9DDC45EC-DF63-4D74-839C-1B653D7924EB}"/>
    <cellStyle name="Normal 3 4 5 2 9" xfId="9666" xr:uid="{C4E1B873-36CA-4F60-B98A-361223DAB0CB}"/>
    <cellStyle name="Normal 3 4 5 3" xfId="4556" xr:uid="{2255F7A0-1F21-47F3-8701-E304E30CBBC2}"/>
    <cellStyle name="Normal 3 4 5 3 2" xfId="7379" xr:uid="{48D0C9A8-57A8-45A1-86F1-3F3AEC89C398}"/>
    <cellStyle name="Normal 3 4 5 3 2 2" xfId="8988" xr:uid="{6B47EA53-010F-4BFA-8E5E-AAED951F8FEB}"/>
    <cellStyle name="Normal 3 4 5 3 2 2 2" xfId="19040" xr:uid="{CD3E0109-7C55-4406-AA3B-356441B0BA95}"/>
    <cellStyle name="Normal 3 4 5 3 2 3" xfId="16493" xr:uid="{9058CD5B-6C4E-4A31-96D4-69681DE377DB}"/>
    <cellStyle name="Normal 3 4 5 3 2 4" xfId="15140" xr:uid="{C8414516-E56D-40E9-BFE5-3FEB4681B15E}"/>
    <cellStyle name="Normal 3 4 5 3 3" xfId="7380" xr:uid="{8ADDBC58-3CFF-4987-897B-52EB18635428}"/>
    <cellStyle name="Normal 3 4 5 3 3 2" xfId="9436" xr:uid="{EA310A77-F286-4C59-A252-E8556DD3B15F}"/>
    <cellStyle name="Normal 3 4 5 3 3 2 2" xfId="19488" xr:uid="{ACEB9248-CB4E-492E-9EE2-BC3C6B9EAD5B}"/>
    <cellStyle name="Normal 3 4 5 3 3 3" xfId="16939" xr:uid="{5338927D-FD06-4BC8-9884-5431B2716752}"/>
    <cellStyle name="Normal 3 4 5 3 3 4" xfId="15722" xr:uid="{F935849F-FC5E-4810-B7A6-CA55B330CC6F}"/>
    <cellStyle name="Normal 3 4 5 3 4" xfId="7381" xr:uid="{92EECA57-71E1-4683-87A6-AF7FBD3E4FA7}"/>
    <cellStyle name="Normal 3 4 5 3 4 2" xfId="17540" xr:uid="{F66DEA9E-23E7-4DDC-B829-4C9254EC504A}"/>
    <cellStyle name="Normal 3 4 5 3 4 3" xfId="14659" xr:uid="{E29E7149-96B2-4547-B459-659540879D29}"/>
    <cellStyle name="Normal 3 4 5 3 5" xfId="7382" xr:uid="{4F2AA8B4-5B10-4D53-AC8F-1E6CB06DA398}"/>
    <cellStyle name="Normal 3 4 5 3 5 2" xfId="18151" xr:uid="{F432171C-10F4-4D8B-80DA-02DBFB2324AC}"/>
    <cellStyle name="Normal 3 4 5 3 5 3" xfId="14306" xr:uid="{A479A795-C061-4C4D-BE83-C64C8BAF89A3}"/>
    <cellStyle name="Normal 3 4 5 3 6" xfId="8560" xr:uid="{EE5FE959-51A3-4A5C-AC0B-65B6D2BD999C}"/>
    <cellStyle name="Normal 3 4 5 3 6 2" xfId="18612" xr:uid="{AA3801F7-5F5F-4563-8662-15454FF7C94E}"/>
    <cellStyle name="Normal 3 4 5 3 7" xfId="10026" xr:uid="{C846D19C-9516-40AF-B7B5-28A6A0DB5501}"/>
    <cellStyle name="Normal 3 4 5 3 8" xfId="10649" xr:uid="{8613A8D4-1AF9-4EC2-8885-692D349FF065}"/>
    <cellStyle name="Normal 3 4 5 3 9" xfId="15930" xr:uid="{D8BEC1AA-C614-4873-B35E-70D1FAF77BF6}"/>
    <cellStyle name="Normal 3 4 5 4" xfId="4557" xr:uid="{F23D7783-22A4-4834-9488-B9771C2C5CBA}"/>
    <cellStyle name="Normal 3 4 5 4 2" xfId="7383" xr:uid="{A0FD17AF-EBE1-4EB3-B9F1-406AF15BC39A}"/>
    <cellStyle name="Normal 3 4 5 4 2 2" xfId="8989" xr:uid="{29E98311-70A2-41B6-8D57-623C382047B7}"/>
    <cellStyle name="Normal 3 4 5 4 2 2 2" xfId="19041" xr:uid="{40C3B685-8730-4CF7-A024-888070B5743F}"/>
    <cellStyle name="Normal 3 4 5 4 2 3" xfId="16494" xr:uid="{43ACBA95-D8FC-4656-A774-A6792A69A1CB}"/>
    <cellStyle name="Normal 3 4 5 4 2 4" xfId="14031" xr:uid="{E64EFF1B-5C2C-4048-82BE-CAF04624ED5F}"/>
    <cellStyle name="Normal 3 4 5 4 3" xfId="7384" xr:uid="{4076A935-33D1-4648-BBF3-BD610E04880C}"/>
    <cellStyle name="Normal 3 4 5 4 3 2" xfId="9437" xr:uid="{712F8549-F561-4F82-8DF6-A088B8BEA3AC}"/>
    <cellStyle name="Normal 3 4 5 4 3 2 2" xfId="19489" xr:uid="{A936C9F7-E63E-4592-9369-A61DC253D560}"/>
    <cellStyle name="Normal 3 4 5 4 3 3" xfId="16940" xr:uid="{63D21049-5FB1-4C21-8E44-1904513E9591}"/>
    <cellStyle name="Normal 3 4 5 4 3 4" xfId="15721" xr:uid="{B496B0A9-E727-4D91-9642-79357A2C13FE}"/>
    <cellStyle name="Normal 3 4 5 4 4" xfId="7385" xr:uid="{F0612A34-439C-4845-89AC-FD7C29CA575F}"/>
    <cellStyle name="Normal 3 4 5 4 4 2" xfId="17541" xr:uid="{C7DF6A8B-41FD-4DEA-B656-281C4FFE92E8}"/>
    <cellStyle name="Normal 3 4 5 4 4 3" xfId="14658" xr:uid="{D9D7B100-7A8A-4A36-871C-FBE8F5F75D43}"/>
    <cellStyle name="Normal 3 4 5 4 5" xfId="7386" xr:uid="{04A6FD0F-7C47-4C66-A257-AFEB28590401}"/>
    <cellStyle name="Normal 3 4 5 4 5 2" xfId="18152" xr:uid="{C1C7692C-E7C9-4B09-AE95-ECC1C811E976}"/>
    <cellStyle name="Normal 3 4 5 4 5 3" xfId="14305" xr:uid="{DA4958A1-4438-4AC0-88DC-E5BE5CC98608}"/>
    <cellStyle name="Normal 3 4 5 4 6" xfId="8561" xr:uid="{6D9EA625-0292-4216-8381-BD758E1863D3}"/>
    <cellStyle name="Normal 3 4 5 4 6 2" xfId="18613" xr:uid="{8477B89B-041E-4CA0-AB11-40C0254A1456}"/>
    <cellStyle name="Normal 3 4 5 4 7" xfId="10027" xr:uid="{09D22DCC-ACEA-486B-94CD-8CD6A3C9552A}"/>
    <cellStyle name="Normal 3 4 5 4 8" xfId="10650" xr:uid="{72AF73A8-138A-4A60-9817-1BE60FEAC27B}"/>
    <cellStyle name="Normal 3 4 5 4 9" xfId="15407" xr:uid="{E5D30D16-B750-49AB-8FB9-00F8E635413F}"/>
    <cellStyle name="Normal 3 4 5 5" xfId="7387" xr:uid="{F79B181B-9DF7-4E4F-BCED-682C30861AB3}"/>
    <cellStyle name="Normal 3 4 5 5 2" xfId="7388" xr:uid="{9A0A2162-20EA-433C-8337-05ACF5F64213}"/>
    <cellStyle name="Normal 3 4 5 5 2 2" xfId="17321" xr:uid="{E1A19F08-1F82-4AC4-B6FE-000DD220DF43}"/>
    <cellStyle name="Normal 3 4 5 5 3" xfId="7389" xr:uid="{E1221BE6-7FD1-466B-B0FF-AD7F27E7ECE7}"/>
    <cellStyle name="Normal 3 4 5 5 3 2" xfId="17935" xr:uid="{605160DA-8730-40CA-AC3C-602609599447}"/>
    <cellStyle name="Normal 3 4 5 5 4" xfId="8764" xr:uid="{FC3D6134-18A5-4C84-B873-1B69572E3531}"/>
    <cellStyle name="Normal 3 4 5 5 4 2" xfId="18816" xr:uid="{F368BA55-4747-422F-8D89-6982CF98F363}"/>
    <cellStyle name="Normal 3 4 5 5 5" xfId="9811" xr:uid="{1A7E8B76-CF2A-4A95-AE92-C5C65E343838}"/>
    <cellStyle name="Normal 3 4 5 5 6" xfId="10651" xr:uid="{51F99C1F-44B7-4EA1-B558-2DA81C686BCC}"/>
    <cellStyle name="Normal 3 4 5 5 7" xfId="15343" xr:uid="{0F5899E3-D437-46EA-97CA-BE996CE869CB}"/>
    <cellStyle name="Normal 3 4 5 6" xfId="7390" xr:uid="{1FDA1F3A-1F64-4D39-B645-3C2B0BA0BD14}"/>
    <cellStyle name="Normal 3 4 5 6 2" xfId="9212" xr:uid="{304B8AA7-1334-40DA-9C63-C8084C075DE8}"/>
    <cellStyle name="Normal 3 4 5 6 2 2" xfId="19264" xr:uid="{491DE122-DA7A-45A7-A989-4F4DBFFCC02E}"/>
    <cellStyle name="Normal 3 4 5 6 3" xfId="16715" xr:uid="{D446551D-F126-4134-921F-51777087E384}"/>
    <cellStyle name="Normal 3 4 5 6 4" xfId="14948" xr:uid="{A0E549E2-D9EC-457A-A5F6-119679DFF047}"/>
    <cellStyle name="Normal 3 4 5 7" xfId="7391" xr:uid="{9AE1E905-61A9-453F-BBC2-B78C80C2EDE0}"/>
    <cellStyle name="Normal 3 4 5 7 2" xfId="17174" xr:uid="{1544506D-ADE8-4D80-9B67-A36BF2E6996F}"/>
    <cellStyle name="Normal 3 4 5 7 3" xfId="15537" xr:uid="{39680DFD-625F-4235-B28A-E782D286BAD4}"/>
    <cellStyle name="Normal 3 4 5 8" xfId="7392" xr:uid="{AE8B21FB-8BF5-49FB-9DB6-69A8AC0A634D}"/>
    <cellStyle name="Normal 3 4 5 8 2" xfId="17784" xr:uid="{ACACCBEC-9F46-43A2-96EC-929723FED2FF}"/>
    <cellStyle name="Normal 3 4 5 8 3" xfId="14487" xr:uid="{FED27445-B362-4A73-932A-D9654B04105B}"/>
    <cellStyle name="Normal 3 4 5 9" xfId="8336" xr:uid="{10623FE8-698A-46EE-8561-586D2F917D06}"/>
    <cellStyle name="Normal 3 4 5 9 2" xfId="18388" xr:uid="{3193439A-8D25-411D-ACE0-9A1D2FE132BA}"/>
    <cellStyle name="Normal 3 4 6" xfId="2850" xr:uid="{EF181FEB-6E04-4303-98E2-D5FA798E7DF8}"/>
    <cellStyle name="Normal 3 4 6 10" xfId="9667" xr:uid="{9844356C-96A3-4721-B0F0-D8DC412F609D}"/>
    <cellStyle name="Normal 3 4 6 11" xfId="10321" xr:uid="{0BD814DB-3AB3-4B79-B356-C0B49C6BD64A}"/>
    <cellStyle name="Normal 3 4 6 12" xfId="11298" xr:uid="{1BC649C1-1ACD-4394-B792-6CB0CA7A9282}"/>
    <cellStyle name="Normal 3 4 6 12 2" xfId="16116" xr:uid="{2E572ED0-7FA5-480E-9A87-55F7D7FA3C4A}"/>
    <cellStyle name="Normal 3 4 6 12 3" xfId="20533" xr:uid="{F50EA1C3-42AC-4CC5-B431-EB71EAE17FE3}"/>
    <cellStyle name="Normal 3 4 6 2" xfId="2851" xr:uid="{1E318CEB-64AA-477F-91F8-413E81D4E626}"/>
    <cellStyle name="Normal 3 4 6 2 10" xfId="10322" xr:uid="{E7685367-0485-4A67-BF8C-036E22A990C5}"/>
    <cellStyle name="Normal 3 4 6 2 11" xfId="16115" xr:uid="{4B6BFA0D-BA72-405B-8715-279EEE3C8290}"/>
    <cellStyle name="Normal 3 4 6 2 2" xfId="4558" xr:uid="{C6366A5C-9FDB-4D97-BADB-3629CCF35A52}"/>
    <cellStyle name="Normal 3 4 6 2 2 2" xfId="7393" xr:uid="{C1B9D151-FD57-49B1-850F-E0134E410C12}"/>
    <cellStyle name="Normal 3 4 6 2 2 2 2" xfId="8990" xr:uid="{B2D70502-B56E-4CCB-9FD8-7C8E10A96A36}"/>
    <cellStyle name="Normal 3 4 6 2 2 2 2 2" xfId="19042" xr:uid="{E7B49A1C-2519-4BBD-83D9-8EBE675B88C7}"/>
    <cellStyle name="Normal 3 4 6 2 2 2 3" xfId="16495" xr:uid="{E1204E5F-0F39-4FC5-910D-D8278A76EEA2}"/>
    <cellStyle name="Normal 3 4 6 2 2 2 4" xfId="15139" xr:uid="{12FC1B61-3118-4A12-B615-062B331B2961}"/>
    <cellStyle name="Normal 3 4 6 2 2 3" xfId="7394" xr:uid="{56F3DB88-62E9-4466-A60C-D3BA5E90F87C}"/>
    <cellStyle name="Normal 3 4 6 2 2 3 2" xfId="9438" xr:uid="{FA7650B8-DE1A-452B-BF81-2AFDEE6A666C}"/>
    <cellStyle name="Normal 3 4 6 2 2 3 2 2" xfId="19490" xr:uid="{57684966-EBA8-4284-8737-CA746B354357}"/>
    <cellStyle name="Normal 3 4 6 2 2 3 3" xfId="16941" xr:uid="{EBBF5C2B-4FB9-4703-B98D-C29871DC2FB8}"/>
    <cellStyle name="Normal 3 4 6 2 2 3 4" xfId="15720" xr:uid="{04DC88DB-0157-4D05-BC52-71F2B4718FA3}"/>
    <cellStyle name="Normal 3 4 6 2 2 4" xfId="7395" xr:uid="{6DAB2044-EE29-431D-97C2-0769C5672040}"/>
    <cellStyle name="Normal 3 4 6 2 2 4 2" xfId="17542" xr:uid="{52F8C526-20BF-4607-B602-818E6EC72272}"/>
    <cellStyle name="Normal 3 4 6 2 2 4 3" xfId="14657" xr:uid="{3C236A11-5F1D-4D3D-934E-32E67D20077E}"/>
    <cellStyle name="Normal 3 4 6 2 2 5" xfId="7396" xr:uid="{01E988DB-6B2C-4EFC-84B8-9F4E11740553}"/>
    <cellStyle name="Normal 3 4 6 2 2 5 2" xfId="18153" xr:uid="{BD081874-164A-4349-B7BA-97460A8A7F43}"/>
    <cellStyle name="Normal 3 4 6 2 2 5 3" xfId="14304" xr:uid="{7AEC4293-15A7-4947-812C-E15723DDAFF3}"/>
    <cellStyle name="Normal 3 4 6 2 2 6" xfId="8562" xr:uid="{095AF6C2-B68D-4386-89A1-9357B14DD3A5}"/>
    <cellStyle name="Normal 3 4 6 2 2 6 2" xfId="18614" xr:uid="{0880D8E1-3979-4191-A73B-468A034B4E94}"/>
    <cellStyle name="Normal 3 4 6 2 2 7" xfId="10028" xr:uid="{6C460206-F074-4D7C-91B6-7B296194E802}"/>
    <cellStyle name="Normal 3 4 6 2 2 8" xfId="10652" xr:uid="{96678D79-6D0C-4CDF-8538-583241515D92}"/>
    <cellStyle name="Normal 3 4 6 2 2 9" xfId="15929" xr:uid="{DC92C958-5D0D-4A65-ABC7-DAB8CE3906EC}"/>
    <cellStyle name="Normal 3 4 6 2 3" xfId="4559" xr:uid="{2D29AEB5-B497-43B9-833C-5BF4DEE77607}"/>
    <cellStyle name="Normal 3 4 6 2 3 2" xfId="7397" xr:uid="{DBE1FC47-4A8C-48A3-A550-4C8EB56BF755}"/>
    <cellStyle name="Normal 3 4 6 2 3 2 2" xfId="8991" xr:uid="{7E3C7524-496F-47FE-B529-68DA22A7E84D}"/>
    <cellStyle name="Normal 3 4 6 2 3 2 2 2" xfId="19043" xr:uid="{4D8CAD07-9334-4235-9B50-C51C5F59AC85}"/>
    <cellStyle name="Normal 3 4 6 2 3 2 3" xfId="16496" xr:uid="{085EFEDA-5A1B-42A7-BF8E-93B1D9138E52}"/>
    <cellStyle name="Normal 3 4 6 2 3 2 4" xfId="15138" xr:uid="{A050FE93-F5FF-4E64-82D7-F54A42D95E6E}"/>
    <cellStyle name="Normal 3 4 6 2 3 3" xfId="7398" xr:uid="{93D232FB-3517-49D7-A503-ECCA92519F56}"/>
    <cellStyle name="Normal 3 4 6 2 3 3 2" xfId="9439" xr:uid="{87DFFC44-3572-4370-A52F-7E78F5A3B8AE}"/>
    <cellStyle name="Normal 3 4 6 2 3 3 2 2" xfId="19491" xr:uid="{6FF3D75A-E81D-410F-8905-CA1DAB873DD8}"/>
    <cellStyle name="Normal 3 4 6 2 3 3 3" xfId="16942" xr:uid="{42B97555-75A7-496B-9A1B-4702C63944DB}"/>
    <cellStyle name="Normal 3 4 6 2 3 3 4" xfId="14833" xr:uid="{D143F2BC-513A-4E0C-9298-8BEE8D56E4D1}"/>
    <cellStyle name="Normal 3 4 6 2 3 4" xfId="7399" xr:uid="{EB2C2025-AF80-4F87-812B-CBE95403E999}"/>
    <cellStyle name="Normal 3 4 6 2 3 4 2" xfId="17543" xr:uid="{4C1C21B8-BEFF-47A2-8A5D-45840971B591}"/>
    <cellStyle name="Normal 3 4 6 2 3 4 3" xfId="14656" xr:uid="{8CD99CCC-0FE5-4AB0-9829-8525BCE9B0A5}"/>
    <cellStyle name="Normal 3 4 6 2 3 5" xfId="7400" xr:uid="{3ADB46FC-B2B3-40FE-AF08-4105F208E82B}"/>
    <cellStyle name="Normal 3 4 6 2 3 5 2" xfId="18154" xr:uid="{20EE48EA-9E02-4831-A4C0-2664DD42D820}"/>
    <cellStyle name="Normal 3 4 6 2 3 5 3" xfId="14303" xr:uid="{20C130D8-46F9-4562-B7CC-996A1F1A91A2}"/>
    <cellStyle name="Normal 3 4 6 2 3 6" xfId="8563" xr:uid="{D88F19FA-8FF2-43BE-897E-748017CEA48C}"/>
    <cellStyle name="Normal 3 4 6 2 3 6 2" xfId="18615" xr:uid="{620D5D78-B59A-45A2-9AD4-F2AF03C5BF0D}"/>
    <cellStyle name="Normal 3 4 6 2 3 7" xfId="10029" xr:uid="{6B175B53-934F-4CC4-A43F-C4CF9E985A43}"/>
    <cellStyle name="Normal 3 4 6 2 3 8" xfId="10653" xr:uid="{4A129849-4A79-4517-90A4-EDA5C5F717CB}"/>
    <cellStyle name="Normal 3 4 6 2 3 9" xfId="15928" xr:uid="{5D14D53E-046E-4C00-B759-ECA5401F3FB7}"/>
    <cellStyle name="Normal 3 4 6 2 4" xfId="7401" xr:uid="{A3A38B70-6711-4E23-8372-73D2A7B72FFA}"/>
    <cellStyle name="Normal 3 4 6 2 4 2" xfId="7402" xr:uid="{DB254604-5DBA-45B3-8539-690068241BBD}"/>
    <cellStyle name="Normal 3 4 6 2 4 2 2" xfId="17324" xr:uid="{FF033812-6E46-445B-811D-50CCE113D72B}"/>
    <cellStyle name="Normal 3 4 6 2 4 3" xfId="7403" xr:uid="{256E8C4F-F318-437A-99FB-45DC218E70EA}"/>
    <cellStyle name="Normal 3 4 6 2 4 3 2" xfId="17938" xr:uid="{5F9C28A5-F2AB-423E-A782-F6E15FBCB252}"/>
    <cellStyle name="Normal 3 4 6 2 4 4" xfId="8767" xr:uid="{05C6E0C7-4AAB-4EA4-B1E4-6242FBD2CD49}"/>
    <cellStyle name="Normal 3 4 6 2 4 4 2" xfId="18819" xr:uid="{92485162-8A44-49A8-9E29-CE3D970F3F37}"/>
    <cellStyle name="Normal 3 4 6 2 4 5" xfId="9814" xr:uid="{74A6AE5F-2226-4862-940E-991B04306878}"/>
    <cellStyle name="Normal 3 4 6 2 4 6" xfId="10654" xr:uid="{2F1694CE-F08D-4A75-BAB0-FD3BDFC44BC1}"/>
    <cellStyle name="Normal 3 4 6 2 4 7" xfId="15340" xr:uid="{A1C173BB-AE42-4BDF-8D91-BE878BC9128D}"/>
    <cellStyle name="Normal 3 4 6 2 5" xfId="7404" xr:uid="{1C977AEF-C62A-412C-88B2-829ED79BBC08}"/>
    <cellStyle name="Normal 3 4 6 2 5 2" xfId="9215" xr:uid="{666EC8DD-DAF5-41A6-AA59-6056EBF22473}"/>
    <cellStyle name="Normal 3 4 6 2 5 2 2" xfId="19267" xr:uid="{2B11E2E2-1094-4590-9D3E-146BADD0B7AA}"/>
    <cellStyle name="Normal 3 4 6 2 5 3" xfId="16718" xr:uid="{4FA12C60-A82A-4800-8F2F-FE3590D544E5}"/>
    <cellStyle name="Normal 3 4 6 2 5 4" xfId="14945" xr:uid="{17D90671-370E-4272-9576-CCC0EEB1DE3B}"/>
    <cellStyle name="Normal 3 4 6 2 6" xfId="7405" xr:uid="{E00CA312-9FC2-490F-9DA0-EDFB8D943F1E}"/>
    <cellStyle name="Normal 3 4 6 2 6 2" xfId="17177" xr:uid="{5BEE946D-369B-48C6-91D0-0AD080396CC9}"/>
    <cellStyle name="Normal 3 4 6 2 6 3" xfId="15535" xr:uid="{AFA1572D-C583-498A-9B61-2B56F8975829}"/>
    <cellStyle name="Normal 3 4 6 2 7" xfId="7406" xr:uid="{3B34C9D0-A474-4103-880A-5341165D8688}"/>
    <cellStyle name="Normal 3 4 6 2 7 2" xfId="17787" xr:uid="{88A62C29-4BC8-4299-94EE-7A2E28477E0E}"/>
    <cellStyle name="Normal 3 4 6 2 7 3" xfId="14484" xr:uid="{9F5AFEDA-64C7-4C21-A254-46AFF573862A}"/>
    <cellStyle name="Normal 3 4 6 2 8" xfId="8339" xr:uid="{B904C36F-EFC4-4FA4-8B69-833A920B3E0D}"/>
    <cellStyle name="Normal 3 4 6 2 8 2" xfId="18391" xr:uid="{F6E72274-630C-4092-B573-E2B8CCF67C1A}"/>
    <cellStyle name="Normal 3 4 6 2 9" xfId="9668" xr:uid="{2BB18440-3F13-4555-8A85-ED8E51AF25F3}"/>
    <cellStyle name="Normal 3 4 6 3" xfId="4560" xr:uid="{206F4A0D-B119-48AD-BC13-B9F76D2A76E1}"/>
    <cellStyle name="Normal 3 4 6 3 2" xfId="7407" xr:uid="{9DD7F9A6-CE49-4873-A595-CE535DAFF43F}"/>
    <cellStyle name="Normal 3 4 6 3 2 2" xfId="8992" xr:uid="{DC3E62B2-AE5D-41C1-9DF1-6BC2B2F3A43A}"/>
    <cellStyle name="Normal 3 4 6 3 2 2 2" xfId="19044" xr:uid="{40B78B85-F686-4D90-BC0C-9DFC698277A3}"/>
    <cellStyle name="Normal 3 4 6 3 2 3" xfId="16497" xr:uid="{6D840CFF-5A0B-4431-8026-6FBDEC1B2A99}"/>
    <cellStyle name="Normal 3 4 6 3 2 4" xfId="15137" xr:uid="{BB1B2A57-974E-44D6-9E7A-32A6C9B59E9E}"/>
    <cellStyle name="Normal 3 4 6 3 3" xfId="7408" xr:uid="{4F5CD99B-7432-4BF2-8C79-D810417B193C}"/>
    <cellStyle name="Normal 3 4 6 3 3 2" xfId="9440" xr:uid="{938176BD-D394-4A81-90B0-292519AE2230}"/>
    <cellStyle name="Normal 3 4 6 3 3 2 2" xfId="19492" xr:uid="{2A338433-8CC0-4E00-9F89-774FE02B4636}"/>
    <cellStyle name="Normal 3 4 6 3 3 3" xfId="16943" xr:uid="{97246DCC-C3ED-494C-9FF2-2D93A580E8BD}"/>
    <cellStyle name="Normal 3 4 6 3 3 4" xfId="15719" xr:uid="{6FF5D4CD-ABCD-4E3B-8250-719F84A9E8DA}"/>
    <cellStyle name="Normal 3 4 6 3 4" xfId="7409" xr:uid="{F210EC33-94B3-4F90-97A4-EC78AB22C467}"/>
    <cellStyle name="Normal 3 4 6 3 4 2" xfId="17544" xr:uid="{59FEB46A-E606-4CA9-A3C5-AE0D1EC5743E}"/>
    <cellStyle name="Normal 3 4 6 3 4 3" xfId="14655" xr:uid="{367D643C-6B0C-40CA-B18A-6CFD0D6FEE79}"/>
    <cellStyle name="Normal 3 4 6 3 5" xfId="7410" xr:uid="{3E4785ED-324B-47A1-A986-4DBD32EE638A}"/>
    <cellStyle name="Normal 3 4 6 3 5 2" xfId="18155" xr:uid="{912283F2-010E-4C7E-8B4D-F2B0312E0A68}"/>
    <cellStyle name="Normal 3 4 6 3 5 3" xfId="14302" xr:uid="{4A19B996-BB01-48C7-A5EF-FB68BE703AA9}"/>
    <cellStyle name="Normal 3 4 6 3 6" xfId="8564" xr:uid="{2267AA13-AF22-4F62-80CA-1729B4DAB81A}"/>
    <cellStyle name="Normal 3 4 6 3 6 2" xfId="18616" xr:uid="{6A21F700-2D65-4A60-9FEE-24301ADAB15A}"/>
    <cellStyle name="Normal 3 4 6 3 7" xfId="10030" xr:uid="{1A4C58C7-3AA6-4326-B158-176F3509273B}"/>
    <cellStyle name="Normal 3 4 6 3 8" xfId="10655" xr:uid="{9BBFADE2-454B-44BB-BD29-FDC15DF8BF58}"/>
    <cellStyle name="Normal 3 4 6 3 9" xfId="15927" xr:uid="{5D84389B-685B-495C-85D1-895BA446BFDC}"/>
    <cellStyle name="Normal 3 4 6 4" xfId="4561" xr:uid="{254F0A98-845B-41F5-9D45-B32DF3BBC825}"/>
    <cellStyle name="Normal 3 4 6 4 2" xfId="7411" xr:uid="{A84A4A38-EE1A-4D22-9E36-ACD5664FECAE}"/>
    <cellStyle name="Normal 3 4 6 4 2 2" xfId="8993" xr:uid="{3263CEB7-FA52-4EF4-BAB3-A1ABFA3953A5}"/>
    <cellStyle name="Normal 3 4 6 4 2 2 2" xfId="19045" xr:uid="{A1602151-D2B5-40A7-AE68-172AE5BEF2CF}"/>
    <cellStyle name="Normal 3 4 6 4 2 3" xfId="16498" xr:uid="{EFB554DB-40BF-43BD-BB25-3BC04DC21743}"/>
    <cellStyle name="Normal 3 4 6 4 2 4" xfId="15136" xr:uid="{0B62C056-5EEA-4E64-A02B-9DD4632C9260}"/>
    <cellStyle name="Normal 3 4 6 4 3" xfId="7412" xr:uid="{A0E091AA-8394-4477-A8E4-E103018FF867}"/>
    <cellStyle name="Normal 3 4 6 4 3 2" xfId="9441" xr:uid="{4ECE7A68-42D4-47BA-B227-11152074D62B}"/>
    <cellStyle name="Normal 3 4 6 4 3 2 2" xfId="19493" xr:uid="{DF8B798D-3530-423A-854C-7C8860647692}"/>
    <cellStyle name="Normal 3 4 6 4 3 3" xfId="16944" xr:uid="{D1795CCA-B46A-4461-921F-986998B07929}"/>
    <cellStyle name="Normal 3 4 6 4 3 4" xfId="15718" xr:uid="{2C88490D-F443-4EF9-9B7E-8D275C73D87F}"/>
    <cellStyle name="Normal 3 4 6 4 4" xfId="7413" xr:uid="{8255748E-34AE-405B-9629-0CBA1C0628C4}"/>
    <cellStyle name="Normal 3 4 6 4 4 2" xfId="17545" xr:uid="{B4D0158F-2A81-4D96-925E-6884B085CD65}"/>
    <cellStyle name="Normal 3 4 6 4 4 3" xfId="14654" xr:uid="{E8EA5631-F32C-44B1-B6F1-E80658DF93F7}"/>
    <cellStyle name="Normal 3 4 6 4 5" xfId="7414" xr:uid="{A7C99D2C-DE72-4750-A5E6-D8EDF18ABAA2}"/>
    <cellStyle name="Normal 3 4 6 4 5 2" xfId="18156" xr:uid="{44F66F74-B3E3-4439-BB9F-058D95F726D7}"/>
    <cellStyle name="Normal 3 4 6 4 5 3" xfId="14301" xr:uid="{4F947228-0490-45B8-90F0-7A76399863C0}"/>
    <cellStyle name="Normal 3 4 6 4 6" xfId="8565" xr:uid="{30C72B19-5D10-417C-BF2F-333EA8F0DF84}"/>
    <cellStyle name="Normal 3 4 6 4 6 2" xfId="18617" xr:uid="{A12696B0-52A0-4F24-BE20-F7C2C62609B7}"/>
    <cellStyle name="Normal 3 4 6 4 7" xfId="10031" xr:uid="{AE240599-C570-4EEA-BEE8-7410494CDDB1}"/>
    <cellStyle name="Normal 3 4 6 4 8" xfId="10656" xr:uid="{94DBE5B5-EF93-400C-9B4F-8763D740B862}"/>
    <cellStyle name="Normal 3 4 6 4 9" xfId="15926" xr:uid="{1550BAA7-4C07-4275-B617-6E0258215594}"/>
    <cellStyle name="Normal 3 4 6 5" xfId="7415" xr:uid="{2AECB214-1626-4B91-BA0D-D6570827BC52}"/>
    <cellStyle name="Normal 3 4 6 5 2" xfId="7416" xr:uid="{62DCBEB1-D812-4B34-998A-3DBCBD718FC9}"/>
    <cellStyle name="Normal 3 4 6 5 2 2" xfId="17323" xr:uid="{0E4B07F8-820F-4473-AA62-53A8E01EF473}"/>
    <cellStyle name="Normal 3 4 6 5 3" xfId="7417" xr:uid="{812CF1FB-6A34-4794-890F-29F8FC2F1E92}"/>
    <cellStyle name="Normal 3 4 6 5 3 2" xfId="17937" xr:uid="{AB88021A-8975-4890-89AB-DBA5EBAC5294}"/>
    <cellStyle name="Normal 3 4 6 5 4" xfId="8766" xr:uid="{571D6BCC-D0E5-406C-A90A-1A9BC17C8746}"/>
    <cellStyle name="Normal 3 4 6 5 4 2" xfId="18818" xr:uid="{B5CEA87D-B86F-46DA-8FDB-FB359065DB1B}"/>
    <cellStyle name="Normal 3 4 6 5 5" xfId="9813" xr:uid="{824C9437-2609-4312-81F0-E5429E8B8645}"/>
    <cellStyle name="Normal 3 4 6 5 6" xfId="10657" xr:uid="{FC775FB3-9EEB-48FF-A9BC-57A86010AF1B}"/>
    <cellStyle name="Normal 3 4 6 5 7" xfId="15341" xr:uid="{22F42C15-1D89-4880-9905-99379F3939E5}"/>
    <cellStyle name="Normal 3 4 6 6" xfId="7418" xr:uid="{6E5B786C-B9A5-4198-9C46-63BFD01FB775}"/>
    <cellStyle name="Normal 3 4 6 6 2" xfId="9214" xr:uid="{8D4D5F60-E302-4441-8479-763E0D08BA87}"/>
    <cellStyle name="Normal 3 4 6 6 2 2" xfId="19266" xr:uid="{67E8F5F8-5CE5-4B4A-8641-10E30E1CB009}"/>
    <cellStyle name="Normal 3 4 6 6 3" xfId="16717" xr:uid="{FC228B42-AFA2-48A1-8AE5-A8F025582D1F}"/>
    <cellStyle name="Normal 3 4 6 6 4" xfId="14946" xr:uid="{4F6C79D9-AFBC-4837-BD0E-67420488BDCC}"/>
    <cellStyle name="Normal 3 4 6 7" xfId="7419" xr:uid="{AAA6C101-9EA8-4CCD-AA5C-98325E818FDC}"/>
    <cellStyle name="Normal 3 4 6 7 2" xfId="17176" xr:uid="{6E9A48FB-8CCA-4BB9-91EB-9B09E1C167EA}"/>
    <cellStyle name="Normal 3 4 6 7 3" xfId="15536" xr:uid="{074012DC-9D18-4C3F-824E-590CB49BB222}"/>
    <cellStyle name="Normal 3 4 6 8" xfId="7420" xr:uid="{CED2AF0E-3E6F-4353-B324-20334FC7A170}"/>
    <cellStyle name="Normal 3 4 6 8 2" xfId="17786" xr:uid="{351A2C87-50DC-4889-AB7D-1C6EFF232512}"/>
    <cellStyle name="Normal 3 4 6 8 3" xfId="14485" xr:uid="{B98E8526-5D42-4DF6-AEC9-AA481D35CCC3}"/>
    <cellStyle name="Normal 3 4 6 9" xfId="8338" xr:uid="{E0F0C278-AC87-432F-974F-8CE5188CCF0B}"/>
    <cellStyle name="Normal 3 4 6 9 2" xfId="18390" xr:uid="{697903AE-2C01-4BA5-841D-EEA048A7047F}"/>
    <cellStyle name="Normal 3 4 7" xfId="2852" xr:uid="{1854EAF0-65A9-4A72-9FD6-341BADA3D78B}"/>
    <cellStyle name="Normal 3 4 7 10" xfId="9669" xr:uid="{010C3891-18EA-462F-8581-B69DF6A6D66B}"/>
    <cellStyle name="Normal 3 4 7 11" xfId="10323" xr:uid="{384C27E8-2FF3-4256-87CD-42E66CF339CC}"/>
    <cellStyle name="Normal 3 4 7 12" xfId="12498" xr:uid="{7087F573-9003-47D6-868C-B08F63F94DD0}"/>
    <cellStyle name="Normal 3 4 7 12 2" xfId="16114" xr:uid="{6A316AD2-ABEF-41B0-AED4-ABACD60E7956}"/>
    <cellStyle name="Normal 3 4 7 12 3" xfId="20700" xr:uid="{2E08736D-AEB7-48ED-AAAD-7533CFB8ABBF}"/>
    <cellStyle name="Normal 3 4 7 2" xfId="2853" xr:uid="{535D72E3-E8FB-4924-941A-CE2A4D9A84F9}"/>
    <cellStyle name="Normal 3 4 7 2 10" xfId="10324" xr:uid="{F0509F4E-D088-4893-A42C-31EC85D02F7E}"/>
    <cellStyle name="Normal 3 4 7 2 11" xfId="15482" xr:uid="{EC33BB93-4DB6-44B8-9E24-A9C0001237C1}"/>
    <cellStyle name="Normal 3 4 7 2 2" xfId="4562" xr:uid="{9AC0DEA4-AB6F-4B66-B8E0-884F16AABF58}"/>
    <cellStyle name="Normal 3 4 7 2 2 2" xfId="7421" xr:uid="{887E24E8-D56C-42C6-85A6-77B3ACF49EFE}"/>
    <cellStyle name="Normal 3 4 7 2 2 2 2" xfId="8994" xr:uid="{3C84FD02-D63C-40E4-A88B-E73F5CE67DA0}"/>
    <cellStyle name="Normal 3 4 7 2 2 2 2 2" xfId="19046" xr:uid="{81FEDAFA-D8D1-4435-B65B-1CB249904831}"/>
    <cellStyle name="Normal 3 4 7 2 2 2 3" xfId="16499" xr:uid="{627DB4EF-2438-4AC8-94D4-BB77569261A0}"/>
    <cellStyle name="Normal 3 4 7 2 2 2 4" xfId="15135" xr:uid="{8797FE36-025D-4D3B-9248-28D5CB631F92}"/>
    <cellStyle name="Normal 3 4 7 2 2 3" xfId="7422" xr:uid="{4051BCBB-6DFA-4D5B-85B2-6350A92B7B32}"/>
    <cellStyle name="Normal 3 4 7 2 2 3 2" xfId="9442" xr:uid="{5A112788-147C-4D00-9012-B51FAD80F65B}"/>
    <cellStyle name="Normal 3 4 7 2 2 3 2 2" xfId="19494" xr:uid="{84B6E76A-E089-404D-8B16-E080B4A53B84}"/>
    <cellStyle name="Normal 3 4 7 2 2 3 3" xfId="16945" xr:uid="{5AE5F8E5-713A-484F-BBA6-8C9307906AF4}"/>
    <cellStyle name="Normal 3 4 7 2 2 3 4" xfId="15717" xr:uid="{14A3A751-8221-4DE7-87A1-C806DF659A3A}"/>
    <cellStyle name="Normal 3 4 7 2 2 4" xfId="7423" xr:uid="{39A7D79F-A8C0-419A-955E-A4A64DEC213B}"/>
    <cellStyle name="Normal 3 4 7 2 2 4 2" xfId="17546" xr:uid="{78A4668B-1EB7-4D51-AC76-B676F437C1A1}"/>
    <cellStyle name="Normal 3 4 7 2 2 4 3" xfId="14653" xr:uid="{ECA45AF5-6EFD-4287-B848-8FE6376B46CE}"/>
    <cellStyle name="Normal 3 4 7 2 2 5" xfId="7424" xr:uid="{1EFEC161-0C5F-4770-B90D-8B35D49CB23C}"/>
    <cellStyle name="Normal 3 4 7 2 2 5 2" xfId="18157" xr:uid="{A35DADFD-9CC7-4355-9F54-D4019D941F23}"/>
    <cellStyle name="Normal 3 4 7 2 2 5 3" xfId="14300" xr:uid="{26FE0B19-60DF-4A49-A755-BBF9C9BABD7C}"/>
    <cellStyle name="Normal 3 4 7 2 2 6" xfId="8566" xr:uid="{E834743F-50BF-41D3-819D-7C117128E8B9}"/>
    <cellStyle name="Normal 3 4 7 2 2 6 2" xfId="18618" xr:uid="{D7C4975D-651E-4446-BCB2-DA644101A9E1}"/>
    <cellStyle name="Normal 3 4 7 2 2 7" xfId="10032" xr:uid="{B0E8486E-0C0F-4172-9669-1AA7C101EDA4}"/>
    <cellStyle name="Normal 3 4 7 2 2 8" xfId="10658" xr:uid="{E9013B7A-4505-4BCD-9A00-7A4589005506}"/>
    <cellStyle name="Normal 3 4 7 2 2 9" xfId="15925" xr:uid="{5D91EE34-44E3-4A53-892E-BE4343874FB6}"/>
    <cellStyle name="Normal 3 4 7 2 3" xfId="4563" xr:uid="{D5ACC066-65ED-42E6-8166-5B53E862E696}"/>
    <cellStyle name="Normal 3 4 7 2 3 2" xfId="7425" xr:uid="{AC12CAFD-87D4-4185-AE33-14F3B122CD1B}"/>
    <cellStyle name="Normal 3 4 7 2 3 2 2" xfId="8995" xr:uid="{6272DC48-71F1-4219-8456-74F44A279C86}"/>
    <cellStyle name="Normal 3 4 7 2 3 2 2 2" xfId="19047" xr:uid="{119ABD73-E5D9-4F10-9BCA-031F58BD11E6}"/>
    <cellStyle name="Normal 3 4 7 2 3 2 3" xfId="16500" xr:uid="{091B5AF2-AF73-42CB-BAA3-6D612D1D9C53}"/>
    <cellStyle name="Normal 3 4 7 2 3 2 4" xfId="15134" xr:uid="{9E6E9AFD-FF32-4893-8A15-93B548588474}"/>
    <cellStyle name="Normal 3 4 7 2 3 3" xfId="7426" xr:uid="{271843F9-5316-4037-8183-69A998433007}"/>
    <cellStyle name="Normal 3 4 7 2 3 3 2" xfId="9443" xr:uid="{D1EE5911-B86B-48A3-9E99-B03119A8D110}"/>
    <cellStyle name="Normal 3 4 7 2 3 3 2 2" xfId="19495" xr:uid="{5A47730B-61CF-4EF2-B893-948216891FE9}"/>
    <cellStyle name="Normal 3 4 7 2 3 3 3" xfId="16946" xr:uid="{C117D11E-B94C-45BE-B80F-5FEFB9D883B3}"/>
    <cellStyle name="Normal 3 4 7 2 3 3 4" xfId="15716" xr:uid="{784ADC3A-3986-4DF1-A2AF-EE7E83447E04}"/>
    <cellStyle name="Normal 3 4 7 2 3 4" xfId="7427" xr:uid="{267F2108-49E2-4C52-B776-0B77DE472C68}"/>
    <cellStyle name="Normal 3 4 7 2 3 4 2" xfId="17547" xr:uid="{D2968312-19E1-472F-84C8-EA20BC3F6A14}"/>
    <cellStyle name="Normal 3 4 7 2 3 4 3" xfId="14652" xr:uid="{89F85D97-B7EA-4EC5-945D-D2C317E2409E}"/>
    <cellStyle name="Normal 3 4 7 2 3 5" xfId="7428" xr:uid="{2F466A49-51F9-4391-BFDB-55C56EDBFC7A}"/>
    <cellStyle name="Normal 3 4 7 2 3 5 2" xfId="18158" xr:uid="{C4D1E175-AEAB-4045-964A-F5D26F3730DC}"/>
    <cellStyle name="Normal 3 4 7 2 3 5 3" xfId="14299" xr:uid="{7C45378A-0030-4977-A94F-36DED295B701}"/>
    <cellStyle name="Normal 3 4 7 2 3 6" xfId="8567" xr:uid="{422D0A9E-6334-4595-9518-2CDCBBDB13B7}"/>
    <cellStyle name="Normal 3 4 7 2 3 6 2" xfId="18619" xr:uid="{04C36571-4C2E-410B-8EB4-D88C9FA62609}"/>
    <cellStyle name="Normal 3 4 7 2 3 7" xfId="10033" xr:uid="{1B53F921-ED27-465E-9F1F-B34D4FBFC26D}"/>
    <cellStyle name="Normal 3 4 7 2 3 8" xfId="10659" xr:uid="{648BCE94-48D1-41BB-A0EF-9289BECAEA3D}"/>
    <cellStyle name="Normal 3 4 7 2 3 9" xfId="15924" xr:uid="{B826AA8A-7528-4C90-B5FF-5A53B1B74DA6}"/>
    <cellStyle name="Normal 3 4 7 2 4" xfId="7429" xr:uid="{C2BBEB51-7FDB-42F4-B36E-7482BFA788CE}"/>
    <cellStyle name="Normal 3 4 7 2 4 2" xfId="7430" xr:uid="{06434747-B55E-4948-A4EC-9C38117C4221}"/>
    <cellStyle name="Normal 3 4 7 2 4 2 2" xfId="17326" xr:uid="{1978BB8F-7E47-4329-91E1-2CE35BFE342E}"/>
    <cellStyle name="Normal 3 4 7 2 4 3" xfId="7431" xr:uid="{14FB387F-87F7-435E-889F-ED680352A6BF}"/>
    <cellStyle name="Normal 3 4 7 2 4 3 2" xfId="17940" xr:uid="{C13E004F-39DA-47B5-9150-4A73349D93C2}"/>
    <cellStyle name="Normal 3 4 7 2 4 4" xfId="8769" xr:uid="{F5F7B4F3-D74A-4927-A350-B4BA92D41D10}"/>
    <cellStyle name="Normal 3 4 7 2 4 4 2" xfId="18821" xr:uid="{DA8BD613-532E-406E-99E8-3912EEA50316}"/>
    <cellStyle name="Normal 3 4 7 2 4 5" xfId="9816" xr:uid="{9CFCC88C-050E-4603-8F06-3A815A6CB319}"/>
    <cellStyle name="Normal 3 4 7 2 4 6" xfId="10660" xr:uid="{E19AAC30-CD00-438F-B66B-8C9FD595EB12}"/>
    <cellStyle name="Normal 3 4 7 2 4 7" xfId="15338" xr:uid="{DB8B7D3C-C769-4055-B2F6-7656D0F02115}"/>
    <cellStyle name="Normal 3 4 7 2 5" xfId="7432" xr:uid="{B5DAE2C5-45D8-4A4B-86B0-7829D14CAA69}"/>
    <cellStyle name="Normal 3 4 7 2 5 2" xfId="9217" xr:uid="{3C10AFE0-E7A3-48A3-9759-ADAE00F47FDF}"/>
    <cellStyle name="Normal 3 4 7 2 5 2 2" xfId="19269" xr:uid="{74734DE9-3E33-4721-8D5C-0092C2739580}"/>
    <cellStyle name="Normal 3 4 7 2 5 3" xfId="16720" xr:uid="{D29E5249-7215-486A-B290-C4DCC36E5F88}"/>
    <cellStyle name="Normal 3 4 7 2 5 4" xfId="14134" xr:uid="{C969D43F-333C-4B7D-9281-C8D43BC120CF}"/>
    <cellStyle name="Normal 3 4 7 2 6" xfId="7433" xr:uid="{0A1FFC06-8054-40E8-8D15-118C2B9A45BF}"/>
    <cellStyle name="Normal 3 4 7 2 6 2" xfId="17179" xr:uid="{6E75E49E-39A8-41AC-B7D8-05BF8B771896}"/>
    <cellStyle name="Normal 3 4 7 2 6 3" xfId="15533" xr:uid="{A1344841-357D-4E46-BD43-7E13FA505B4D}"/>
    <cellStyle name="Normal 3 4 7 2 7" xfId="7434" xr:uid="{7A0DBE98-CED1-48C9-B9A6-CB2738FC0582}"/>
    <cellStyle name="Normal 3 4 7 2 7 2" xfId="17789" xr:uid="{F2EE9956-8FC3-4D8A-BCD3-B5CAAF13188A}"/>
    <cellStyle name="Normal 3 4 7 2 7 3" xfId="14482" xr:uid="{5F3CF2D9-D82F-4F4F-AFAB-FD0653BCB9F4}"/>
    <cellStyle name="Normal 3 4 7 2 8" xfId="8341" xr:uid="{F0500132-5112-4681-B50B-72AA354C5548}"/>
    <cellStyle name="Normal 3 4 7 2 8 2" xfId="18393" xr:uid="{36FD71DD-70AE-4BC8-BCBB-909784DE287C}"/>
    <cellStyle name="Normal 3 4 7 2 9" xfId="9670" xr:uid="{86C89CB5-E7AD-41F7-94C8-86CD45A3A3CE}"/>
    <cellStyle name="Normal 3 4 7 3" xfId="4564" xr:uid="{B2A2D62C-BA31-48FD-BDB1-18D0639181ED}"/>
    <cellStyle name="Normal 3 4 7 3 2" xfId="7435" xr:uid="{30D908F2-5859-4036-AF63-E3F76DD76ECE}"/>
    <cellStyle name="Normal 3 4 7 3 2 2" xfId="8996" xr:uid="{971047E0-A289-460F-8833-377EAE72C985}"/>
    <cellStyle name="Normal 3 4 7 3 2 2 2" xfId="19048" xr:uid="{8D22F45C-A2D0-46CC-807D-D371F202E085}"/>
    <cellStyle name="Normal 3 4 7 3 2 3" xfId="16501" xr:uid="{074935F4-AF59-414C-8D27-50D2EACC337E}"/>
    <cellStyle name="Normal 3 4 7 3 2 4" xfId="15133" xr:uid="{D5A7F8C3-8D23-45AB-A08C-AB9BD21ED5DA}"/>
    <cellStyle name="Normal 3 4 7 3 3" xfId="7436" xr:uid="{1FF49FE1-26B6-4C55-BE47-F1894B688B13}"/>
    <cellStyle name="Normal 3 4 7 3 3 2" xfId="9444" xr:uid="{6B39177B-B28B-46D0-BCC5-65A5730D8937}"/>
    <cellStyle name="Normal 3 4 7 3 3 2 2" xfId="19496" xr:uid="{D1FE9F96-E7ED-4427-B659-D169B2AEF273}"/>
    <cellStyle name="Normal 3 4 7 3 3 3" xfId="16947" xr:uid="{12AB5DDB-2A57-4DE1-A2CA-F6DE25FDA56A}"/>
    <cellStyle name="Normal 3 4 7 3 3 4" xfId="15715" xr:uid="{EA1DB6DA-BECC-4825-81A5-A01615B94566}"/>
    <cellStyle name="Normal 3 4 7 3 4" xfId="7437" xr:uid="{A3B37FD4-FA32-4FF4-BC60-D4D5D3827B19}"/>
    <cellStyle name="Normal 3 4 7 3 4 2" xfId="17548" xr:uid="{F9DC2C60-0C99-40FF-9EEC-1319F967B7A9}"/>
    <cellStyle name="Normal 3 4 7 3 4 3" xfId="14651" xr:uid="{67E77770-35C3-40E6-B28F-66D28C253E1E}"/>
    <cellStyle name="Normal 3 4 7 3 5" xfId="7438" xr:uid="{C94B4960-7B23-413F-A83D-10690691FC41}"/>
    <cellStyle name="Normal 3 4 7 3 5 2" xfId="18159" xr:uid="{BD1478A4-19A4-45CD-987E-9965ACF046C9}"/>
    <cellStyle name="Normal 3 4 7 3 5 3" xfId="14298" xr:uid="{D832B189-3BCC-4F41-917D-8B3F246E5B37}"/>
    <cellStyle name="Normal 3 4 7 3 6" xfId="8568" xr:uid="{D1FC1A4A-4390-4E3A-8774-3FF6717A9819}"/>
    <cellStyle name="Normal 3 4 7 3 6 2" xfId="18620" xr:uid="{585325D9-BCFA-481A-80C8-BC2D06A4D68E}"/>
    <cellStyle name="Normal 3 4 7 3 7" xfId="10034" xr:uid="{47322747-F2D4-4A9B-ACE3-E4DF4F6804E9}"/>
    <cellStyle name="Normal 3 4 7 3 8" xfId="10661" xr:uid="{29C2BE0B-3495-428C-9762-4682E72A5D01}"/>
    <cellStyle name="Normal 3 4 7 3 9" xfId="15406" xr:uid="{E46DFC19-5EAD-46C8-8BC5-8DEAE5D24285}"/>
    <cellStyle name="Normal 3 4 7 4" xfId="4565" xr:uid="{95FE91A8-9FA0-400B-91CF-85883C23624D}"/>
    <cellStyle name="Normal 3 4 7 4 2" xfId="7439" xr:uid="{41C64C9A-81F2-4F65-B815-4418030CEFC6}"/>
    <cellStyle name="Normal 3 4 7 4 2 2" xfId="8997" xr:uid="{9F2C54A2-95FF-4877-B738-D8EE45B1E0CF}"/>
    <cellStyle name="Normal 3 4 7 4 2 2 2" xfId="19049" xr:uid="{707C76AD-5820-4CD2-925C-7F359B184BC3}"/>
    <cellStyle name="Normal 3 4 7 4 2 3" xfId="16502" xr:uid="{C02FD8DE-2F23-4F6D-AB3A-D58AF145FBF2}"/>
    <cellStyle name="Normal 3 4 7 4 2 4" xfId="15132" xr:uid="{6874F72B-CF66-4F43-98DA-E1AE58B03715}"/>
    <cellStyle name="Normal 3 4 7 4 3" xfId="7440" xr:uid="{1A31EB0E-D147-474F-AA6C-A3BDF16FEFE6}"/>
    <cellStyle name="Normal 3 4 7 4 3 2" xfId="9445" xr:uid="{28EE5C2F-ABB2-4AC0-80B1-9A74D048D772}"/>
    <cellStyle name="Normal 3 4 7 4 3 2 2" xfId="19497" xr:uid="{1ED194C7-8DBA-41B7-9284-165C7C55BC0F}"/>
    <cellStyle name="Normal 3 4 7 4 3 3" xfId="16948" xr:uid="{633641B9-B84C-49B1-A5A3-10278EED5E10}"/>
    <cellStyle name="Normal 3 4 7 4 3 4" xfId="15714" xr:uid="{C389CF12-CFBB-4C23-98D7-563927DE96EE}"/>
    <cellStyle name="Normal 3 4 7 4 4" xfId="7441" xr:uid="{46BE65E6-5CE6-44B5-981B-0B1A3608EF93}"/>
    <cellStyle name="Normal 3 4 7 4 4 2" xfId="17549" xr:uid="{5231EB97-DEEE-4C16-A7CF-1EB54739C22E}"/>
    <cellStyle name="Normal 3 4 7 4 4 3" xfId="14110" xr:uid="{75112092-C500-4A88-BA0E-5CB679AD1E15}"/>
    <cellStyle name="Normal 3 4 7 4 5" xfId="7442" xr:uid="{67FBE688-916A-491C-8ADF-27C5861E072D}"/>
    <cellStyle name="Normal 3 4 7 4 5 2" xfId="18160" xr:uid="{2D0C9639-1FF4-4CF0-BD27-FE900B3676DF}"/>
    <cellStyle name="Normal 3 4 7 4 5 3" xfId="14066" xr:uid="{B85D4395-D9D6-4552-A6B1-B3DFB2602DB8}"/>
    <cellStyle name="Normal 3 4 7 4 6" xfId="8569" xr:uid="{C73C3CCA-3843-45A7-BE43-CA1CB9EDE8EF}"/>
    <cellStyle name="Normal 3 4 7 4 6 2" xfId="18621" xr:uid="{8FE05C6D-69F2-4703-A51D-6FD3E92C7DF3}"/>
    <cellStyle name="Normal 3 4 7 4 7" xfId="10035" xr:uid="{F5936046-A191-4CB1-A101-F8BB3557BC09}"/>
    <cellStyle name="Normal 3 4 7 4 8" xfId="10662" xr:uid="{893ABFD6-C534-46C3-B944-F452E148BD1F}"/>
    <cellStyle name="Normal 3 4 7 4 9" xfId="15923" xr:uid="{F3EDB22F-9D3A-4429-9F88-6BBD3CA001C1}"/>
    <cellStyle name="Normal 3 4 7 5" xfId="7443" xr:uid="{737E037D-C1A8-4423-A64D-BDC6C00D7580}"/>
    <cellStyle name="Normal 3 4 7 5 2" xfId="7444" xr:uid="{C0D08E82-7D0C-4A30-8DB8-092E69FF309D}"/>
    <cellStyle name="Normal 3 4 7 5 2 2" xfId="17325" xr:uid="{877BA62A-4DA9-4A5F-9D55-E9B0BD7B152A}"/>
    <cellStyle name="Normal 3 4 7 5 3" xfId="7445" xr:uid="{C2A0D198-BBAA-4224-A7D3-B04D81474E19}"/>
    <cellStyle name="Normal 3 4 7 5 3 2" xfId="17939" xr:uid="{4D5AF3E9-B5F3-42F5-A9A2-308DD73DA74E}"/>
    <cellStyle name="Normal 3 4 7 5 4" xfId="8768" xr:uid="{25545D84-03F2-4E6C-B67B-C2BA9E1B6E5E}"/>
    <cellStyle name="Normal 3 4 7 5 4 2" xfId="18820" xr:uid="{00214C7F-0AD2-48E7-936D-595B682EF6CA}"/>
    <cellStyle name="Normal 3 4 7 5 5" xfId="9815" xr:uid="{4FC3BF9D-E221-40A2-B414-5A22AA3F7528}"/>
    <cellStyle name="Normal 3 4 7 5 6" xfId="10663" xr:uid="{D8894EED-0EE5-4535-8D62-94C7F40CFD1C}"/>
    <cellStyle name="Normal 3 4 7 5 7" xfId="15339" xr:uid="{50156F94-D608-4A14-81D4-5285BC78DDBE}"/>
    <cellStyle name="Normal 3 4 7 6" xfId="7446" xr:uid="{D2478134-282B-4BF0-A9C2-1D0FF18B777E}"/>
    <cellStyle name="Normal 3 4 7 6 2" xfId="9216" xr:uid="{DBB2EBEE-695E-4D05-B66A-3593AB190E28}"/>
    <cellStyle name="Normal 3 4 7 6 2 2" xfId="19268" xr:uid="{50530549-A576-4411-AB0A-69F84496ED45}"/>
    <cellStyle name="Normal 3 4 7 6 3" xfId="16719" xr:uid="{DDC9AF06-630E-4FA7-B0DE-D3BABC7C3A61}"/>
    <cellStyle name="Normal 3 4 7 6 4" xfId="14944" xr:uid="{2DB90642-9274-4698-A45A-D53C81704BBA}"/>
    <cellStyle name="Normal 3 4 7 7" xfId="7447" xr:uid="{ABA5935C-0BF5-4C88-8B7E-4C4BD6E658F2}"/>
    <cellStyle name="Normal 3 4 7 7 2" xfId="17178" xr:uid="{B49EADB0-B82C-41E7-AE8E-0A4FAF0C19D6}"/>
    <cellStyle name="Normal 3 4 7 7 3" xfId="15534" xr:uid="{E766E5BC-6262-436E-955F-D39C84119752}"/>
    <cellStyle name="Normal 3 4 7 8" xfId="7448" xr:uid="{EBAE57C9-F9A7-46AC-B717-DC6198FED40C}"/>
    <cellStyle name="Normal 3 4 7 8 2" xfId="17788" xr:uid="{F590E585-F26E-4E39-B684-6E08C53ED07E}"/>
    <cellStyle name="Normal 3 4 7 8 3" xfId="14483" xr:uid="{3A3C5E6D-A4C8-4DFC-B9E0-8A85F34AF2B6}"/>
    <cellStyle name="Normal 3 4 7 9" xfId="8340" xr:uid="{5D6D013B-6FDF-4295-9057-EDB53DE9400B}"/>
    <cellStyle name="Normal 3 4 7 9 2" xfId="18392" xr:uid="{C2E1ADA9-2423-45E7-925E-AC0556267290}"/>
    <cellStyle name="Normal 3 4 8" xfId="2854" xr:uid="{756C5F74-5783-489C-A7ED-D4A9B301C545}"/>
    <cellStyle name="Normal 3 4 8 10" xfId="9671" xr:uid="{D332D5D1-D185-41A4-B4F2-AB70D1740B82}"/>
    <cellStyle name="Normal 3 4 8 11" xfId="10325" xr:uid="{903CA9E2-5FD1-4CE2-931E-A2B85A9DD42B}"/>
    <cellStyle name="Normal 3 4 8 12" xfId="11036" xr:uid="{CB9A9ECB-E1F4-4BE8-A24E-7C0749409547}"/>
    <cellStyle name="Normal 3 4 8 12 2" xfId="16113" xr:uid="{B20A72D4-29E5-4555-B42E-6EB867188778}"/>
    <cellStyle name="Normal 3 4 8 12 3" xfId="20501" xr:uid="{4667CC0A-A916-4C44-9189-E841C3DE3412}"/>
    <cellStyle name="Normal 3 4 8 2" xfId="2855" xr:uid="{916F5A7C-F2D9-48B0-AED7-ABF708AFD5E9}"/>
    <cellStyle name="Normal 3 4 8 2 10" xfId="10326" xr:uid="{DA1FBA4E-CB55-4A54-8FE3-47DF8F89F8FF}"/>
    <cellStyle name="Normal 3 4 8 2 11" xfId="16112" xr:uid="{BDEB4E1F-E730-4CB7-ACCE-3F9FF84F7903}"/>
    <cellStyle name="Normal 3 4 8 2 2" xfId="4566" xr:uid="{4DBDFD9A-3CA8-4601-A513-34A1E4809555}"/>
    <cellStyle name="Normal 3 4 8 2 2 2" xfId="7449" xr:uid="{276761BD-4A76-4DDC-A408-DB94B532E56E}"/>
    <cellStyle name="Normal 3 4 8 2 2 2 2" xfId="8998" xr:uid="{33E1F6A0-A689-4964-AEE4-42F34A823F99}"/>
    <cellStyle name="Normal 3 4 8 2 2 2 2 2" xfId="19050" xr:uid="{9469F2E5-7BBF-4814-AE48-5C10135EA078}"/>
    <cellStyle name="Normal 3 4 8 2 2 2 3" xfId="16503" xr:uid="{0976F146-D6E2-46C5-9960-601E305680FF}"/>
    <cellStyle name="Normal 3 4 8 2 2 2 4" xfId="15131" xr:uid="{5D1A15A1-4CA5-4176-B705-4348977A705B}"/>
    <cellStyle name="Normal 3 4 8 2 2 3" xfId="7450" xr:uid="{EDDC9E75-EC30-43AA-AD11-B5949CF82159}"/>
    <cellStyle name="Normal 3 4 8 2 2 3 2" xfId="9446" xr:uid="{AA9335B0-890E-49EE-B0C5-EAE30DC51CD2}"/>
    <cellStyle name="Normal 3 4 8 2 2 3 2 2" xfId="19498" xr:uid="{5D04F4AC-5B08-406F-B968-442060CFDA35}"/>
    <cellStyle name="Normal 3 4 8 2 2 3 3" xfId="16949" xr:uid="{AF98D0DB-EF53-442D-91BC-BBA682306805}"/>
    <cellStyle name="Normal 3 4 8 2 2 3 4" xfId="14832" xr:uid="{A9055C1A-A60F-4310-8BD3-8DD630B9F890}"/>
    <cellStyle name="Normal 3 4 8 2 2 4" xfId="7451" xr:uid="{F70FE190-8EC7-47D3-8B14-8349ABEB941E}"/>
    <cellStyle name="Normal 3 4 8 2 2 4 2" xfId="17550" xr:uid="{F0627D0D-A991-41AC-9EB2-470B179D7BF0}"/>
    <cellStyle name="Normal 3 4 8 2 2 4 3" xfId="14650" xr:uid="{01284F42-06E0-4CA3-A2CE-D95B495DA435}"/>
    <cellStyle name="Normal 3 4 8 2 2 5" xfId="7452" xr:uid="{F3AE4D55-EE95-4D2F-9B08-3A7ADD5137AB}"/>
    <cellStyle name="Normal 3 4 8 2 2 5 2" xfId="18161" xr:uid="{2508E108-933A-40D3-A4B7-8FF6A5BACA2C}"/>
    <cellStyle name="Normal 3 4 8 2 2 5 3" xfId="14065" xr:uid="{CECA294E-54D9-4EA1-A125-63A70A69A2AE}"/>
    <cellStyle name="Normal 3 4 8 2 2 6" xfId="8570" xr:uid="{21C964EA-4AEB-42C6-A3E5-FA2F17440A1D}"/>
    <cellStyle name="Normal 3 4 8 2 2 6 2" xfId="18622" xr:uid="{FDABB903-3EE7-4974-8E9B-080CCEA00BCB}"/>
    <cellStyle name="Normal 3 4 8 2 2 7" xfId="10036" xr:uid="{66B8416F-7D80-42EF-92C9-81D4BA99FEF1}"/>
    <cellStyle name="Normal 3 4 8 2 2 8" xfId="10664" xr:uid="{8BC66A9C-E1C2-4031-84CC-0E93D895EA55}"/>
    <cellStyle name="Normal 3 4 8 2 2 9" xfId="15922" xr:uid="{AF91A3E8-70A2-449D-B6C4-E780A5C7FFE5}"/>
    <cellStyle name="Normal 3 4 8 2 3" xfId="4567" xr:uid="{F7552D4D-0BA9-43C8-B6D1-481BB0CDDA44}"/>
    <cellStyle name="Normal 3 4 8 2 3 2" xfId="7453" xr:uid="{88A7DF84-CAD7-4096-857A-9AF39A008FBB}"/>
    <cellStyle name="Normal 3 4 8 2 3 2 2" xfId="8999" xr:uid="{9EDED8B8-2974-4E1C-8474-A4F707728807}"/>
    <cellStyle name="Normal 3 4 8 2 3 2 2 2" xfId="19051" xr:uid="{C89D29A6-3C0B-439D-9425-54BBF8718092}"/>
    <cellStyle name="Normal 3 4 8 2 3 2 3" xfId="16504" xr:uid="{C2A6C912-318A-4FF2-B080-40E0DD8B4090}"/>
    <cellStyle name="Normal 3 4 8 2 3 2 4" xfId="15130" xr:uid="{216C40FB-CFD9-4BF1-994B-1C5734EE751E}"/>
    <cellStyle name="Normal 3 4 8 2 3 3" xfId="7454" xr:uid="{79862B54-5A78-4792-9314-750F76C31F2B}"/>
    <cellStyle name="Normal 3 4 8 2 3 3 2" xfId="9447" xr:uid="{C6AAF31B-015C-4F6C-869E-1D660CD7756C}"/>
    <cellStyle name="Normal 3 4 8 2 3 3 2 2" xfId="19499" xr:uid="{87C90F5B-569E-4B57-BF0C-A98D25EE337D}"/>
    <cellStyle name="Normal 3 4 8 2 3 3 3" xfId="16950" xr:uid="{2DDB5690-E252-417F-B4EE-482BAE5BDC6E}"/>
    <cellStyle name="Normal 3 4 8 2 3 3 4" xfId="15713" xr:uid="{5C6211DB-BA03-41A5-9C11-8F9A1A7E3451}"/>
    <cellStyle name="Normal 3 4 8 2 3 4" xfId="7455" xr:uid="{301E505C-5B98-4948-ABE5-E8F9CBFEFEEB}"/>
    <cellStyle name="Normal 3 4 8 2 3 4 2" xfId="17551" xr:uid="{B7B6B85F-F0CD-46C4-B65A-3883900C4CF0}"/>
    <cellStyle name="Normal 3 4 8 2 3 4 3" xfId="14649" xr:uid="{6688AC39-3575-4D36-97E6-AE5B8D22855E}"/>
    <cellStyle name="Normal 3 4 8 2 3 5" xfId="7456" xr:uid="{74F2F1ED-57CF-4429-ABCA-923E85E0C0C1}"/>
    <cellStyle name="Normal 3 4 8 2 3 5 2" xfId="18162" xr:uid="{1A0F0B8C-26E6-4226-8ED7-B0269217CFF0}"/>
    <cellStyle name="Normal 3 4 8 2 3 5 3" xfId="14064" xr:uid="{EE2CEA22-EB75-48BA-9999-53A969E5EC34}"/>
    <cellStyle name="Normal 3 4 8 2 3 6" xfId="8571" xr:uid="{2A96F6B8-89A6-427D-B1EE-F627608C42C5}"/>
    <cellStyle name="Normal 3 4 8 2 3 6 2" xfId="18623" xr:uid="{C26D4ADF-C15B-43E4-A416-C80726681CEF}"/>
    <cellStyle name="Normal 3 4 8 2 3 7" xfId="10037" xr:uid="{2D94A1AD-9C17-43C0-949C-F82DD1FC6B00}"/>
    <cellStyle name="Normal 3 4 8 2 3 8" xfId="10665" xr:uid="{3112A645-7560-40CE-8F8B-EA30E1930E7C}"/>
    <cellStyle name="Normal 3 4 8 2 3 9" xfId="15921" xr:uid="{72DA97BB-CCDC-4052-A89B-EAD32BD6999C}"/>
    <cellStyle name="Normal 3 4 8 2 4" xfId="7457" xr:uid="{B8B39732-6780-4BFE-94B9-0BB41B6B79EF}"/>
    <cellStyle name="Normal 3 4 8 2 4 2" xfId="7458" xr:uid="{4EC1BBE3-DD80-447C-ABB6-965C6154D2A3}"/>
    <cellStyle name="Normal 3 4 8 2 4 2 2" xfId="17328" xr:uid="{E10EA860-912A-458D-9144-3F54A572AA8F}"/>
    <cellStyle name="Normal 3 4 8 2 4 3" xfId="7459" xr:uid="{A29BA85C-BFD4-425A-83D7-FFA893914D09}"/>
    <cellStyle name="Normal 3 4 8 2 4 3 2" xfId="17942" xr:uid="{E533B95E-4B63-498C-AA31-BC261C77918F}"/>
    <cellStyle name="Normal 3 4 8 2 4 4" xfId="8771" xr:uid="{CE81A779-303C-4CF1-BB39-014B49E26699}"/>
    <cellStyle name="Normal 3 4 8 2 4 4 2" xfId="18823" xr:uid="{2AC822FD-7099-4718-AC7A-C0068797D5F4}"/>
    <cellStyle name="Normal 3 4 8 2 4 5" xfId="9818" xr:uid="{63021E05-CB3C-45C9-AAC4-6DF808473C95}"/>
    <cellStyle name="Normal 3 4 8 2 4 6" xfId="10666" xr:uid="{E3504B92-BFBD-46FA-83CB-519061B189D5}"/>
    <cellStyle name="Normal 3 4 8 2 4 7" xfId="15336" xr:uid="{4FC57C1A-81DD-4252-93DD-4688FA3EDC1C}"/>
    <cellStyle name="Normal 3 4 8 2 5" xfId="7460" xr:uid="{BE1EC451-34FD-4309-82C4-2AA9B801450B}"/>
    <cellStyle name="Normal 3 4 8 2 5 2" xfId="9219" xr:uid="{25F9FCE1-59AA-41E9-B105-820BDD2B5B4D}"/>
    <cellStyle name="Normal 3 4 8 2 5 2 2" xfId="19271" xr:uid="{6B6FC511-5508-43A1-8AA1-567E1C62E23B}"/>
    <cellStyle name="Normal 3 4 8 2 5 3" xfId="16722" xr:uid="{6534BC6B-3EC5-4F1D-837E-8AE72B29E854}"/>
    <cellStyle name="Normal 3 4 8 2 5 4" xfId="14942" xr:uid="{040D6FCA-3C2A-4400-8C20-4D747FB03EB4}"/>
    <cellStyle name="Normal 3 4 8 2 6" xfId="7461" xr:uid="{549EC4CD-A1F0-4035-9200-4C8C6ACD3C69}"/>
    <cellStyle name="Normal 3 4 8 2 6 2" xfId="17181" xr:uid="{9A83F955-874A-407D-8B55-E2808CDEFA1F}"/>
    <cellStyle name="Normal 3 4 8 2 6 3" xfId="15531" xr:uid="{F62C8FDE-FFF5-4D86-8166-00973FB6C2EF}"/>
    <cellStyle name="Normal 3 4 8 2 7" xfId="7462" xr:uid="{7A0C1886-7B74-4C01-AF7D-C8308EBDE87E}"/>
    <cellStyle name="Normal 3 4 8 2 7 2" xfId="17791" xr:uid="{49B35701-172E-4287-B44C-FD7717AF364B}"/>
    <cellStyle name="Normal 3 4 8 2 7 3" xfId="14480" xr:uid="{0C27577E-EECB-419E-891E-D3202F126410}"/>
    <cellStyle name="Normal 3 4 8 2 8" xfId="8343" xr:uid="{81BAE3B6-3108-48CC-84D4-E4117A8FA89A}"/>
    <cellStyle name="Normal 3 4 8 2 8 2" xfId="18395" xr:uid="{98D880C7-715E-4456-9000-5DE1DA8103BC}"/>
    <cellStyle name="Normal 3 4 8 2 9" xfId="9672" xr:uid="{470086C5-0291-43AF-B03B-B779BD90720B}"/>
    <cellStyle name="Normal 3 4 8 3" xfId="4568" xr:uid="{DCE7DDF3-4442-4388-9CD2-B6DC5FF9D7DA}"/>
    <cellStyle name="Normal 3 4 8 3 2" xfId="7463" xr:uid="{E51CAF48-3C5E-45F2-9BFC-F0FCEEA09E29}"/>
    <cellStyle name="Normal 3 4 8 3 2 2" xfId="9000" xr:uid="{4A58F364-D324-4CA0-98CB-C8827F424303}"/>
    <cellStyle name="Normal 3 4 8 3 2 2 2" xfId="19052" xr:uid="{A0A90AFB-5E70-4DF7-9506-9C8DC7C7352D}"/>
    <cellStyle name="Normal 3 4 8 3 2 3" xfId="16505" xr:uid="{72553E2A-EC87-424F-94E2-E079214A2B87}"/>
    <cellStyle name="Normal 3 4 8 3 2 4" xfId="15129" xr:uid="{30CEFE2D-D125-4512-9131-2B54B35096AA}"/>
    <cellStyle name="Normal 3 4 8 3 3" xfId="7464" xr:uid="{55B0EDE4-7E5A-48C7-888E-4F662AD345EE}"/>
    <cellStyle name="Normal 3 4 8 3 3 2" xfId="9448" xr:uid="{0AA2998C-E033-4B02-A40F-49FDEA7C58F2}"/>
    <cellStyle name="Normal 3 4 8 3 3 2 2" xfId="19500" xr:uid="{61DE7416-FE8B-4E85-A575-177B4C02F71E}"/>
    <cellStyle name="Normal 3 4 8 3 3 3" xfId="16951" xr:uid="{F4F160A2-6472-4092-94CD-D2DD18D98F7A}"/>
    <cellStyle name="Normal 3 4 8 3 3 4" xfId="15712" xr:uid="{575346E8-0C72-4205-85DA-45414BB0ED77}"/>
    <cellStyle name="Normal 3 4 8 3 4" xfId="7465" xr:uid="{AE3DE593-9FBC-44D5-AEBD-0CF11B2B40C5}"/>
    <cellStyle name="Normal 3 4 8 3 4 2" xfId="17552" xr:uid="{BA191D93-C14A-41FE-BAE3-8E6C29D821EA}"/>
    <cellStyle name="Normal 3 4 8 3 4 3" xfId="14648" xr:uid="{04F67DDD-0CBA-43DF-9549-33207C72A20F}"/>
    <cellStyle name="Normal 3 4 8 3 5" xfId="7466" xr:uid="{4460031C-65AB-4B35-B4D4-54A03706A9CE}"/>
    <cellStyle name="Normal 3 4 8 3 5 2" xfId="18163" xr:uid="{5DF7BB53-25D1-46DC-9DC9-07B78ED984F9}"/>
    <cellStyle name="Normal 3 4 8 3 5 3" xfId="14180" xr:uid="{6DB4BAD3-D714-44E8-8BD4-ED5772742685}"/>
    <cellStyle name="Normal 3 4 8 3 6" xfId="8572" xr:uid="{95A9E348-3A45-46F3-ADA4-D8509A9A5518}"/>
    <cellStyle name="Normal 3 4 8 3 6 2" xfId="18624" xr:uid="{B1AB8A61-AA14-4132-90FF-6CFD467301A6}"/>
    <cellStyle name="Normal 3 4 8 3 7" xfId="10038" xr:uid="{93A737B9-D46A-48BC-B28C-5929C3B1103F}"/>
    <cellStyle name="Normal 3 4 8 3 8" xfId="10667" xr:uid="{509AE413-5938-4B3C-A331-DE271D73E4B2}"/>
    <cellStyle name="Normal 3 4 8 3 9" xfId="15920" xr:uid="{0E30B7C5-18E6-48EB-BA89-A208BFCDCBAA}"/>
    <cellStyle name="Normal 3 4 8 4" xfId="4569" xr:uid="{407A29AC-EC16-4837-B3E2-52562BC7C207}"/>
    <cellStyle name="Normal 3 4 8 4 2" xfId="7467" xr:uid="{F3ABCD38-3623-4EEC-AAD7-B5029EB47C90}"/>
    <cellStyle name="Normal 3 4 8 4 2 2" xfId="9001" xr:uid="{9509E089-8185-4019-BEB2-4FB491B308DD}"/>
    <cellStyle name="Normal 3 4 8 4 2 2 2" xfId="19053" xr:uid="{031698D0-F168-47AE-B096-DE55A54CE16D}"/>
    <cellStyle name="Normal 3 4 8 4 2 3" xfId="16506" xr:uid="{6D76C4A1-1C0D-44C4-B732-8F4FE2F11D30}"/>
    <cellStyle name="Normal 3 4 8 4 2 4" xfId="15128" xr:uid="{FAC71602-4693-48C1-9E49-0591BE04806E}"/>
    <cellStyle name="Normal 3 4 8 4 3" xfId="7468" xr:uid="{E820D139-34DE-4CE8-B671-C3B4E8D81E42}"/>
    <cellStyle name="Normal 3 4 8 4 3 2" xfId="9449" xr:uid="{DFAD0471-8732-4589-840D-4E23AD4AF3E2}"/>
    <cellStyle name="Normal 3 4 8 4 3 2 2" xfId="19501" xr:uid="{F056FE9C-B7DE-48C2-9912-FE68D10160F3}"/>
    <cellStyle name="Normal 3 4 8 4 3 3" xfId="16952" xr:uid="{DF5172E0-1045-45B3-8EF4-06AB01CD24F2}"/>
    <cellStyle name="Normal 3 4 8 4 3 4" xfId="15711" xr:uid="{AC8E0B43-AEEE-4ADE-901A-2695810F9AF3}"/>
    <cellStyle name="Normal 3 4 8 4 4" xfId="7469" xr:uid="{5188A075-061C-4832-8C5C-2304AAC19B33}"/>
    <cellStyle name="Normal 3 4 8 4 4 2" xfId="17553" xr:uid="{2FE6D396-9B96-4495-9B7E-12016E8F042E}"/>
    <cellStyle name="Normal 3 4 8 4 4 3" xfId="14647" xr:uid="{11A19981-E26A-4979-9564-EC772242DB60}"/>
    <cellStyle name="Normal 3 4 8 4 5" xfId="7470" xr:uid="{EB406F4E-4099-4139-B5B3-D5DB33340A99}"/>
    <cellStyle name="Normal 3 4 8 4 5 2" xfId="18164" xr:uid="{1EB58C60-77CB-408F-B8FA-24A8FDF60865}"/>
    <cellStyle name="Normal 3 4 8 4 5 3" xfId="14297" xr:uid="{D5D7B3F4-1498-4FE0-A43C-63324A1C0E47}"/>
    <cellStyle name="Normal 3 4 8 4 6" xfId="8573" xr:uid="{F976C9A6-4CA9-4D90-9765-9E03817104B7}"/>
    <cellStyle name="Normal 3 4 8 4 6 2" xfId="18625" xr:uid="{E0C75647-7A71-4F00-A9EF-8B255B3DFF2D}"/>
    <cellStyle name="Normal 3 4 8 4 7" xfId="10039" xr:uid="{20187EDE-1E29-4FC6-9400-1249FF018EB9}"/>
    <cellStyle name="Normal 3 4 8 4 8" xfId="10668" xr:uid="{FF430426-22C4-48EC-BA51-0ADE0B2E7DE3}"/>
    <cellStyle name="Normal 3 4 8 4 9" xfId="15919" xr:uid="{C5E00D60-E8AE-4E4E-B126-ACC353F39748}"/>
    <cellStyle name="Normal 3 4 8 5" xfId="7471" xr:uid="{05F69396-0764-444F-9139-DB723D52B0FA}"/>
    <cellStyle name="Normal 3 4 8 5 2" xfId="7472" xr:uid="{A94E140E-66EB-4156-B7EB-32FED2788ABC}"/>
    <cellStyle name="Normal 3 4 8 5 2 2" xfId="17327" xr:uid="{464C73BD-9F4D-4E31-8C85-712128B7C378}"/>
    <cellStyle name="Normal 3 4 8 5 3" xfId="7473" xr:uid="{A0AB66E8-7EC0-4718-9FDD-6584F8390782}"/>
    <cellStyle name="Normal 3 4 8 5 3 2" xfId="17941" xr:uid="{2C49F0F2-E25A-44C5-8E6F-409299E77FD9}"/>
    <cellStyle name="Normal 3 4 8 5 4" xfId="8770" xr:uid="{F6467E88-C972-427C-B87E-07A8E59FE43D}"/>
    <cellStyle name="Normal 3 4 8 5 4 2" xfId="18822" xr:uid="{6AC5907D-E681-492E-B008-87175F28C384}"/>
    <cellStyle name="Normal 3 4 8 5 5" xfId="9817" xr:uid="{B651E07D-419B-42AB-9B55-440C7CAFD966}"/>
    <cellStyle name="Normal 3 4 8 5 6" xfId="10669" xr:uid="{AFD49EF0-C752-45D7-A9AB-3F3999F53E87}"/>
    <cellStyle name="Normal 3 4 8 5 7" xfId="15337" xr:uid="{E76F9692-FD89-48D5-BF9D-D4D6EEE30E71}"/>
    <cellStyle name="Normal 3 4 8 6" xfId="7474" xr:uid="{2328BB03-88C3-4280-97AB-3D5CA2CBA127}"/>
    <cellStyle name="Normal 3 4 8 6 2" xfId="9218" xr:uid="{1453BE83-598E-4DA2-AC80-20092C03F6A0}"/>
    <cellStyle name="Normal 3 4 8 6 2 2" xfId="19270" xr:uid="{D3DE315E-9159-4F52-833B-8EF686597BCE}"/>
    <cellStyle name="Normal 3 4 8 6 3" xfId="16721" xr:uid="{F1454B8F-1FE4-4AAC-AD42-7073A50D3E7D}"/>
    <cellStyle name="Normal 3 4 8 6 4" xfId="14943" xr:uid="{12FFD38D-8B98-43F2-AB1D-5A5A905F6B46}"/>
    <cellStyle name="Normal 3 4 8 7" xfId="7475" xr:uid="{F57DCA38-3663-422A-B970-2B01395A1730}"/>
    <cellStyle name="Normal 3 4 8 7 2" xfId="17180" xr:uid="{8ABEF1D5-741B-4B11-9401-B5FE67FF49B0}"/>
    <cellStyle name="Normal 3 4 8 7 3" xfId="15532" xr:uid="{AC6614D0-70F1-4261-BD30-E29190616093}"/>
    <cellStyle name="Normal 3 4 8 8" xfId="7476" xr:uid="{F6E3F13C-7706-4593-BA34-04911F686FD7}"/>
    <cellStyle name="Normal 3 4 8 8 2" xfId="17790" xr:uid="{E3B4BC5A-AA24-460F-B70F-F5717A8EAA00}"/>
    <cellStyle name="Normal 3 4 8 8 3" xfId="14481" xr:uid="{34E84FCC-F0A3-4B09-A304-D88343644795}"/>
    <cellStyle name="Normal 3 4 8 9" xfId="8342" xr:uid="{682DBE23-B2FD-46C6-AD9C-CBC9CE9D5F00}"/>
    <cellStyle name="Normal 3 4 8 9 2" xfId="18394" xr:uid="{6AD0F278-826D-4D9C-BD30-A511520A564A}"/>
    <cellStyle name="Normal 3 4 9" xfId="2856" xr:uid="{04FE40EA-96A0-4563-B942-FA5548F8EB9F}"/>
    <cellStyle name="Normal 3 4 9 10" xfId="10327" xr:uid="{C489276C-DACC-4232-AC06-14D1FC49192F}"/>
    <cellStyle name="Normal 3 4 9 11" xfId="12614" xr:uid="{EE837FBD-7616-4214-AF66-F1894489185E}"/>
    <cellStyle name="Normal 3 4 9 11 2" xfId="15435" xr:uid="{805AABF7-8E09-4AC7-9F31-E7845819E6B0}"/>
    <cellStyle name="Normal 3 4 9 11 3" xfId="20710" xr:uid="{40A1838A-7C20-4529-88AE-CFE40D678E1D}"/>
    <cellStyle name="Normal 3 4 9 2" xfId="4570" xr:uid="{47399490-2A3D-411A-8D91-86A6E92FA5C2}"/>
    <cellStyle name="Normal 3 4 9 2 2" xfId="7477" xr:uid="{9B741FEA-9D62-4A4F-B488-E3C50C80D0BD}"/>
    <cellStyle name="Normal 3 4 9 2 2 2" xfId="9002" xr:uid="{9A97C1F1-B832-4275-B927-F7A48F86B5B5}"/>
    <cellStyle name="Normal 3 4 9 2 2 2 2" xfId="19054" xr:uid="{7A65DBC6-A683-45CE-90E6-8E9121DE0296}"/>
    <cellStyle name="Normal 3 4 9 2 2 3" xfId="16507" xr:uid="{DA7B98BF-44FA-4A6E-B5C4-CA555C6F9ED0}"/>
    <cellStyle name="Normal 3 4 9 2 2 4" xfId="14150" xr:uid="{CBDEAA59-3904-4516-B7B4-03DE7EC2EDB8}"/>
    <cellStyle name="Normal 3 4 9 2 3" xfId="7478" xr:uid="{27178A03-3422-4C68-8F02-B8577B71EFDC}"/>
    <cellStyle name="Normal 3 4 9 2 3 2" xfId="9450" xr:uid="{92DBE1F4-E99D-4FBA-9B9B-F4F20B17520B}"/>
    <cellStyle name="Normal 3 4 9 2 3 2 2" xfId="19502" xr:uid="{D4DC9ACF-173C-4E02-9676-E417EC103E42}"/>
    <cellStyle name="Normal 3 4 9 2 3 3" xfId="16953" xr:uid="{38DC1E4E-5A12-46D9-94E3-A0ECC7DAB199}"/>
    <cellStyle name="Normal 3 4 9 2 3 4" xfId="15710" xr:uid="{611FEEA0-B98F-4595-A8A5-B2F8A9247AD1}"/>
    <cellStyle name="Normal 3 4 9 2 4" xfId="7479" xr:uid="{10F95E9E-3977-493F-890B-1B287508E210}"/>
    <cellStyle name="Normal 3 4 9 2 4 2" xfId="17554" xr:uid="{E0D0B45B-4F36-4832-A90C-8C9B4362ABCD}"/>
    <cellStyle name="Normal 3 4 9 2 4 3" xfId="14646" xr:uid="{3C437726-D71E-4897-BA52-A215F6B1C7B4}"/>
    <cellStyle name="Normal 3 4 9 2 5" xfId="7480" xr:uid="{89C1BACE-6D22-4FFC-8E43-09448303DD1D}"/>
    <cellStyle name="Normal 3 4 9 2 5 2" xfId="18165" xr:uid="{EA988355-B6FE-4DB8-8B32-06E49E0F1B1B}"/>
    <cellStyle name="Normal 3 4 9 2 5 3" xfId="14296" xr:uid="{CB15CF78-DEBA-4BFF-9767-E3C78195BCE4}"/>
    <cellStyle name="Normal 3 4 9 2 6" xfId="8574" xr:uid="{834A00D5-6695-4D0A-B94A-B6260836F8E4}"/>
    <cellStyle name="Normal 3 4 9 2 6 2" xfId="18626" xr:uid="{0C44AB5D-CF9E-4C6F-B7AD-0A0D19195CE4}"/>
    <cellStyle name="Normal 3 4 9 2 7" xfId="10040" xr:uid="{28460329-DD9C-4CAB-86B9-E6C1AC3817DF}"/>
    <cellStyle name="Normal 3 4 9 2 8" xfId="10670" xr:uid="{7A3F5220-C7F8-47F7-8D1D-DF91271C3325}"/>
    <cellStyle name="Normal 3 4 9 2 9" xfId="15918" xr:uid="{EF213BDA-8D24-4F16-8860-80BCBFABA6E8}"/>
    <cellStyle name="Normal 3 4 9 3" xfId="4571" xr:uid="{E70CC24D-D0AD-46D4-867F-BE4DAACF3DF2}"/>
    <cellStyle name="Normal 3 4 9 3 2" xfId="7481" xr:uid="{9FBFFF7A-698C-4FD9-B51A-D4E88BFB37FB}"/>
    <cellStyle name="Normal 3 4 9 3 2 2" xfId="9003" xr:uid="{14C964A9-509B-4AC5-9F8C-521A54EFB25F}"/>
    <cellStyle name="Normal 3 4 9 3 2 2 2" xfId="19055" xr:uid="{F970B6F4-6ED7-490E-9B7D-410C49DDA612}"/>
    <cellStyle name="Normal 3 4 9 3 2 3" xfId="16508" xr:uid="{4036C3B5-EE4A-4F62-8D63-1CA2CD8BB7F4}"/>
    <cellStyle name="Normal 3 4 9 3 2 4" xfId="14194" xr:uid="{D84EF179-C2E8-4B27-8DDE-A05F4BB4C8E9}"/>
    <cellStyle name="Normal 3 4 9 3 3" xfId="7482" xr:uid="{1A553F93-08BE-410E-932D-B1AC0F901011}"/>
    <cellStyle name="Normal 3 4 9 3 3 2" xfId="9451" xr:uid="{2C546E91-1390-4A59-B420-8DF40E3DDCBB}"/>
    <cellStyle name="Normal 3 4 9 3 3 2 2" xfId="19503" xr:uid="{2DDAEB1C-85BE-444E-918D-E1483C039FCD}"/>
    <cellStyle name="Normal 3 4 9 3 3 3" xfId="16954" xr:uid="{51C0BCDE-A3DB-400D-87A2-1FF86A7FB97E}"/>
    <cellStyle name="Normal 3 4 9 3 3 4" xfId="15709" xr:uid="{9D7322F9-5AF7-4555-8AE8-25D30436C736}"/>
    <cellStyle name="Normal 3 4 9 3 4" xfId="7483" xr:uid="{19BC7142-E93D-42DD-BCE4-ECF3FD06E627}"/>
    <cellStyle name="Normal 3 4 9 3 4 2" xfId="17555" xr:uid="{AB2B5D56-21F2-42D3-8737-9E33E18CD127}"/>
    <cellStyle name="Normal 3 4 9 3 4 3" xfId="14645" xr:uid="{7E1A2C0C-7695-455A-9272-9E4CB8D51C52}"/>
    <cellStyle name="Normal 3 4 9 3 5" xfId="7484" xr:uid="{47538A33-8A9E-474B-B25E-4ED77E92BF1C}"/>
    <cellStyle name="Normal 3 4 9 3 5 2" xfId="18166" xr:uid="{440CD9C1-4667-4F1B-9148-3F66A18D9DF8}"/>
    <cellStyle name="Normal 3 4 9 3 5 3" xfId="14295" xr:uid="{7FBFF9BC-E98B-44DF-BD2A-C3EBC970CEE6}"/>
    <cellStyle name="Normal 3 4 9 3 6" xfId="8575" xr:uid="{9EA6057C-B81C-4A7D-A684-52D4091C7271}"/>
    <cellStyle name="Normal 3 4 9 3 6 2" xfId="18627" xr:uid="{939E29BA-67DE-4632-9993-662B071ED4B2}"/>
    <cellStyle name="Normal 3 4 9 3 7" xfId="10041" xr:uid="{1A3952CB-CD2E-4125-A736-4CC5123828BC}"/>
    <cellStyle name="Normal 3 4 9 3 8" xfId="10671" xr:uid="{74F99851-5C10-4143-AEBD-3D1D7FC06C30}"/>
    <cellStyle name="Normal 3 4 9 3 9" xfId="15405" xr:uid="{9B4C0FD1-B549-4337-ACDC-4329F7E6B719}"/>
    <cellStyle name="Normal 3 4 9 4" xfId="7485" xr:uid="{BB1BA54B-1CBF-4E7E-A3E4-595722E3CCEA}"/>
    <cellStyle name="Normal 3 4 9 4 2" xfId="7486" xr:uid="{EDF4283C-87D0-498A-86F0-E39E4F4B9EC2}"/>
    <cellStyle name="Normal 3 4 9 4 2 2" xfId="17329" xr:uid="{3D4DCB26-01F0-46BD-919E-B8212C7CDE8F}"/>
    <cellStyle name="Normal 3 4 9 4 3" xfId="7487" xr:uid="{9476CEA9-143F-4B5F-A369-E023B85244D0}"/>
    <cellStyle name="Normal 3 4 9 4 3 2" xfId="17943" xr:uid="{573B62F5-E74F-495E-A3E2-9401CDC0F2B0}"/>
    <cellStyle name="Normal 3 4 9 4 4" xfId="8772" xr:uid="{D8F49879-863B-4773-810B-970507834168}"/>
    <cellStyle name="Normal 3 4 9 4 4 2" xfId="18824" xr:uid="{DE9ADD81-A3F3-47AD-8256-612D2052A16E}"/>
    <cellStyle name="Normal 3 4 9 4 5" xfId="9819" xr:uid="{33977363-4F65-4F9C-8321-1B5FDD8291B4}"/>
    <cellStyle name="Normal 3 4 9 4 6" xfId="10672" xr:uid="{6C473A1D-B2A5-45B5-A6B5-542A68D63319}"/>
    <cellStyle name="Normal 3 4 9 4 7" xfId="15335" xr:uid="{1265A3BD-708A-4323-AF83-38D641DF03A7}"/>
    <cellStyle name="Normal 3 4 9 5" xfId="7488" xr:uid="{4F64C408-E51F-4827-88CE-C8CE1A69ED42}"/>
    <cellStyle name="Normal 3 4 9 5 2" xfId="9220" xr:uid="{125F968E-C238-4D4A-A2B5-F7324F03D37F}"/>
    <cellStyle name="Normal 3 4 9 5 2 2" xfId="19272" xr:uid="{2AC79ADE-178F-4785-A504-BF1EE12D8D0D}"/>
    <cellStyle name="Normal 3 4 9 5 3" xfId="16723" xr:uid="{8C88EE9D-846F-4A21-9CF2-17EC603C6BC3}"/>
    <cellStyle name="Normal 3 4 9 5 4" xfId="14941" xr:uid="{C5D6F116-80A2-46E0-BC2B-44056798E7CC}"/>
    <cellStyle name="Normal 3 4 9 6" xfId="7489" xr:uid="{08594344-2B9F-4A2F-83AB-D47BF93E8F78}"/>
    <cellStyle name="Normal 3 4 9 6 2" xfId="17182" xr:uid="{48DBC900-91FD-4BDD-9BCF-DDF7AEF955E3}"/>
    <cellStyle name="Normal 3 4 9 6 3" xfId="14804" xr:uid="{0A91B4E3-6551-4D9E-B94C-67459E2B9FB5}"/>
    <cellStyle name="Normal 3 4 9 7" xfId="7490" xr:uid="{70B923E5-BE88-4CF7-9D1A-94E15403E99D}"/>
    <cellStyle name="Normal 3 4 9 7 2" xfId="17792" xr:uid="{D5885F1F-3AD4-43AF-ACAE-315A50DC957B}"/>
    <cellStyle name="Normal 3 4 9 7 3" xfId="14096" xr:uid="{2FCD1326-E5FF-42F8-B3E1-422EFB924534}"/>
    <cellStyle name="Normal 3 4 9 8" xfId="8344" xr:uid="{3526B5CC-454A-46E5-A8C9-F0C2603465D7}"/>
    <cellStyle name="Normal 3 4 9 8 2" xfId="18396" xr:uid="{4BEC864A-9B96-42FE-838B-A7C45B5C8AB3}"/>
    <cellStyle name="Normal 3 4 9 9" xfId="9673" xr:uid="{A3A0A37B-36FD-49A5-A197-40F8994FFFFC}"/>
    <cellStyle name="Normal 3 40" xfId="11652" xr:uid="{259EE906-8990-4C72-9309-74C522354277}"/>
    <cellStyle name="Normal 3 41" xfId="11282" xr:uid="{B86E47DC-4623-448D-AF3A-E8C1C33F0199}"/>
    <cellStyle name="Normal 3 42" xfId="11964" xr:uid="{7BDE15F2-7974-47F9-B9C8-C03F16827D27}"/>
    <cellStyle name="Normal 3 43" xfId="11089" xr:uid="{362298E9-4F96-4F95-9F0B-47A366FF09F9}"/>
    <cellStyle name="Normal 3 44" xfId="12478" xr:uid="{64ED09A9-A167-4DB6-9AD0-01868E70ADE3}"/>
    <cellStyle name="Normal 3 45" xfId="11116" xr:uid="{50549EAF-7410-41E3-AC10-96561423D889}"/>
    <cellStyle name="Normal 3 46" xfId="11707" xr:uid="{5C79199E-B457-4B3C-93B8-5EB0AD408793}"/>
    <cellStyle name="Normal 3 47" xfId="12483" xr:uid="{40F85E12-C14C-4DE7-AF8E-E9CDE64A1EF7}"/>
    <cellStyle name="Normal 3 48" xfId="11339" xr:uid="{8E2A17BB-C140-417D-8A14-5B10E77425C1}"/>
    <cellStyle name="Normal 3 49" xfId="11385" xr:uid="{E8F4F641-4A9C-4486-AF5B-1115E6256C35}"/>
    <cellStyle name="Normal 3 5" xfId="88" xr:uid="{3D0D2241-3A11-418C-AAE5-9D80AFE5DBCC}"/>
    <cellStyle name="Normal 3 5 10" xfId="4572" xr:uid="{CBC6138F-D3AD-4866-97A0-E37D4898D0FD}"/>
    <cellStyle name="Normal 3 5 10 2" xfId="7491" xr:uid="{2D69CA3E-D09A-40F6-98A0-00C0F2EECEF7}"/>
    <cellStyle name="Normal 3 5 10 2 2" xfId="9004" xr:uid="{895942A7-761A-4AF1-BEC4-E720389E4F53}"/>
    <cellStyle name="Normal 3 5 10 2 2 2" xfId="19056" xr:uid="{CEF319D9-61CA-45D2-B801-CBDB758739CA}"/>
    <cellStyle name="Normal 3 5 10 2 3" xfId="16509" xr:uid="{566CBB7A-8F3C-44AB-AC7C-BD70C74EDF88}"/>
    <cellStyle name="Normal 3 5 10 2 4" xfId="15127" xr:uid="{881774FA-30AB-463C-A0E6-E372555C118E}"/>
    <cellStyle name="Normal 3 5 10 3" xfId="7492" xr:uid="{5F8B4C53-70A7-4C04-96C8-4A597225FA6E}"/>
    <cellStyle name="Normal 3 5 10 3 2" xfId="9452" xr:uid="{F1EA1ECB-91FA-4E1B-ACE9-F8E63ED635A3}"/>
    <cellStyle name="Normal 3 5 10 3 2 2" xfId="19504" xr:uid="{2B803150-6519-40DA-B025-6DD71A0EEF1C}"/>
    <cellStyle name="Normal 3 5 10 3 3" xfId="16955" xr:uid="{B393FBDD-6162-460F-AA1A-91F79506EFE9}"/>
    <cellStyle name="Normal 3 5 10 3 4" xfId="15708" xr:uid="{735F7CA1-4DC7-4D26-B66C-288D154C6B05}"/>
    <cellStyle name="Normal 3 5 10 4" xfId="7493" xr:uid="{463ECA10-B4D8-434C-8D9A-AED1893CEC1C}"/>
    <cellStyle name="Normal 3 5 10 4 2" xfId="17556" xr:uid="{B02D717E-68FD-4919-95C5-18202969217C}"/>
    <cellStyle name="Normal 3 5 10 4 3" xfId="14644" xr:uid="{3C6F9AEA-3428-441A-BA73-169AFACBE434}"/>
    <cellStyle name="Normal 3 5 10 5" xfId="7494" xr:uid="{66CDA57E-F640-4627-AA75-0BAEA337E580}"/>
    <cellStyle name="Normal 3 5 10 5 2" xfId="18167" xr:uid="{DEB28F85-8CF1-4C8F-9908-E04E32AAF790}"/>
    <cellStyle name="Normal 3 5 10 5 3" xfId="14294" xr:uid="{7C83D42B-BCD0-4CC4-8EB5-F3EEC6905EC2}"/>
    <cellStyle name="Normal 3 5 10 6" xfId="8576" xr:uid="{72103FE6-58B8-4A96-BF95-F55E6C4B9D23}"/>
    <cellStyle name="Normal 3 5 10 6 2" xfId="18628" xr:uid="{029E9034-276D-41B4-BF53-9A5966900941}"/>
    <cellStyle name="Normal 3 5 10 7" xfId="10042" xr:uid="{5393FCE3-E27E-4A05-BCA2-992D36FAA8FD}"/>
    <cellStyle name="Normal 3 5 10 8" xfId="10673" xr:uid="{76F6F149-E833-4152-9023-D5C9C43332F7}"/>
    <cellStyle name="Normal 3 5 10 9" xfId="11795" xr:uid="{4FCBE116-A32A-4ADE-9138-C0A608FB4B48}"/>
    <cellStyle name="Normal 3 5 10 9 2" xfId="15917" xr:uid="{679CFD80-B6FD-4D45-A6EE-0E8113B02C76}"/>
    <cellStyle name="Normal 3 5 10 9 3" xfId="20615" xr:uid="{A47A6EF7-6A9B-4EA9-B79D-801F29A0FEEB}"/>
    <cellStyle name="Normal 3 5 11" xfId="4573" xr:uid="{99BAD5AC-8535-445F-B195-4F24BBCCF78A}"/>
    <cellStyle name="Normal 3 5 11 2" xfId="7495" xr:uid="{8CF053A1-C5DB-43C4-8355-F132B41FC3DD}"/>
    <cellStyle name="Normal 3 5 11 2 2" xfId="9005" xr:uid="{2ABD43C6-08AE-483F-B28F-3AF798A1E7AF}"/>
    <cellStyle name="Normal 3 5 11 2 2 2" xfId="19057" xr:uid="{F0E87B99-23A7-402B-9499-62639C5F9B99}"/>
    <cellStyle name="Normal 3 5 11 2 3" xfId="16510" xr:uid="{F868DD3A-CA52-4403-9167-7FB6CC5A5A91}"/>
    <cellStyle name="Normal 3 5 11 2 4" xfId="15126" xr:uid="{3A36CFD3-1FDA-4BE8-B185-E5F6C92127A1}"/>
    <cellStyle name="Normal 3 5 11 3" xfId="7496" xr:uid="{B64F2B41-3912-4E43-A19C-1E0A9C567233}"/>
    <cellStyle name="Normal 3 5 11 3 2" xfId="9453" xr:uid="{074EAD0A-E6C3-4CBF-9B7F-E1308B18A298}"/>
    <cellStyle name="Normal 3 5 11 3 2 2" xfId="19505" xr:uid="{8178D41A-8CE3-4560-8A6B-AE1261F61E6C}"/>
    <cellStyle name="Normal 3 5 11 3 3" xfId="16956" xr:uid="{5DE82B34-1767-43AD-B0E3-94E4755738DB}"/>
    <cellStyle name="Normal 3 5 11 3 4" xfId="14831" xr:uid="{1E79F183-A14D-48CC-A4C4-FB9161416BE1}"/>
    <cellStyle name="Normal 3 5 11 4" xfId="7497" xr:uid="{1FFB69DE-048A-4193-B18F-812E7D9C1FC4}"/>
    <cellStyle name="Normal 3 5 11 4 2" xfId="17557" xr:uid="{5A9D0204-4AD5-4D12-8DEB-5492D8A1AF6F}"/>
    <cellStyle name="Normal 3 5 11 4 3" xfId="14643" xr:uid="{2C2869D3-B758-4700-98E6-B7C285B5B191}"/>
    <cellStyle name="Normal 3 5 11 5" xfId="7498" xr:uid="{A6C75626-4954-45BA-BF3A-9268A3A0A337}"/>
    <cellStyle name="Normal 3 5 11 5 2" xfId="18168" xr:uid="{E26C4074-947A-4EB6-9798-0F1A9F764EDE}"/>
    <cellStyle name="Normal 3 5 11 5 3" xfId="14293" xr:uid="{A2E0C55B-3F65-427E-8485-1FE179741AE0}"/>
    <cellStyle name="Normal 3 5 11 6" xfId="8577" xr:uid="{EDD19698-8FB7-452E-BCB9-1430484424EC}"/>
    <cellStyle name="Normal 3 5 11 6 2" xfId="18629" xr:uid="{BB665F39-F1A0-4639-ABE3-D11B01AE6BB0}"/>
    <cellStyle name="Normal 3 5 11 7" xfId="10043" xr:uid="{6BD0EB89-9724-4228-A8E6-53048F7BD070}"/>
    <cellStyle name="Normal 3 5 11 8" xfId="10674" xr:uid="{84E3284F-72AF-4CB8-AE0E-C7870C087B75}"/>
    <cellStyle name="Normal 3 5 11 9" xfId="11669" xr:uid="{856CFBE1-2B45-4B0D-9A4F-BC8BD8BED9B7}"/>
    <cellStyle name="Normal 3 5 11 9 2" xfId="15480" xr:uid="{C4A101C8-8C2A-4861-B5EA-CC69CC300EC0}"/>
    <cellStyle name="Normal 3 5 11 9 3" xfId="20584" xr:uid="{B84BF31F-0738-4CD8-A6A2-371A01415A7B}"/>
    <cellStyle name="Normal 3 5 12" xfId="6022" xr:uid="{E4B1980E-1A19-4F2D-8D3B-DF8FAD97A97B}"/>
    <cellStyle name="Normal 3 5 12 2" xfId="7499" xr:uid="{41595F8C-214A-40B7-855D-4262A1CE25C0}"/>
    <cellStyle name="Normal 3 5 12 2 2" xfId="19648" xr:uid="{C07419D9-48A6-41F3-93C4-FE44897EA7C0}"/>
    <cellStyle name="Normal 3 5 12 2 3" xfId="15620" xr:uid="{FD2FFCF2-1C53-4D2C-866B-7E06D973BA78}"/>
    <cellStyle name="Normal 3 5 12 2 4" xfId="16236" xr:uid="{3D5D3B13-B06E-42AA-B416-B8550B39049D}"/>
    <cellStyle name="Normal 3 5 12 3" xfId="7500" xr:uid="{837159FF-A127-451B-850D-A3801FF0EE70}"/>
    <cellStyle name="Normal 3 5 12 3 2" xfId="17330" xr:uid="{F305E4EE-CEA7-4AC6-9F63-A1B61A30CCE9}"/>
    <cellStyle name="Normal 3 5 12 4" xfId="7501" xr:uid="{22E75C11-D760-4551-B13D-9E2375FD7A6E}"/>
    <cellStyle name="Normal 3 5 12 4 2" xfId="17944" xr:uid="{439A3751-9B5D-42F1-9A8E-43E9A49DBE50}"/>
    <cellStyle name="Normal 3 5 12 5" xfId="8773" xr:uid="{ECE4A6FE-9CAA-4EF7-BEF9-8B34800BB733}"/>
    <cellStyle name="Normal 3 5 12 5 2" xfId="18825" xr:uid="{94AB111F-DAD3-4A32-A620-19483EF4687E}"/>
    <cellStyle name="Normal 3 5 12 6" xfId="9820" xr:uid="{22A3AC18-F222-4649-9D57-80FC677D8D63}"/>
    <cellStyle name="Normal 3 5 12 7" xfId="10675" xr:uid="{7CF99208-C48B-46A1-BED6-61E092D1D2BB}"/>
    <cellStyle name="Normal 3 5 12 8" xfId="15334" xr:uid="{EA0F7B5E-1AAF-4C13-8A50-B26E570930C0}"/>
    <cellStyle name="Normal 3 5 13" xfId="2857" xr:uid="{5FC65E65-9880-4EA5-9CBE-EC6098FD79B8}"/>
    <cellStyle name="Normal 3 5 13 2" xfId="9221" xr:uid="{50D61CCF-73C2-4E17-A581-E95282F23309}"/>
    <cellStyle name="Normal 3 5 13 2 2" xfId="19273" xr:uid="{CEF1822C-63BB-438A-ABA5-BD89115B6CE9}"/>
    <cellStyle name="Normal 3 5 13 2 3" xfId="16265" xr:uid="{E34656D8-FF7A-415C-B06F-DE6FBF03A3A5}"/>
    <cellStyle name="Normal 3 5 13 3" xfId="12761" xr:uid="{5DD9EDCE-0FAE-42C7-B5A9-C5104F13752F}"/>
    <cellStyle name="Normal 3 5 13 3 2" xfId="16724" xr:uid="{1ADA79BE-D375-4614-BF9A-FAC6606F6947}"/>
    <cellStyle name="Normal 3 5 13 3 3" xfId="16229" xr:uid="{5A80F9F8-1A32-43AE-A3DA-BE70FE478727}"/>
    <cellStyle name="Normal 3 5 13 3 4" xfId="20721" xr:uid="{35E2C4BB-4D1D-464A-ABC3-0C3838D82FA2}"/>
    <cellStyle name="Normal 3 5 13 4" xfId="14940" xr:uid="{8CA695AC-53C8-47DD-A6C6-60981BDF61AC}"/>
    <cellStyle name="Normal 3 5 14" xfId="7502" xr:uid="{BA0F06DD-B07C-48B2-9F48-DF6FA599E5ED}"/>
    <cellStyle name="Normal 3 5 15" xfId="7503" xr:uid="{C0487CA2-E3EC-4687-865E-481D190ED678}"/>
    <cellStyle name="Normal 3 5 15 2" xfId="11056" xr:uid="{507354DA-E2E2-46CF-8469-F74618DA69DA}"/>
    <cellStyle name="Normal 3 5 15 2 2" xfId="17183" xr:uid="{A9BCC0D2-D558-452C-A91A-B9AB972A1022}"/>
    <cellStyle name="Normal 3 5 15 2 3" xfId="20506" xr:uid="{ABA6D24A-8B2A-494A-A60D-64D9781D3917}"/>
    <cellStyle name="Normal 3 5 16" xfId="7504" xr:uid="{8B050667-08CB-4BB5-845B-42C9A57A13F9}"/>
    <cellStyle name="Normal 3 5 16 2" xfId="11796" xr:uid="{0AA1E47B-5948-4991-9670-2A566A582B54}"/>
    <cellStyle name="Normal 3 5 16 2 2" xfId="17793" xr:uid="{37CE1FF7-B0CA-4469-85E0-7BBE77DCF9BF}"/>
    <cellStyle name="Normal 3 5 16 2 3" xfId="20616" xr:uid="{86D6C7A6-ED32-4D12-A925-85E8E047AF36}"/>
    <cellStyle name="Normal 3 5 17" xfId="8345" xr:uid="{17B2B300-CE1D-4AE1-A8AC-FF859D96D292}"/>
    <cellStyle name="Normal 3 5 17 2" xfId="11443" xr:uid="{D765EA52-89C6-44F1-A61D-A4F10A2043D0}"/>
    <cellStyle name="Normal 3 5 17 2 2" xfId="18397" xr:uid="{F6D73F25-02B6-4A50-A15A-94F7504483A4}"/>
    <cellStyle name="Normal 3 5 17 2 3" xfId="20575" xr:uid="{02F34C14-40A1-47E9-A97B-4B36056C5F0E}"/>
    <cellStyle name="Normal 3 5 18" xfId="9674" xr:uid="{7C5D2199-4C97-44AF-9165-B9F8640478EF}"/>
    <cellStyle name="Normal 3 5 18 2" xfId="11412" xr:uid="{B0CEC229-E1C3-4925-9819-EAC9C90464EE}"/>
    <cellStyle name="Normal 3 5 19" xfId="10328" xr:uid="{749857BB-6A59-4D00-A4DB-C2AB99035D08}"/>
    <cellStyle name="Normal 3 5 19 2" xfId="11117" xr:uid="{887E9465-66D6-4A84-B74A-73C5D36F0092}"/>
    <cellStyle name="Normal 3 5 2" xfId="2858" xr:uid="{6662533E-D35F-478E-824C-47366D12B8AD}"/>
    <cellStyle name="Normal 3 5 2 10" xfId="9675" xr:uid="{3213021B-1ED9-40C0-A063-055427A372A1}"/>
    <cellStyle name="Normal 3 5 2 11" xfId="10329" xr:uid="{BA764C2B-768C-40E8-988D-1BEA87E486CB}"/>
    <cellStyle name="Normal 3 5 2 12" xfId="16110" xr:uid="{CEA7A472-8BAC-4CD9-B9DC-36048ABD1799}"/>
    <cellStyle name="Normal 3 5 2 2" xfId="2859" xr:uid="{6963D8FF-0C12-4D2E-AC6B-95BFB877AE94}"/>
    <cellStyle name="Normal 3 5 2 2 10" xfId="10330" xr:uid="{1CCAF4EF-28EC-4144-8199-03BEEFA657FD}"/>
    <cellStyle name="Normal 3 5 2 2 11" xfId="16109" xr:uid="{76C453E2-4E0D-4656-8C85-3538CCEF4FEC}"/>
    <cellStyle name="Normal 3 5 2 2 2" xfId="4574" xr:uid="{635B17E2-5D8E-48A5-B680-6A5E541FD614}"/>
    <cellStyle name="Normal 3 5 2 2 2 2" xfId="7505" xr:uid="{06D802C2-F829-4D24-9A33-F5C7AC4E3C2E}"/>
    <cellStyle name="Normal 3 5 2 2 2 2 2" xfId="9006" xr:uid="{F23A4F4A-9D90-4E50-AEDA-C09565A3609F}"/>
    <cellStyle name="Normal 3 5 2 2 2 2 2 2" xfId="19058" xr:uid="{C6CF1ADF-7549-45B8-AAA3-FA5062802AF6}"/>
    <cellStyle name="Normal 3 5 2 2 2 2 3" xfId="16511" xr:uid="{84A7E306-6333-43F0-92BA-A54DFAD965AD}"/>
    <cellStyle name="Normal 3 5 2 2 2 2 4" xfId="15125" xr:uid="{03EB361F-A7C6-4342-A977-13DBFFBDE74A}"/>
    <cellStyle name="Normal 3 5 2 2 2 3" xfId="7506" xr:uid="{DA4A01BA-1E8F-4881-8D88-861EA21E82FD}"/>
    <cellStyle name="Normal 3 5 2 2 2 3 2" xfId="9454" xr:uid="{015B60D4-EF1E-4752-9582-DDF9912B9E01}"/>
    <cellStyle name="Normal 3 5 2 2 2 3 2 2" xfId="19506" xr:uid="{D217FC95-57F6-40C8-A604-AB1EE8566F0A}"/>
    <cellStyle name="Normal 3 5 2 2 2 3 3" xfId="16957" xr:uid="{66211253-EBC8-4BC0-B019-659FC06DC784}"/>
    <cellStyle name="Normal 3 5 2 2 2 3 4" xfId="15707" xr:uid="{FCE34DA0-85EE-471C-88AE-2EA91B1B211A}"/>
    <cellStyle name="Normal 3 5 2 2 2 4" xfId="7507" xr:uid="{8D0DA7C9-8DD5-45FD-8C87-2F707F0A7FB2}"/>
    <cellStyle name="Normal 3 5 2 2 2 4 2" xfId="17558" xr:uid="{77A08656-5810-45E1-9821-672DBAEFE28F}"/>
    <cellStyle name="Normal 3 5 2 2 2 4 3" xfId="14642" xr:uid="{505B6136-A850-4DBA-B2B5-BFAC35C574D5}"/>
    <cellStyle name="Normal 3 5 2 2 2 5" xfId="7508" xr:uid="{38743820-EF69-4479-A58B-56D858E4DB17}"/>
    <cellStyle name="Normal 3 5 2 2 2 5 2" xfId="18169" xr:uid="{BD51F078-CC9F-4D9D-8399-7F9496A29FC2}"/>
    <cellStyle name="Normal 3 5 2 2 2 5 3" xfId="14292" xr:uid="{509B1170-C041-4F72-A797-0E934937A4B8}"/>
    <cellStyle name="Normal 3 5 2 2 2 6" xfId="8578" xr:uid="{CA3C8405-B548-4056-BE3C-032A6342503F}"/>
    <cellStyle name="Normal 3 5 2 2 2 6 2" xfId="18630" xr:uid="{E048F8E4-4C68-407D-9679-16C7FC99BFC7}"/>
    <cellStyle name="Normal 3 5 2 2 2 7" xfId="10044" xr:uid="{D052BDDD-B48B-4A6C-80E3-82D831E948A7}"/>
    <cellStyle name="Normal 3 5 2 2 2 8" xfId="10676" xr:uid="{EEDBDB55-F95A-4D1C-84D4-AE0EBEEACCE8}"/>
    <cellStyle name="Normal 3 5 2 2 2 9" xfId="15916" xr:uid="{A5175A76-AA2E-48D6-9AF0-23780DC1C5F4}"/>
    <cellStyle name="Normal 3 5 2 2 3" xfId="4575" xr:uid="{FB213CD1-1005-4080-9F4D-F9395AE22114}"/>
    <cellStyle name="Normal 3 5 2 2 3 2" xfId="7509" xr:uid="{26AD7EB1-F97C-4BCD-AA21-CF449921D0C5}"/>
    <cellStyle name="Normal 3 5 2 2 3 2 2" xfId="9007" xr:uid="{BEF25A37-115E-4D82-A4EA-983D283E7B29}"/>
    <cellStyle name="Normal 3 5 2 2 3 2 2 2" xfId="19059" xr:uid="{FA085DA4-AAC3-4197-A38A-1C21F9B36122}"/>
    <cellStyle name="Normal 3 5 2 2 3 2 3" xfId="16512" xr:uid="{200EEEBB-BB34-4AC9-AA73-5BAE04357C23}"/>
    <cellStyle name="Normal 3 5 2 2 3 2 4" xfId="15124" xr:uid="{F427FF75-8152-461C-A8E8-02E213FD05A9}"/>
    <cellStyle name="Normal 3 5 2 2 3 3" xfId="7510" xr:uid="{B3CCB562-DADE-4091-BC41-CAE14A7086EB}"/>
    <cellStyle name="Normal 3 5 2 2 3 3 2" xfId="9455" xr:uid="{F0331403-7B8A-453F-8C89-DF0C4E1A59C6}"/>
    <cellStyle name="Normal 3 5 2 2 3 3 2 2" xfId="19507" xr:uid="{543153A7-36D5-4203-B009-3C652A60688A}"/>
    <cellStyle name="Normal 3 5 2 2 3 3 3" xfId="16958" xr:uid="{49FFF0B8-FC7D-49E9-95E4-C026F7081DDE}"/>
    <cellStyle name="Normal 3 5 2 2 3 3 4" xfId="15706" xr:uid="{B33F1F79-F590-4BD7-9885-805458EFC56F}"/>
    <cellStyle name="Normal 3 5 2 2 3 4" xfId="7511" xr:uid="{EAF3C740-1AC4-4254-9082-736B8157D3F1}"/>
    <cellStyle name="Normal 3 5 2 2 3 4 2" xfId="17559" xr:uid="{AB0E4B72-E77D-45D5-8781-DFF696CCFB75}"/>
    <cellStyle name="Normal 3 5 2 2 3 4 3" xfId="14641" xr:uid="{ED586228-F292-46E6-8A82-C67DDE0D5FFA}"/>
    <cellStyle name="Normal 3 5 2 2 3 5" xfId="7512" xr:uid="{86E46D91-411F-42E3-90CE-67C791B998E6}"/>
    <cellStyle name="Normal 3 5 2 2 3 5 2" xfId="18170" xr:uid="{A4AA3A54-B806-46C1-886D-215FE37157DB}"/>
    <cellStyle name="Normal 3 5 2 2 3 5 3" xfId="14291" xr:uid="{F27FB0A9-5272-49F1-B931-67B917DFF964}"/>
    <cellStyle name="Normal 3 5 2 2 3 6" xfId="8579" xr:uid="{18BB1F31-91B3-4DC0-B639-F0C71177F887}"/>
    <cellStyle name="Normal 3 5 2 2 3 6 2" xfId="18631" xr:uid="{8E0907FE-F343-46AD-86EF-86F5FD150126}"/>
    <cellStyle name="Normal 3 5 2 2 3 7" xfId="10045" xr:uid="{09D9EEB9-9099-4351-819A-A5C8EE927AB4}"/>
    <cellStyle name="Normal 3 5 2 2 3 8" xfId="10677" xr:uid="{460ED641-C49C-4BE8-95C7-6AC27E3D4326}"/>
    <cellStyle name="Normal 3 5 2 2 3 9" xfId="15915" xr:uid="{2B66D2A4-9C0B-496D-AF12-A9A791E22149}"/>
    <cellStyle name="Normal 3 5 2 2 4" xfId="7513" xr:uid="{7E5A04E3-C0F6-484C-9AD4-623D7D33E906}"/>
    <cellStyle name="Normal 3 5 2 2 4 2" xfId="7514" xr:uid="{E6A25FDF-3366-40F7-8B84-04C2680F06A7}"/>
    <cellStyle name="Normal 3 5 2 2 4 2 2" xfId="17332" xr:uid="{9D74AE54-CC03-445D-ABE4-C36A5066FEB7}"/>
    <cellStyle name="Normal 3 5 2 2 4 3" xfId="7515" xr:uid="{74C50589-D928-4D37-A6DF-EE9351A699AF}"/>
    <cellStyle name="Normal 3 5 2 2 4 3 2" xfId="17946" xr:uid="{3D273EB7-A6CA-4034-8E67-BC7EB017EBC9}"/>
    <cellStyle name="Normal 3 5 2 2 4 4" xfId="8775" xr:uid="{23F0D6E3-57FE-4181-893D-E26C37BBD677}"/>
    <cellStyle name="Normal 3 5 2 2 4 4 2" xfId="18827" xr:uid="{D72A8EE3-20DB-440E-A3F3-AE2ADB0447B7}"/>
    <cellStyle name="Normal 3 5 2 2 4 5" xfId="9822" xr:uid="{703CD71E-D971-41A6-9735-1E46376583B8}"/>
    <cellStyle name="Normal 3 5 2 2 4 6" xfId="10678" xr:uid="{46975886-8445-4AAA-9264-9C6A248E7475}"/>
    <cellStyle name="Normal 3 5 2 2 4 7" xfId="15332" xr:uid="{4764D49A-65FF-4496-9F9A-FE3337DC36EE}"/>
    <cellStyle name="Normal 3 5 2 2 5" xfId="7516" xr:uid="{A2D0A6B4-F2DF-49F3-861C-178366F221AE}"/>
    <cellStyle name="Normal 3 5 2 2 5 2" xfId="9223" xr:uid="{501C43C2-C564-46C0-B63F-5E6C98752675}"/>
    <cellStyle name="Normal 3 5 2 2 5 2 2" xfId="19275" xr:uid="{C0BDB2F6-039D-4382-A364-6B9E84AA9E75}"/>
    <cellStyle name="Normal 3 5 2 2 5 3" xfId="16726" xr:uid="{DCB35C26-9515-45DD-8C61-29A55D5925A6}"/>
    <cellStyle name="Normal 3 5 2 2 5 4" xfId="14938" xr:uid="{E3E827E9-6B4F-405F-AD21-9DC548565781}"/>
    <cellStyle name="Normal 3 5 2 2 6" xfId="7517" xr:uid="{107646DC-576E-4C8B-A765-A360C8CDC29B}"/>
    <cellStyle name="Normal 3 5 2 2 6 2" xfId="17185" xr:uid="{358B6BF0-75A5-48DD-A235-AD3C26422547}"/>
    <cellStyle name="Normal 3 5 2 2 6 3" xfId="15529" xr:uid="{5414902A-9BF1-49E8-89CE-99CA9FDBDCD7}"/>
    <cellStyle name="Normal 3 5 2 2 7" xfId="7518" xr:uid="{3704A377-75C8-4A4F-A6A6-C9A6A4230D41}"/>
    <cellStyle name="Normal 3 5 2 2 7 2" xfId="17795" xr:uid="{1259AA64-2FF6-43B4-97F2-8A5852A44323}"/>
    <cellStyle name="Normal 3 5 2 2 7 3" xfId="14478" xr:uid="{BE87ADD2-6066-436F-BA71-31C1D2A115BF}"/>
    <cellStyle name="Normal 3 5 2 2 8" xfId="8347" xr:uid="{99C57CA1-4F5F-4E71-A2A9-E2B113BA82C6}"/>
    <cellStyle name="Normal 3 5 2 2 8 2" xfId="18399" xr:uid="{DAFE9E5E-9F10-4891-BD20-E019AAC8240D}"/>
    <cellStyle name="Normal 3 5 2 2 9" xfId="9676" xr:uid="{0D179688-6CF8-470C-9BA2-F7CA996BBDC1}"/>
    <cellStyle name="Normal 3 5 2 3" xfId="4576" xr:uid="{D4F55D50-17C5-44A1-B1A1-AD0D6B9ECC2A}"/>
    <cellStyle name="Normal 3 5 2 3 2" xfId="7519" xr:uid="{00C09EE1-49C7-458C-AB6B-F9927E69E317}"/>
    <cellStyle name="Normal 3 5 2 3 2 2" xfId="9008" xr:uid="{234D9DE2-2F53-43E1-84E4-DE08D7A0D93F}"/>
    <cellStyle name="Normal 3 5 2 3 2 2 2" xfId="19060" xr:uid="{735F9F6A-9A41-4A0E-AEC0-C6559DAD43B9}"/>
    <cellStyle name="Normal 3 5 2 3 2 3" xfId="16513" xr:uid="{5C123BEB-391D-43B7-A4A5-C65BA16AA6E6}"/>
    <cellStyle name="Normal 3 5 2 3 2 4" xfId="15123" xr:uid="{DA3AD5B2-217A-46DA-BC12-F15A660CC77B}"/>
    <cellStyle name="Normal 3 5 2 3 3" xfId="7520" xr:uid="{866EDEDE-7FA8-4238-BB37-9E2BDE986A74}"/>
    <cellStyle name="Normal 3 5 2 3 3 2" xfId="9456" xr:uid="{088B9F30-B8D3-433F-9AC6-F72BEC3C9A7F}"/>
    <cellStyle name="Normal 3 5 2 3 3 2 2" xfId="19508" xr:uid="{286AF412-93D1-4ED2-90AD-75E290A7B64E}"/>
    <cellStyle name="Normal 3 5 2 3 3 3" xfId="16959" xr:uid="{28345D23-647F-4390-B00A-FFED4EA23E95}"/>
    <cellStyle name="Normal 3 5 2 3 3 4" xfId="15705" xr:uid="{9884E206-5AD7-42FF-B634-A6C1413790B9}"/>
    <cellStyle name="Normal 3 5 2 3 4" xfId="7521" xr:uid="{18B97270-3ABD-46F7-9D12-4FA9DB1C0EB1}"/>
    <cellStyle name="Normal 3 5 2 3 4 2" xfId="17560" xr:uid="{7869A36D-633A-4495-9C99-46FE6B56C277}"/>
    <cellStyle name="Normal 3 5 2 3 4 3" xfId="14109" xr:uid="{21D3EF22-A508-40CB-9D77-D4451D40179E}"/>
    <cellStyle name="Normal 3 5 2 3 5" xfId="7522" xr:uid="{C8D8D299-EDC4-49F1-B5A5-59001E326858}"/>
    <cellStyle name="Normal 3 5 2 3 5 2" xfId="18171" xr:uid="{11B452F1-C515-4104-AA1D-4CEAA4D17F5B}"/>
    <cellStyle name="Normal 3 5 2 3 5 3" xfId="14290" xr:uid="{56E8D754-2EC5-43B2-9ACF-86F10C800F14}"/>
    <cellStyle name="Normal 3 5 2 3 6" xfId="8580" xr:uid="{6BEF72C4-2167-4BB6-88CA-6BF68CCB08AC}"/>
    <cellStyle name="Normal 3 5 2 3 6 2" xfId="18632" xr:uid="{1C69ABB5-2310-466B-BA11-203CB50613C1}"/>
    <cellStyle name="Normal 3 5 2 3 7" xfId="10046" xr:uid="{AB71A3DF-58B8-4965-B0C6-D3DB1C39474C}"/>
    <cellStyle name="Normal 3 5 2 3 8" xfId="10679" xr:uid="{589A41E7-7B37-46E8-A6D4-4146DDC1B20F}"/>
    <cellStyle name="Normal 3 5 2 3 9" xfId="15914" xr:uid="{E6E3B997-EC7E-488C-B324-0D274BE61994}"/>
    <cellStyle name="Normal 3 5 2 4" xfId="4577" xr:uid="{6D02CB10-47D6-486D-8609-13971FFEDA26}"/>
    <cellStyle name="Normal 3 5 2 4 2" xfId="7523" xr:uid="{3CAEBFE3-D201-4040-AEC8-12E79E44DB79}"/>
    <cellStyle name="Normal 3 5 2 4 2 2" xfId="9009" xr:uid="{E309E777-0F31-4893-89BB-40DC9FC7D0EA}"/>
    <cellStyle name="Normal 3 5 2 4 2 2 2" xfId="19061" xr:uid="{FB09496F-DE79-472D-A431-C056695331A6}"/>
    <cellStyle name="Normal 3 5 2 4 2 3" xfId="16514" xr:uid="{286F014E-9EE6-489A-8419-BBA7EB1419EF}"/>
    <cellStyle name="Normal 3 5 2 4 2 4" xfId="15122" xr:uid="{487698AA-5228-48B7-A2B4-F8D27F289DCB}"/>
    <cellStyle name="Normal 3 5 2 4 3" xfId="7524" xr:uid="{71FC0704-03FF-4CBC-8DFC-9EC7F7EF5BC2}"/>
    <cellStyle name="Normal 3 5 2 4 3 2" xfId="9457" xr:uid="{93EE0121-642A-4A6B-9D99-BBB07D97B4FF}"/>
    <cellStyle name="Normal 3 5 2 4 3 2 2" xfId="19509" xr:uid="{63015065-B4AA-4A21-AB9F-FE9D8D1AFE55}"/>
    <cellStyle name="Normal 3 5 2 4 3 3" xfId="16960" xr:uid="{FFC93E58-E7AE-4A35-9CDD-64EC71E28FB3}"/>
    <cellStyle name="Normal 3 5 2 4 3 4" xfId="15704" xr:uid="{5617C524-B82D-4FB8-9397-0B712400EC8C}"/>
    <cellStyle name="Normal 3 5 2 4 4" xfId="7525" xr:uid="{DA91203E-83AB-4159-918F-18151F829A53}"/>
    <cellStyle name="Normal 3 5 2 4 4 2" xfId="17561" xr:uid="{EC807F08-C480-492D-AF4D-460642A8C53F}"/>
    <cellStyle name="Normal 3 5 2 4 4 3" xfId="14640" xr:uid="{04E19277-765C-4DD5-814C-35BB5BE8FBD5}"/>
    <cellStyle name="Normal 3 5 2 4 5" xfId="7526" xr:uid="{B17FEBAE-3C9E-4EDC-AE50-4B4D278FE4A0}"/>
    <cellStyle name="Normal 3 5 2 4 5 2" xfId="18172" xr:uid="{03FF2A1F-9B85-4F4E-8B5B-52FFADF746DF}"/>
    <cellStyle name="Normal 3 5 2 4 5 3" xfId="14063" xr:uid="{C815C0FD-A130-4CAE-8CB6-C35A7E27F026}"/>
    <cellStyle name="Normal 3 5 2 4 6" xfId="8581" xr:uid="{0BC04117-B740-44B5-B50F-3EF26501D2C0}"/>
    <cellStyle name="Normal 3 5 2 4 6 2" xfId="18633" xr:uid="{53DA967B-B5DB-4F96-B180-01E0D08D0651}"/>
    <cellStyle name="Normal 3 5 2 4 7" xfId="10047" xr:uid="{4B2C5339-7954-471D-B318-D20AA9B89810}"/>
    <cellStyle name="Normal 3 5 2 4 8" xfId="10680" xr:uid="{E20DD903-3F2B-4439-B5F5-E378863993AD}"/>
    <cellStyle name="Normal 3 5 2 4 9" xfId="15913" xr:uid="{CAD96000-488D-45F3-B360-56E443AE1E8E}"/>
    <cellStyle name="Normal 3 5 2 5" xfId="7527" xr:uid="{20A275C9-29CA-4FF1-A238-AA0BFBAAA1B3}"/>
    <cellStyle name="Normal 3 5 2 5 2" xfId="7528" xr:uid="{6EB45B74-688D-4C94-9E25-87AF1FF1B31C}"/>
    <cellStyle name="Normal 3 5 2 5 2 2" xfId="17331" xr:uid="{120E9F0A-8BAD-4D53-B9F5-21F85845C1D2}"/>
    <cellStyle name="Normal 3 5 2 5 3" xfId="7529" xr:uid="{BED634A9-5080-4933-B9F8-098208D8306E}"/>
    <cellStyle name="Normal 3 5 2 5 3 2" xfId="17945" xr:uid="{13E23ECD-2889-4C56-A8EA-98084102FD9F}"/>
    <cellStyle name="Normal 3 5 2 5 4" xfId="8774" xr:uid="{6B11B8E3-219A-4D91-A406-673A887B20E1}"/>
    <cellStyle name="Normal 3 5 2 5 4 2" xfId="18826" xr:uid="{6B4B8FDB-1F20-42AC-B55A-09CE98A3DADE}"/>
    <cellStyle name="Normal 3 5 2 5 5" xfId="9821" xr:uid="{F0AFDB28-9F21-47E9-A17B-AB9DBB15BDA0}"/>
    <cellStyle name="Normal 3 5 2 5 6" xfId="10681" xr:uid="{91D9409B-BC08-4062-BA97-AC4FB522785D}"/>
    <cellStyle name="Normal 3 5 2 5 7" xfId="15333" xr:uid="{E60EB7CB-F495-43C9-91AF-AF00B4ED6724}"/>
    <cellStyle name="Normal 3 5 2 6" xfId="7530" xr:uid="{2AE5F8B4-CEB5-406A-8CBA-E3F89BE70E14}"/>
    <cellStyle name="Normal 3 5 2 6 2" xfId="9222" xr:uid="{F6505A99-5537-45D4-904C-11AB4BDFFD8E}"/>
    <cellStyle name="Normal 3 5 2 6 2 2" xfId="19274" xr:uid="{BC5E1CEB-EC20-407E-8601-47FFC96118E5}"/>
    <cellStyle name="Normal 3 5 2 6 3" xfId="16725" xr:uid="{0A062190-2323-4E85-9A52-1827B03D031E}"/>
    <cellStyle name="Normal 3 5 2 6 4" xfId="14939" xr:uid="{E8FDA5AE-C262-43F6-B7B8-08659032144D}"/>
    <cellStyle name="Normal 3 5 2 7" xfId="7531" xr:uid="{728966E3-4E13-4F66-BB5E-F75F19715661}"/>
    <cellStyle name="Normal 3 5 2 7 2" xfId="17184" xr:uid="{97050F01-D77D-4D3C-9C75-C646DF54F308}"/>
    <cellStyle name="Normal 3 5 2 7 3" xfId="15530" xr:uid="{2B0EA7DB-7AE4-4050-AD63-31C14CA890DD}"/>
    <cellStyle name="Normal 3 5 2 8" xfId="7532" xr:uid="{E7D8031F-5357-415B-B123-5793DFC5936A}"/>
    <cellStyle name="Normal 3 5 2 8 2" xfId="17794" xr:uid="{929865BA-63CA-4632-B453-3387E8C77DFE}"/>
    <cellStyle name="Normal 3 5 2 8 3" xfId="14479" xr:uid="{5280F01D-5199-4B70-AA8E-889E43B2F76C}"/>
    <cellStyle name="Normal 3 5 2 9" xfId="8346" xr:uid="{09B0FAEF-44D7-41E0-B947-C825C67C124B}"/>
    <cellStyle name="Normal 3 5 2 9 2" xfId="18398" xr:uid="{B9945179-E5F4-41AF-99A2-A3E9AC909EB2}"/>
    <cellStyle name="Normal 3 5 20" xfId="12490" xr:uid="{0884A275-D28E-4691-A074-D6E5240FBA72}"/>
    <cellStyle name="Normal 3 5 20 2" xfId="16111" xr:uid="{8C680DE9-D0F1-42AA-9D4B-90C548E1A036}"/>
    <cellStyle name="Normal 3 5 20 3" xfId="20694" xr:uid="{103B1381-AB24-4971-98DA-3A9D7146E03D}"/>
    <cellStyle name="Normal 3 5 21" xfId="13953" xr:uid="{7366A396-153D-4F7B-97C5-7514CE1765BC}"/>
    <cellStyle name="Normal 3 5 22" xfId="12762" xr:uid="{1BE48C8A-FF8A-4BAB-B06D-2905DA81BC83}"/>
    <cellStyle name="Normal 3 5 23" xfId="11931" xr:uid="{E6540BA4-724F-45F8-8846-C55598DF73AE}"/>
    <cellStyle name="Normal 3 5 24" xfId="12715" xr:uid="{62DA9C9D-9DD1-4614-A149-A635EA79F924}"/>
    <cellStyle name="Normal 3 5 3" xfId="2860" xr:uid="{F21D728C-59B5-4CBA-9B91-722E62D0780B}"/>
    <cellStyle name="Normal 3 5 3 10" xfId="9677" xr:uid="{4B809C72-1E65-4E4F-A890-65B5C18D9E61}"/>
    <cellStyle name="Normal 3 5 3 11" xfId="10331" xr:uid="{ECB291C7-E594-4C42-92AB-6142CE8A927C}"/>
    <cellStyle name="Normal 3 5 3 12" xfId="11797" xr:uid="{6A8CA79E-CD35-40B2-87AE-9FE977EA0E9E}"/>
    <cellStyle name="Normal 3 5 3 12 2" xfId="16108" xr:uid="{6FD79644-7104-4818-BA55-5E30E58D9CE0}"/>
    <cellStyle name="Normal 3 5 3 12 3" xfId="20617" xr:uid="{5F7FEC1A-C3E7-4FD7-AC23-BD003A26783B}"/>
    <cellStyle name="Normal 3 5 3 2" xfId="2861" xr:uid="{A6866B61-3018-4D06-B485-392911F77F10}"/>
    <cellStyle name="Normal 3 5 3 2 10" xfId="10332" xr:uid="{0495314B-F02B-4A8C-8D1F-517C40653DCC}"/>
    <cellStyle name="Normal 3 5 3 2 11" xfId="16107" xr:uid="{1E26C65E-57D8-4FBC-8ADC-0D266B29E52F}"/>
    <cellStyle name="Normal 3 5 3 2 2" xfId="4578" xr:uid="{FE491D81-5D39-449C-96E4-543470226881}"/>
    <cellStyle name="Normal 3 5 3 2 2 2" xfId="7533" xr:uid="{00133959-07CC-4667-B420-E1522993474B}"/>
    <cellStyle name="Normal 3 5 3 2 2 2 2" xfId="9010" xr:uid="{AD613507-646C-4B09-AE01-E5838937628A}"/>
    <cellStyle name="Normal 3 5 3 2 2 2 2 2" xfId="19062" xr:uid="{48EAD153-78AC-4050-94BC-4CF3EA8AB442}"/>
    <cellStyle name="Normal 3 5 3 2 2 2 3" xfId="16515" xr:uid="{C89CF33C-7A79-4946-B56F-66CB0AC52867}"/>
    <cellStyle name="Normal 3 5 3 2 2 2 4" xfId="15121" xr:uid="{6D2F6444-6A07-44DF-93DD-84FE1945783F}"/>
    <cellStyle name="Normal 3 5 3 2 2 3" xfId="7534" xr:uid="{193E2793-D6A3-4D3D-82CA-9FDF4E2E9DDC}"/>
    <cellStyle name="Normal 3 5 3 2 2 3 2" xfId="9458" xr:uid="{1536A21D-B136-4720-AB59-62648D06C43A}"/>
    <cellStyle name="Normal 3 5 3 2 2 3 2 2" xfId="19510" xr:uid="{E5B55714-BBFD-4B8A-B9A1-FB21E8EDB06B}"/>
    <cellStyle name="Normal 3 5 3 2 2 3 3" xfId="16961" xr:uid="{51631BF2-10C2-4B8C-989C-80764C61C130}"/>
    <cellStyle name="Normal 3 5 3 2 2 3 4" xfId="15703" xr:uid="{6B80D5CA-A36E-47BE-BB8C-370AD0B19742}"/>
    <cellStyle name="Normal 3 5 3 2 2 4" xfId="7535" xr:uid="{FABCE2C7-DEB4-4E50-A7D4-7A657FED7F72}"/>
    <cellStyle name="Normal 3 5 3 2 2 4 2" xfId="17562" xr:uid="{26DE3D85-9EC6-4B23-B878-0A6ECF2FC5B1}"/>
    <cellStyle name="Normal 3 5 3 2 2 4 3" xfId="14639" xr:uid="{615C2DED-E264-40D8-95DA-CE1DD0CB2F9D}"/>
    <cellStyle name="Normal 3 5 3 2 2 5" xfId="7536" xr:uid="{B27C40C0-4036-4F1F-B642-A5D632264821}"/>
    <cellStyle name="Normal 3 5 3 2 2 5 2" xfId="18173" xr:uid="{94AC03A3-C5C1-4BE3-9F3C-85EABE8034B9}"/>
    <cellStyle name="Normal 3 5 3 2 2 5 3" xfId="14062" xr:uid="{1D662116-6DA0-495D-AF07-1939D1BD3CC8}"/>
    <cellStyle name="Normal 3 5 3 2 2 6" xfId="8582" xr:uid="{765B4BF9-295E-4A34-99B7-02051BD88128}"/>
    <cellStyle name="Normal 3 5 3 2 2 6 2" xfId="18634" xr:uid="{7CBD7A9D-1F87-4FF9-B43C-782886FC91B8}"/>
    <cellStyle name="Normal 3 5 3 2 2 7" xfId="10048" xr:uid="{2A68D0FC-FD00-429B-B941-46F670715AEB}"/>
    <cellStyle name="Normal 3 5 3 2 2 8" xfId="10682" xr:uid="{BF2F55C5-1A17-48BF-90B2-29BCEC72DF5B}"/>
    <cellStyle name="Normal 3 5 3 2 2 9" xfId="15404" xr:uid="{DC4CB308-57D4-4BE1-9D6B-257176887BCC}"/>
    <cellStyle name="Normal 3 5 3 2 3" xfId="4579" xr:uid="{0DD99973-D305-48BA-8552-5A6B54EC57A3}"/>
    <cellStyle name="Normal 3 5 3 2 3 2" xfId="7537" xr:uid="{7E7336A7-A38A-4948-9831-FB16733AEAC2}"/>
    <cellStyle name="Normal 3 5 3 2 3 2 2" xfId="9011" xr:uid="{A51F9D6C-F831-42AA-920D-A42D5C84D5B8}"/>
    <cellStyle name="Normal 3 5 3 2 3 2 2 2" xfId="19063" xr:uid="{9F879737-66DD-4DA9-930C-58360B0EE392}"/>
    <cellStyle name="Normal 3 5 3 2 3 2 3" xfId="16516" xr:uid="{0A37FC79-6AC6-4793-AAF0-EB03B3A4FDA1}"/>
    <cellStyle name="Normal 3 5 3 2 3 2 4" xfId="15120" xr:uid="{CD737FB1-5698-4B92-B9B1-8D43D33041FB}"/>
    <cellStyle name="Normal 3 5 3 2 3 3" xfId="7538" xr:uid="{ECFEFF17-4492-4BE5-85A9-7BB0E1D90D63}"/>
    <cellStyle name="Normal 3 5 3 2 3 3 2" xfId="9459" xr:uid="{3F4AE690-A122-4C9B-9952-B73455A92FD7}"/>
    <cellStyle name="Normal 3 5 3 2 3 3 2 2" xfId="19511" xr:uid="{EEEC38AA-53C0-450E-A1C7-09003EC06020}"/>
    <cellStyle name="Normal 3 5 3 2 3 3 3" xfId="16962" xr:uid="{8B3EE0FB-93CB-4D37-968D-C85600F8F7C8}"/>
    <cellStyle name="Normal 3 5 3 2 3 3 4" xfId="15702" xr:uid="{1A9A1EF2-65C0-4036-883E-589F02600863}"/>
    <cellStyle name="Normal 3 5 3 2 3 4" xfId="7539" xr:uid="{CF47A6EF-907D-4CF8-9CD5-55577CF07FF5}"/>
    <cellStyle name="Normal 3 5 3 2 3 4 2" xfId="17563" xr:uid="{F305014B-C895-4684-96F7-244151E78A5C}"/>
    <cellStyle name="Normal 3 5 3 2 3 4 3" xfId="14638" xr:uid="{978B63C7-6326-43F7-826D-39B7B216D486}"/>
    <cellStyle name="Normal 3 5 3 2 3 5" xfId="7540" xr:uid="{A758978A-267C-4131-A3F6-DEBF80BBFDE3}"/>
    <cellStyle name="Normal 3 5 3 2 3 5 2" xfId="18174" xr:uid="{E85D2B58-543E-41A1-B634-B915CCF398EB}"/>
    <cellStyle name="Normal 3 5 3 2 3 5 3" xfId="14289" xr:uid="{51D8E78E-4644-4822-B5A4-88800A7B945B}"/>
    <cellStyle name="Normal 3 5 3 2 3 6" xfId="8583" xr:uid="{0934E9B3-B68E-4638-9210-EBF65AABE927}"/>
    <cellStyle name="Normal 3 5 3 2 3 6 2" xfId="18635" xr:uid="{6901E156-07F0-4530-A719-CA19F1C1886D}"/>
    <cellStyle name="Normal 3 5 3 2 3 7" xfId="10049" xr:uid="{2455997D-F911-43CB-96B1-A264101F0EFA}"/>
    <cellStyle name="Normal 3 5 3 2 3 8" xfId="10683" xr:uid="{9AD13528-F9AD-405A-92F4-0F74112A4791}"/>
    <cellStyle name="Normal 3 5 3 2 3 9" xfId="15912" xr:uid="{56F08C90-CA83-4FED-94B0-9B62BEF7A736}"/>
    <cellStyle name="Normal 3 5 3 2 4" xfId="7541" xr:uid="{F0CF9037-57B9-4965-AD43-01D444BC7696}"/>
    <cellStyle name="Normal 3 5 3 2 4 2" xfId="7542" xr:uid="{15BC5370-F69B-4B35-8A22-80646DC76689}"/>
    <cellStyle name="Normal 3 5 3 2 4 2 2" xfId="17334" xr:uid="{613DDB18-6E1A-404F-81F6-F192C6B91365}"/>
    <cellStyle name="Normal 3 5 3 2 4 3" xfId="7543" xr:uid="{69319681-2503-457A-A5C4-F5DB54FE59DE}"/>
    <cellStyle name="Normal 3 5 3 2 4 3 2" xfId="17948" xr:uid="{835CEECE-4BF5-408B-97F6-0DFAC201B28F}"/>
    <cellStyle name="Normal 3 5 3 2 4 4" xfId="8777" xr:uid="{3A88CBD7-867D-4868-86F8-7AB004AF2845}"/>
    <cellStyle name="Normal 3 5 3 2 4 4 2" xfId="18829" xr:uid="{770E73E3-63E5-4B55-9AC8-9AA8FF4F93DF}"/>
    <cellStyle name="Normal 3 5 3 2 4 5" xfId="9824" xr:uid="{5ABAD094-DA93-433D-896E-ADDC9B8291D6}"/>
    <cellStyle name="Normal 3 5 3 2 4 6" xfId="10684" xr:uid="{8917D438-8435-4FF8-BF96-64820280AB28}"/>
    <cellStyle name="Normal 3 5 3 2 4 7" xfId="15331" xr:uid="{A65BBF0F-DABC-47CD-B3B1-0DC6F60E8CF8}"/>
    <cellStyle name="Normal 3 5 3 2 5" xfId="7544" xr:uid="{CBFD5F60-D4B8-47C3-BB8F-D84E27D77459}"/>
    <cellStyle name="Normal 3 5 3 2 5 2" xfId="9225" xr:uid="{3D5FD7D3-04B2-436E-A188-11C6B1661790}"/>
    <cellStyle name="Normal 3 5 3 2 5 2 2" xfId="19277" xr:uid="{27ED70B4-24BD-4E60-B0E0-BDAE2A6B2E84}"/>
    <cellStyle name="Normal 3 5 3 2 5 3" xfId="16728" xr:uid="{46527D79-5B55-462C-AE2F-A8EA762815F3}"/>
    <cellStyle name="Normal 3 5 3 2 5 4" xfId="14936" xr:uid="{4EBFA834-3FA7-4B31-A813-DFC7FE76F686}"/>
    <cellStyle name="Normal 3 5 3 2 6" xfId="7545" xr:uid="{D06C2615-4927-40F0-8AA9-A710FF86DEE8}"/>
    <cellStyle name="Normal 3 5 3 2 6 2" xfId="17187" xr:uid="{D6B6DF65-DEB5-4F76-975B-4335765575DF}"/>
    <cellStyle name="Normal 3 5 3 2 6 3" xfId="16147" xr:uid="{BABB0760-CD52-4F94-BE6B-12B6ED990493}"/>
    <cellStyle name="Normal 3 5 3 2 7" xfId="7546" xr:uid="{05DD76AC-DE20-4012-930B-E06D926C1D4D}"/>
    <cellStyle name="Normal 3 5 3 2 7 2" xfId="17797" xr:uid="{30EDA835-310C-447C-965D-A2D06826D77E}"/>
    <cellStyle name="Normal 3 5 3 2 7 3" xfId="14476" xr:uid="{B7B220D2-3DA5-40A3-A3E2-EF6BC3945609}"/>
    <cellStyle name="Normal 3 5 3 2 8" xfId="8349" xr:uid="{BB8A568B-B177-4328-878E-B74CE6ACC518}"/>
    <cellStyle name="Normal 3 5 3 2 8 2" xfId="18401" xr:uid="{4A5772B1-D362-4C6F-9F50-38E692D7213E}"/>
    <cellStyle name="Normal 3 5 3 2 9" xfId="9678" xr:uid="{C7D9622D-E63E-4148-9C35-1029D7C47CC0}"/>
    <cellStyle name="Normal 3 5 3 3" xfId="4580" xr:uid="{05EC5297-D755-4137-8208-F13F0D5D9A8A}"/>
    <cellStyle name="Normal 3 5 3 3 2" xfId="7547" xr:uid="{5DC69F90-5BF1-4B77-94AE-BB0B8B1C94CF}"/>
    <cellStyle name="Normal 3 5 3 3 2 2" xfId="9012" xr:uid="{7233F985-C22F-43E0-B39B-CDCD49DD3BEE}"/>
    <cellStyle name="Normal 3 5 3 3 2 2 2" xfId="19064" xr:uid="{7A411735-B6C5-4058-B2C4-C3F24E2BAFB3}"/>
    <cellStyle name="Normal 3 5 3 3 2 3" xfId="16517" xr:uid="{407D1FE8-ED28-4947-AFED-11A2743305A1}"/>
    <cellStyle name="Normal 3 5 3 3 2 4" xfId="14149" xr:uid="{491565BD-C5C1-4EA4-A8A9-A1E4BE3AA6A9}"/>
    <cellStyle name="Normal 3 5 3 3 3" xfId="7548" xr:uid="{1CB54C2A-89C9-4DE8-85E6-110D50658A50}"/>
    <cellStyle name="Normal 3 5 3 3 3 2" xfId="9460" xr:uid="{6A60DF84-00F1-47DE-9379-410449F757FD}"/>
    <cellStyle name="Normal 3 5 3 3 3 2 2" xfId="19512" xr:uid="{07D1A0FB-233A-4255-A02D-96AB2BE64254}"/>
    <cellStyle name="Normal 3 5 3 3 3 3" xfId="16963" xr:uid="{9807541E-B258-4657-A814-C18D906965AA}"/>
    <cellStyle name="Normal 3 5 3 3 3 4" xfId="14830" xr:uid="{99D8CF75-FEA7-4608-8222-31EA2C4EC01A}"/>
    <cellStyle name="Normal 3 5 3 3 4" xfId="7549" xr:uid="{431AB764-C98C-4D9A-A8CB-1905509E1076}"/>
    <cellStyle name="Normal 3 5 3 3 4 2" xfId="17564" xr:uid="{C23F99A8-F352-4AAB-BF08-C1AC60B8F253}"/>
    <cellStyle name="Normal 3 5 3 3 4 3" xfId="14637" xr:uid="{15E6BBAB-EEE9-4B4F-A6B5-89556D53FD04}"/>
    <cellStyle name="Normal 3 5 3 3 5" xfId="7550" xr:uid="{D96E21C8-2B21-4718-91AD-EF526F2389D2}"/>
    <cellStyle name="Normal 3 5 3 3 5 2" xfId="18175" xr:uid="{C2609088-00D7-40D9-AEB9-C2504AE8B9C2}"/>
    <cellStyle name="Normal 3 5 3 3 5 3" xfId="14288" xr:uid="{0117FB6F-82E0-4451-8A0A-F51C3A14496D}"/>
    <cellStyle name="Normal 3 5 3 3 6" xfId="8584" xr:uid="{DE590C11-92EE-48B5-90DF-8E559D6609BF}"/>
    <cellStyle name="Normal 3 5 3 3 6 2" xfId="18636" xr:uid="{3DBD2020-08FB-44EF-A07D-AB73E9417DCF}"/>
    <cellStyle name="Normal 3 5 3 3 7" xfId="10050" xr:uid="{FD917FF2-5AC1-4EE8-A8ED-D3CF91B69A40}"/>
    <cellStyle name="Normal 3 5 3 3 8" xfId="10685" xr:uid="{AE5200D8-DA36-47AE-B83D-913B5B99997E}"/>
    <cellStyle name="Normal 3 5 3 3 9" xfId="15911" xr:uid="{F19D3878-E1D3-4AE3-97EB-96D4C58E445F}"/>
    <cellStyle name="Normal 3 5 3 4" xfId="4581" xr:uid="{81DD838F-1F22-4AF9-BFCB-0915B63DDEB9}"/>
    <cellStyle name="Normal 3 5 3 4 2" xfId="7551" xr:uid="{D752D093-7E34-4202-B5E1-D992F2858021}"/>
    <cellStyle name="Normal 3 5 3 4 2 2" xfId="9013" xr:uid="{0CB69798-3C90-447E-90D1-DA4B917492C0}"/>
    <cellStyle name="Normal 3 5 3 4 2 2 2" xfId="19065" xr:uid="{CA6EDE75-B6C2-4125-B26C-596D6537A62F}"/>
    <cellStyle name="Normal 3 5 3 4 2 3" xfId="16518" xr:uid="{E91C6EF3-3329-41AE-B08E-281BCED479EE}"/>
    <cellStyle name="Normal 3 5 3 4 2 4" xfId="15119" xr:uid="{46E656C9-34BB-4AD3-96D3-DCB54680142D}"/>
    <cellStyle name="Normal 3 5 3 4 3" xfId="7552" xr:uid="{61125C71-9565-4C68-BAAE-48EA074FDA9B}"/>
    <cellStyle name="Normal 3 5 3 4 3 2" xfId="9461" xr:uid="{35231AA8-C7D6-4110-88E8-D006CC6FCE41}"/>
    <cellStyle name="Normal 3 5 3 4 3 2 2" xfId="19513" xr:uid="{6D0B40D0-2507-4090-BCF9-38F482166F02}"/>
    <cellStyle name="Normal 3 5 3 4 3 3" xfId="16964" xr:uid="{63ECD957-5F6E-460E-B218-F4E360FA966C}"/>
    <cellStyle name="Normal 3 5 3 4 3 4" xfId="15701" xr:uid="{75314D15-934B-4B6D-ABF7-66C83B4B8585}"/>
    <cellStyle name="Normal 3 5 3 4 4" xfId="7553" xr:uid="{CC6D000B-1412-4017-B930-DED122761451}"/>
    <cellStyle name="Normal 3 5 3 4 4 2" xfId="17565" xr:uid="{66A1A17B-CE91-405E-9307-6865A5707680}"/>
    <cellStyle name="Normal 3 5 3 4 4 3" xfId="14636" xr:uid="{FFDD6C24-39FF-4BCE-ABE5-5C4C33134642}"/>
    <cellStyle name="Normal 3 5 3 4 5" xfId="7554" xr:uid="{FC419256-4218-481D-B819-30361E6A5C30}"/>
    <cellStyle name="Normal 3 5 3 4 5 2" xfId="18176" xr:uid="{54DCB56E-1A52-4347-A3F1-3FF79CF6BA70}"/>
    <cellStyle name="Normal 3 5 3 4 5 3" xfId="14287" xr:uid="{3066EBC4-5E6F-48BC-B150-97093A3B8B4B}"/>
    <cellStyle name="Normal 3 5 3 4 6" xfId="8585" xr:uid="{7D902A9C-132D-4090-89A0-3C6A53314B2A}"/>
    <cellStyle name="Normal 3 5 3 4 6 2" xfId="18637" xr:uid="{D7A1E684-E1D8-42CB-9E9D-78DD14C3EAE3}"/>
    <cellStyle name="Normal 3 5 3 4 7" xfId="10051" xr:uid="{4E96B2C4-E4AD-457F-A86C-D7BE2508FB6A}"/>
    <cellStyle name="Normal 3 5 3 4 8" xfId="10686" xr:uid="{0431AD06-DFF9-4497-8367-5420B3B7FF47}"/>
    <cellStyle name="Normal 3 5 3 4 9" xfId="15910" xr:uid="{4D2A65C2-A5DF-406C-A9B3-3979C9E679F5}"/>
    <cellStyle name="Normal 3 5 3 5" xfId="7555" xr:uid="{0DEDCDDE-7E46-465D-A38D-CF2AB65107D9}"/>
    <cellStyle name="Normal 3 5 3 5 2" xfId="7556" xr:uid="{DC083D46-0EDA-47AE-884C-E80D77689282}"/>
    <cellStyle name="Normal 3 5 3 5 2 2" xfId="17333" xr:uid="{50E19EF2-72B6-459E-AFC5-D2468691FC2B}"/>
    <cellStyle name="Normal 3 5 3 5 3" xfId="7557" xr:uid="{AED51152-8713-4996-99FB-2B702613474B}"/>
    <cellStyle name="Normal 3 5 3 5 3 2" xfId="17947" xr:uid="{E0AF1139-0E41-4C6C-BAC7-7AA6D637ACA9}"/>
    <cellStyle name="Normal 3 5 3 5 4" xfId="8776" xr:uid="{D8B3C5F0-56E3-4932-9E59-289F81CA5773}"/>
    <cellStyle name="Normal 3 5 3 5 4 2" xfId="18828" xr:uid="{7B869B99-39AC-415C-89B4-C2E99460B9E7}"/>
    <cellStyle name="Normal 3 5 3 5 5" xfId="9823" xr:uid="{31A7D501-87AE-4EA4-A94D-0CD117A3665A}"/>
    <cellStyle name="Normal 3 5 3 5 6" xfId="10687" xr:uid="{C953D5D8-0037-487C-ADC5-EC46CE554176}"/>
    <cellStyle name="Normal 3 5 3 5 7" xfId="14034" xr:uid="{66F80F8C-41B0-4F2B-B325-E9456EE0EEF6}"/>
    <cellStyle name="Normal 3 5 3 6" xfId="7558" xr:uid="{0EBC45A0-EE86-46FE-A5FE-D3F9C8126B5A}"/>
    <cellStyle name="Normal 3 5 3 6 2" xfId="9224" xr:uid="{25FD6381-122E-400A-A99B-D2EDCD28800F}"/>
    <cellStyle name="Normal 3 5 3 6 2 2" xfId="19276" xr:uid="{16F68237-B424-4565-A457-EB8E866ED41D}"/>
    <cellStyle name="Normal 3 5 3 6 3" xfId="16727" xr:uid="{80EDE751-B220-40DD-8EED-342F369AC264}"/>
    <cellStyle name="Normal 3 5 3 6 4" xfId="14937" xr:uid="{38392054-7FA1-4A72-8579-6F07E55B58A1}"/>
    <cellStyle name="Normal 3 5 3 7" xfId="7559" xr:uid="{C955B431-A8B6-4D0F-AB5F-8B0A4169BC0C}"/>
    <cellStyle name="Normal 3 5 3 7 2" xfId="17186" xr:uid="{8D422996-6580-4DA4-8372-46ED805D7380}"/>
    <cellStyle name="Normal 3 5 3 7 3" xfId="15528" xr:uid="{8C70BFB6-2C0F-4849-889D-CCB5578408B9}"/>
    <cellStyle name="Normal 3 5 3 8" xfId="7560" xr:uid="{65E99D5B-3462-4565-8F50-EE067DCB3A3D}"/>
    <cellStyle name="Normal 3 5 3 8 2" xfId="17796" xr:uid="{08A374CD-BCB8-4064-AD31-D946191D6919}"/>
    <cellStyle name="Normal 3 5 3 8 3" xfId="14477" xr:uid="{B6B67045-65BD-4EF7-8334-BABBA5D6A36A}"/>
    <cellStyle name="Normal 3 5 3 9" xfId="8348" xr:uid="{79E478EC-1509-417A-8EF6-EFEA5BF69FCA}"/>
    <cellStyle name="Normal 3 5 3 9 2" xfId="18400" xr:uid="{BED1AB14-DB26-4AA6-B93A-16E12C2E7E8F}"/>
    <cellStyle name="Normal 3 5 4" xfId="2862" xr:uid="{DC2595EC-20F4-4FCE-8170-6D0AF0C9A7D5}"/>
    <cellStyle name="Normal 3 5 4 10" xfId="9679" xr:uid="{BD412D80-B2BA-4763-9440-91427415653D}"/>
    <cellStyle name="Normal 3 5 4 11" xfId="10333" xr:uid="{776C8734-4E5D-4D23-99E4-0B29DD7BFCE8}"/>
    <cellStyle name="Normal 3 5 4 12" xfId="12013" xr:uid="{B29D562B-C185-41DF-9EDF-1E0AE56DC7ED}"/>
    <cellStyle name="Normal 3 5 4 12 2" xfId="16106" xr:uid="{3D3517AE-3D14-4DFE-8C0F-1F0B92078C76}"/>
    <cellStyle name="Normal 3 5 4 12 3" xfId="20645" xr:uid="{7AF1A0B0-C986-4184-976A-3A274FCC33E4}"/>
    <cellStyle name="Normal 3 5 4 2" xfId="2863" xr:uid="{F4280B9E-E3EF-4B35-AB1E-3DC5D2134934}"/>
    <cellStyle name="Normal 3 5 4 2 10" xfId="10334" xr:uid="{4530321E-758B-4479-9D55-9871E680BD95}"/>
    <cellStyle name="Normal 3 5 4 2 11" xfId="15434" xr:uid="{379340F9-63EF-447D-ABDC-E665BB84C8AA}"/>
    <cellStyle name="Normal 3 5 4 2 2" xfId="4582" xr:uid="{520E81BA-A425-4E29-A540-92F1C976C11C}"/>
    <cellStyle name="Normal 3 5 4 2 2 2" xfId="7561" xr:uid="{CEF5FCFC-1F21-487F-A8F8-3A76DE71034D}"/>
    <cellStyle name="Normal 3 5 4 2 2 2 2" xfId="9014" xr:uid="{751E33B8-C5FB-449C-A653-88C615E1DD13}"/>
    <cellStyle name="Normal 3 5 4 2 2 2 2 2" xfId="19066" xr:uid="{841EA392-2CA2-4B8B-9E5C-033492C9C943}"/>
    <cellStyle name="Normal 3 5 4 2 2 2 3" xfId="16519" xr:uid="{848FF7E2-B473-4476-B3ED-836A1769200F}"/>
    <cellStyle name="Normal 3 5 4 2 2 2 4" xfId="15118" xr:uid="{A2889B6D-5BC0-4B02-9F7D-1F20CCE34DBB}"/>
    <cellStyle name="Normal 3 5 4 2 2 3" xfId="7562" xr:uid="{CA68483A-53F6-479D-AB66-FF8CE17BD2DF}"/>
    <cellStyle name="Normal 3 5 4 2 2 3 2" xfId="9462" xr:uid="{A3055426-5379-4FF2-8BE6-BEF439948B77}"/>
    <cellStyle name="Normal 3 5 4 2 2 3 2 2" xfId="19514" xr:uid="{844CCE01-BAE8-44FA-BE82-AD2283B707A7}"/>
    <cellStyle name="Normal 3 5 4 2 2 3 3" xfId="16965" xr:uid="{E008BF9F-EA49-4D75-8F5F-E02868DAB422}"/>
    <cellStyle name="Normal 3 5 4 2 2 3 4" xfId="15700" xr:uid="{7381AD02-46E6-4323-9D40-5E4E39080434}"/>
    <cellStyle name="Normal 3 5 4 2 2 4" xfId="7563" xr:uid="{A01C695A-B414-43F2-8607-88BC0FC89750}"/>
    <cellStyle name="Normal 3 5 4 2 2 4 2" xfId="17566" xr:uid="{C909BD7C-4510-43D6-971D-E0D983A85C75}"/>
    <cellStyle name="Normal 3 5 4 2 2 4 3" xfId="14635" xr:uid="{B5E67A2C-D751-4D62-8D62-85153D45D507}"/>
    <cellStyle name="Normal 3 5 4 2 2 5" xfId="7564" xr:uid="{DDB6F9AF-710F-4E26-8D93-2E79E6F784DA}"/>
    <cellStyle name="Normal 3 5 4 2 2 5 2" xfId="18177" xr:uid="{B14D129D-A78C-4549-A6BA-3EE53709D1E4}"/>
    <cellStyle name="Normal 3 5 4 2 2 5 3" xfId="14286" xr:uid="{A1DE6221-41BE-4799-BFD0-83FAD17BF1B8}"/>
    <cellStyle name="Normal 3 5 4 2 2 6" xfId="8586" xr:uid="{C87F3F03-0211-4EE4-AB5E-A6F56CF8F328}"/>
    <cellStyle name="Normal 3 5 4 2 2 6 2" xfId="18638" xr:uid="{00BB7240-F06D-481D-A22A-CA496A34E295}"/>
    <cellStyle name="Normal 3 5 4 2 2 7" xfId="10052" xr:uid="{42EA169A-9981-442F-8B83-0862F4D203A6}"/>
    <cellStyle name="Normal 3 5 4 2 2 8" xfId="10688" xr:uid="{435BF0AD-D20C-4815-A768-4C4E435046AA}"/>
    <cellStyle name="Normal 3 5 4 2 2 9" xfId="16153" xr:uid="{2576E15A-F569-4A37-9619-721ACEDACCD4}"/>
    <cellStyle name="Normal 3 5 4 2 3" xfId="4583" xr:uid="{8A440481-1C9D-472F-963D-2E5D5991823A}"/>
    <cellStyle name="Normal 3 5 4 2 3 2" xfId="7565" xr:uid="{860B25E8-0BFB-437D-9B16-8D48661EDDEA}"/>
    <cellStyle name="Normal 3 5 4 2 3 2 2" xfId="9015" xr:uid="{E30CFCC6-299B-40A4-8BD3-33772CD749F6}"/>
    <cellStyle name="Normal 3 5 4 2 3 2 2 2" xfId="19067" xr:uid="{5ECE8B55-C190-4B5F-9895-60350A6A0CED}"/>
    <cellStyle name="Normal 3 5 4 2 3 2 3" xfId="16520" xr:uid="{3BDCAE8D-B770-4C87-8116-28555DAFEE73}"/>
    <cellStyle name="Normal 3 5 4 2 3 2 4" xfId="15117" xr:uid="{430F2CB6-6710-4712-8E9F-57AF6A7FDFA2}"/>
    <cellStyle name="Normal 3 5 4 2 3 3" xfId="7566" xr:uid="{40091F31-1A8B-46DE-A922-326FAADB39D4}"/>
    <cellStyle name="Normal 3 5 4 2 3 3 2" xfId="9463" xr:uid="{51396430-7B6F-4EE2-8463-E4907303F996}"/>
    <cellStyle name="Normal 3 5 4 2 3 3 2 2" xfId="19515" xr:uid="{78DB414F-1305-41F7-B288-93ADFF827BCB}"/>
    <cellStyle name="Normal 3 5 4 2 3 3 3" xfId="16966" xr:uid="{798B9335-6C25-43B8-A0A8-56F29182E0E0}"/>
    <cellStyle name="Normal 3 5 4 2 3 3 4" xfId="15699" xr:uid="{81C15F97-3A4B-46C5-A474-5EFA59E6B8E7}"/>
    <cellStyle name="Normal 3 5 4 2 3 4" xfId="7567" xr:uid="{0A78D473-D9AF-4494-850E-FA81DF464A0C}"/>
    <cellStyle name="Normal 3 5 4 2 3 4 2" xfId="17567" xr:uid="{FB186C93-6500-4B9B-A259-8E1B31BA6FF5}"/>
    <cellStyle name="Normal 3 5 4 2 3 4 3" xfId="14634" xr:uid="{D018C62A-38B8-4E08-87DB-5C86ABDB6462}"/>
    <cellStyle name="Normal 3 5 4 2 3 5" xfId="7568" xr:uid="{54A0392A-7AA6-4C3C-B347-0E707766B9B4}"/>
    <cellStyle name="Normal 3 5 4 2 3 5 2" xfId="18178" xr:uid="{1C76C287-3250-44E1-80D7-7999757407FE}"/>
    <cellStyle name="Normal 3 5 4 2 3 5 3" xfId="14285" xr:uid="{68A79196-0752-4E83-825E-6A1901F559DE}"/>
    <cellStyle name="Normal 3 5 4 2 3 6" xfId="8587" xr:uid="{6C8986E5-5BC1-496F-89FE-9B07C74536FD}"/>
    <cellStyle name="Normal 3 5 4 2 3 6 2" xfId="18639" xr:uid="{E2198AB3-3C71-4FBF-B7C9-4B522BF61D8B}"/>
    <cellStyle name="Normal 3 5 4 2 3 7" xfId="10053" xr:uid="{28309AFB-2DB9-49CA-86F1-08905BEF8B64}"/>
    <cellStyle name="Normal 3 5 4 2 3 8" xfId="10689" xr:uid="{0EC4D67F-9ABF-4543-BB6C-834A2FBE6093}"/>
    <cellStyle name="Normal 3 5 4 2 3 9" xfId="15909" xr:uid="{6E1F0FBD-712C-40BE-86E1-18C08114212D}"/>
    <cellStyle name="Normal 3 5 4 2 4" xfId="7569" xr:uid="{453683E6-6053-4479-8F03-1CD18CBC7EEC}"/>
    <cellStyle name="Normal 3 5 4 2 4 2" xfId="7570" xr:uid="{1904B0F6-F9D3-4F72-83AD-B36A2CC5C414}"/>
    <cellStyle name="Normal 3 5 4 2 4 2 2" xfId="17336" xr:uid="{8BC92573-C303-4F1A-941F-2FF32B903052}"/>
    <cellStyle name="Normal 3 5 4 2 4 3" xfId="7571" xr:uid="{F7622677-98F6-4960-A572-AFB75CC2D67C}"/>
    <cellStyle name="Normal 3 5 4 2 4 3 2" xfId="17950" xr:uid="{9C5082DB-79DB-47B4-AA89-E04B3AB42840}"/>
    <cellStyle name="Normal 3 5 4 2 4 4" xfId="8779" xr:uid="{A6FA710D-5A24-4F69-B9D1-B066F790F7D3}"/>
    <cellStyle name="Normal 3 5 4 2 4 4 2" xfId="18831" xr:uid="{25DEFC3E-9FBF-4023-A5FC-A8D655687A85}"/>
    <cellStyle name="Normal 3 5 4 2 4 5" xfId="9826" xr:uid="{83555608-C74B-4961-AD6B-03C649CA85CA}"/>
    <cellStyle name="Normal 3 5 4 2 4 6" xfId="10690" xr:uid="{AFF8C357-0377-4E5C-A113-E9D1BF2AECBC}"/>
    <cellStyle name="Normal 3 5 4 2 4 7" xfId="15329" xr:uid="{36BE5528-7EF7-45E0-BF9F-2E61D436F947}"/>
    <cellStyle name="Normal 3 5 4 2 5" xfId="7572" xr:uid="{38B004A0-773E-47D9-AD84-56E329A8E3CF}"/>
    <cellStyle name="Normal 3 5 4 2 5 2" xfId="9227" xr:uid="{8327A7BB-44AE-4615-BB8D-503E8B11BE2C}"/>
    <cellStyle name="Normal 3 5 4 2 5 2 2" xfId="19279" xr:uid="{2228E3BB-80CB-4C45-BE83-E85111020783}"/>
    <cellStyle name="Normal 3 5 4 2 5 3" xfId="16730" xr:uid="{E4E0D9A2-5B27-4AEC-8357-4826E8BAF332}"/>
    <cellStyle name="Normal 3 5 4 2 5 4" xfId="14934" xr:uid="{CDEDF83A-1A6F-46CD-918D-1863B3E89300}"/>
    <cellStyle name="Normal 3 5 4 2 6" xfId="7573" xr:uid="{6A4BC2FE-89B8-4B43-BECA-1C12DE7134FF}"/>
    <cellStyle name="Normal 3 5 4 2 6 2" xfId="17189" xr:uid="{78562F11-6941-422E-BFC5-6ECD8ABE1A6A}"/>
    <cellStyle name="Normal 3 5 4 2 6 3" xfId="14803" xr:uid="{32BA0D6A-13EF-4953-AFDC-8C69EE7EDA67}"/>
    <cellStyle name="Normal 3 5 4 2 7" xfId="7574" xr:uid="{E9016B92-8FC0-4D42-8E81-CBD04E52E36E}"/>
    <cellStyle name="Normal 3 5 4 2 7 2" xfId="17799" xr:uid="{BF662C7E-ABA3-4766-945C-1ED9DF76876D}"/>
    <cellStyle name="Normal 3 5 4 2 7 3" xfId="14474" xr:uid="{2A1E2631-0874-44BF-A18D-6D4B9D2ACEE8}"/>
    <cellStyle name="Normal 3 5 4 2 8" xfId="8351" xr:uid="{1C318712-DEC5-4C61-9234-0AAFE1C7983B}"/>
    <cellStyle name="Normal 3 5 4 2 8 2" xfId="18403" xr:uid="{1D46962E-407C-4937-9E30-9F9A7D1B7AAF}"/>
    <cellStyle name="Normal 3 5 4 2 9" xfId="9680" xr:uid="{335AD426-FD00-4DA0-B93E-574420112FDD}"/>
    <cellStyle name="Normal 3 5 4 3" xfId="4584" xr:uid="{5991FB96-ADDA-45B3-931A-8765038DAB07}"/>
    <cellStyle name="Normal 3 5 4 3 2" xfId="7575" xr:uid="{DAD59F8C-BFFA-4588-BD89-638E9DAFCE67}"/>
    <cellStyle name="Normal 3 5 4 3 2 2" xfId="9016" xr:uid="{895BDCB0-3135-41BB-807D-D3822EDB04BC}"/>
    <cellStyle name="Normal 3 5 4 3 2 2 2" xfId="19068" xr:uid="{D967F516-ED77-4C60-B122-36451C046684}"/>
    <cellStyle name="Normal 3 5 4 3 2 3" xfId="16521" xr:uid="{449A3DC0-01CD-4ABB-9B68-3B527E5A1908}"/>
    <cellStyle name="Normal 3 5 4 3 2 4" xfId="15116" xr:uid="{D66D5741-4FC9-4D52-92D1-81B8E19115BE}"/>
    <cellStyle name="Normal 3 5 4 3 3" xfId="7576" xr:uid="{192AAAA0-E9B9-42D2-BA9F-24A5D8849DB5}"/>
    <cellStyle name="Normal 3 5 4 3 3 2" xfId="9464" xr:uid="{7D93802B-2813-4AEC-BA3B-961DAEE44405}"/>
    <cellStyle name="Normal 3 5 4 3 3 2 2" xfId="19516" xr:uid="{E47821E8-0EFE-45A4-9C2F-4E0C84F4A870}"/>
    <cellStyle name="Normal 3 5 4 3 3 3" xfId="16967" xr:uid="{0AED0581-28FF-4750-B794-0FA4C893417C}"/>
    <cellStyle name="Normal 3 5 4 3 3 4" xfId="15698" xr:uid="{4774DA21-D853-40CD-B3B1-D7908D595C80}"/>
    <cellStyle name="Normal 3 5 4 3 4" xfId="7577" xr:uid="{4CD99DC9-7EF1-4CD8-88A7-29447A4ACB2B}"/>
    <cellStyle name="Normal 3 5 4 3 4 2" xfId="17568" xr:uid="{AD175A40-6706-4FAE-9D55-C70E2FD158C0}"/>
    <cellStyle name="Normal 3 5 4 3 4 3" xfId="14633" xr:uid="{CA771F9A-84AF-4BDC-8E27-0223C5923625}"/>
    <cellStyle name="Normal 3 5 4 3 5" xfId="7578" xr:uid="{EAEB753E-E454-4FB6-BB10-FA2F5CAC3509}"/>
    <cellStyle name="Normal 3 5 4 3 5 2" xfId="18179" xr:uid="{8B01206E-E2A8-41D0-BCE3-7B62D68C5CE3}"/>
    <cellStyle name="Normal 3 5 4 3 5 3" xfId="14284" xr:uid="{1EDB4568-1301-4A40-BAA5-F7707DB3EE7B}"/>
    <cellStyle name="Normal 3 5 4 3 6" xfId="8588" xr:uid="{6BEBF154-9559-4681-93EE-C9E7B4596A2C}"/>
    <cellStyle name="Normal 3 5 4 3 6 2" xfId="18640" xr:uid="{2DCD2182-1156-4328-960A-72296BDB403B}"/>
    <cellStyle name="Normal 3 5 4 3 7" xfId="10054" xr:uid="{7CFF508B-10DB-4F10-BB20-80CDBFC0A693}"/>
    <cellStyle name="Normal 3 5 4 3 8" xfId="10691" xr:uid="{1C4485C1-9001-451B-A56B-EFEE6D6AA4C1}"/>
    <cellStyle name="Normal 3 5 4 3 9" xfId="15908" xr:uid="{18D747E7-C11C-4A95-87DF-9573E1076EAA}"/>
    <cellStyle name="Normal 3 5 4 4" xfId="4585" xr:uid="{332BF6C3-A7BA-45D3-948F-0C429D23F81F}"/>
    <cellStyle name="Normal 3 5 4 4 2" xfId="7579" xr:uid="{169CECF4-4CC9-43F8-B107-23D2ACED507C}"/>
    <cellStyle name="Normal 3 5 4 4 2 2" xfId="9017" xr:uid="{A0D09963-D64B-4CBA-8FC7-829385887C2F}"/>
    <cellStyle name="Normal 3 5 4 4 2 2 2" xfId="19069" xr:uid="{1C196E07-F945-4C72-8CBA-7E38E149B2F7}"/>
    <cellStyle name="Normal 3 5 4 4 2 3" xfId="16522" xr:uid="{3251B5A5-216F-4E90-A45C-E4083002C9D2}"/>
    <cellStyle name="Normal 3 5 4 4 2 4" xfId="15115" xr:uid="{A60EE176-D847-49A4-B02D-6B8A0DB2029A}"/>
    <cellStyle name="Normal 3 5 4 4 3" xfId="7580" xr:uid="{157B99A3-A3BC-4DA7-8673-A2290DE4E555}"/>
    <cellStyle name="Normal 3 5 4 4 3 2" xfId="9465" xr:uid="{91B1938C-3833-40A5-8144-87D81F0A11A5}"/>
    <cellStyle name="Normal 3 5 4 4 3 2 2" xfId="19517" xr:uid="{F9F42939-B2DD-4AC8-BC0A-AA97A964E7FE}"/>
    <cellStyle name="Normal 3 5 4 4 3 3" xfId="16968" xr:uid="{D835B776-F340-490A-9EE9-0E29066046FE}"/>
    <cellStyle name="Normal 3 5 4 4 3 4" xfId="15697" xr:uid="{B731FD51-E521-4C34-B7B0-C469A8910903}"/>
    <cellStyle name="Normal 3 5 4 4 4" xfId="7581" xr:uid="{F99758E7-630A-4720-AEED-7DCBC147F2A4}"/>
    <cellStyle name="Normal 3 5 4 4 4 2" xfId="17569" xr:uid="{F0E83406-D092-4AC1-9A54-B4A15B3DA71B}"/>
    <cellStyle name="Normal 3 5 4 4 4 3" xfId="14632" xr:uid="{39924B28-6F77-4F15-A99C-F4736BB12FB3}"/>
    <cellStyle name="Normal 3 5 4 4 5" xfId="7582" xr:uid="{DF0844D7-AB20-4B9F-8406-939FD90BBAA8}"/>
    <cellStyle name="Normal 3 5 4 4 5 2" xfId="18180" xr:uid="{20287DFC-2385-47C2-9577-21BC48971AC9}"/>
    <cellStyle name="Normal 3 5 4 4 5 3" xfId="14283" xr:uid="{9415DCD0-0560-420B-BDB4-C031590A8334}"/>
    <cellStyle name="Normal 3 5 4 4 6" xfId="8589" xr:uid="{29911479-4F72-45B5-9233-17AC20741FA7}"/>
    <cellStyle name="Normal 3 5 4 4 6 2" xfId="18641" xr:uid="{9C6614C4-A100-4425-9895-B028B7A76D8E}"/>
    <cellStyle name="Normal 3 5 4 4 7" xfId="10055" xr:uid="{189768CA-3554-4868-B725-30194850079A}"/>
    <cellStyle name="Normal 3 5 4 4 8" xfId="10692" xr:uid="{B8B04F77-6970-4105-8AB8-CF3C2BA9E0B2}"/>
    <cellStyle name="Normal 3 5 4 4 9" xfId="15403" xr:uid="{BB375F60-63D9-426B-8EA1-F027E2D5669E}"/>
    <cellStyle name="Normal 3 5 4 5" xfId="7583" xr:uid="{A77AFE8E-F1AD-4977-BD67-4F59D1D8C28A}"/>
    <cellStyle name="Normal 3 5 4 5 2" xfId="7584" xr:uid="{4CA2F3C4-6EEE-4FB1-AC5C-3803E3F1999A}"/>
    <cellStyle name="Normal 3 5 4 5 2 2" xfId="17335" xr:uid="{9A1BE03F-AD2B-45A2-B94A-0B0A1F0250FC}"/>
    <cellStyle name="Normal 3 5 4 5 3" xfId="7585" xr:uid="{02B21927-1538-4144-BE4B-C0AECF99823D}"/>
    <cellStyle name="Normal 3 5 4 5 3 2" xfId="17949" xr:uid="{B971276D-E1CA-4783-B415-6E09E570A180}"/>
    <cellStyle name="Normal 3 5 4 5 4" xfId="8778" xr:uid="{1130CD6F-D154-452E-A187-3F26134C020E}"/>
    <cellStyle name="Normal 3 5 4 5 4 2" xfId="18830" xr:uid="{BC0DDE14-A7FE-433D-82BA-0DC30D201F9D}"/>
    <cellStyle name="Normal 3 5 4 5 5" xfId="9825" xr:uid="{2BEB268C-7DCB-4D6A-BA10-A7BDB444FB67}"/>
    <cellStyle name="Normal 3 5 4 5 6" xfId="10693" xr:uid="{CF038E75-862C-4087-8CD6-E3BD31811F16}"/>
    <cellStyle name="Normal 3 5 4 5 7" xfId="15330" xr:uid="{CE719300-74E5-4D73-A311-9B44D3FE0645}"/>
    <cellStyle name="Normal 3 5 4 6" xfId="7586" xr:uid="{B0E9CBDD-CA44-48E8-A51E-125D6EB703D9}"/>
    <cellStyle name="Normal 3 5 4 6 2" xfId="9226" xr:uid="{A67DB25E-491D-41BE-8192-16653A11A3AD}"/>
    <cellStyle name="Normal 3 5 4 6 2 2" xfId="19278" xr:uid="{CF4E0A96-1A4B-4BAD-A254-8BCEF4D8C058}"/>
    <cellStyle name="Normal 3 5 4 6 3" xfId="16729" xr:uid="{7B78EEEB-5C5C-4383-B86E-D9F49FD3E243}"/>
    <cellStyle name="Normal 3 5 4 6 4" xfId="14935" xr:uid="{BBA9FC9C-CA5F-4F20-AAD4-00C1AFBAF9C6}"/>
    <cellStyle name="Normal 3 5 4 7" xfId="7587" xr:uid="{0C90EBA1-479B-4DCF-A39E-39918E5892A4}"/>
    <cellStyle name="Normal 3 5 4 7 2" xfId="17188" xr:uid="{B296E0FF-8A20-466A-BB07-D25E56A5C2FF}"/>
    <cellStyle name="Normal 3 5 4 7 3" xfId="15527" xr:uid="{E3512E46-18B2-4BA0-AFC1-66C7D9B9E41E}"/>
    <cellStyle name="Normal 3 5 4 8" xfId="7588" xr:uid="{2D0CBD2B-94A9-46FF-9019-CE8737B4D12A}"/>
    <cellStyle name="Normal 3 5 4 8 2" xfId="17798" xr:uid="{7F35A69C-2F3E-40FC-87F3-41051C9DBD8D}"/>
    <cellStyle name="Normal 3 5 4 8 3" xfId="14475" xr:uid="{B3AC666B-6A41-4B0E-8435-42B670D7022B}"/>
    <cellStyle name="Normal 3 5 4 9" xfId="8350" xr:uid="{A38DC215-4B62-42FD-81A4-FA327F7C780B}"/>
    <cellStyle name="Normal 3 5 4 9 2" xfId="18402" xr:uid="{E44AB7A5-96C2-47ED-B8EC-BC322CED47C7}"/>
    <cellStyle name="Normal 3 5 5" xfId="2864" xr:uid="{D31C1111-6247-4186-BF82-C9FEE9CED765}"/>
    <cellStyle name="Normal 3 5 5 10" xfId="9681" xr:uid="{09EADAFC-D8EA-4D73-B711-D3404049DB93}"/>
    <cellStyle name="Normal 3 5 5 11" xfId="10335" xr:uid="{ED497BDE-224D-4891-BE27-A8CFBA4E7CB9}"/>
    <cellStyle name="Normal 3 5 5 12" xfId="11413" xr:uid="{8622AB91-E662-436A-85C0-76F40A07256A}"/>
    <cellStyle name="Normal 3 5 5 12 2" xfId="16105" xr:uid="{2DFD5FD6-3018-47ED-9AB0-C29FDDFEDC9E}"/>
    <cellStyle name="Normal 3 5 5 12 3" xfId="20568" xr:uid="{59B51A48-C560-4863-979E-662225D5764D}"/>
    <cellStyle name="Normal 3 5 5 2" xfId="2865" xr:uid="{39CC9E4C-E6A8-47C5-91C5-4EABB14807BC}"/>
    <cellStyle name="Normal 3 5 5 2 10" xfId="10336" xr:uid="{3CC14EDF-7EE8-4E98-9193-4FE5A06CAA83}"/>
    <cellStyle name="Normal 3 5 5 2 11" xfId="16104" xr:uid="{05F33389-D2D0-45AB-883A-7487095111AA}"/>
    <cellStyle name="Normal 3 5 5 2 2" xfId="4586" xr:uid="{6412339F-32E8-4C49-96A5-140B04812363}"/>
    <cellStyle name="Normal 3 5 5 2 2 2" xfId="7589" xr:uid="{BBB79E78-5450-45B1-B31C-01D60D2B32AD}"/>
    <cellStyle name="Normal 3 5 5 2 2 2 2" xfId="9018" xr:uid="{206AA511-7616-4FCB-A827-2807D8E4B977}"/>
    <cellStyle name="Normal 3 5 5 2 2 2 2 2" xfId="19070" xr:uid="{83D375CA-7B76-40D6-8D8F-4A49B1560C40}"/>
    <cellStyle name="Normal 3 5 5 2 2 2 3" xfId="16523" xr:uid="{B43E22B3-F99F-4264-938F-2EF76C02DB9B}"/>
    <cellStyle name="Normal 3 5 5 2 2 2 4" xfId="15114" xr:uid="{1E296ECF-D60B-4946-BDC3-DAE552797678}"/>
    <cellStyle name="Normal 3 5 5 2 2 3" xfId="7590" xr:uid="{81C5BEC6-4A8F-411C-9C84-990D632F36F8}"/>
    <cellStyle name="Normal 3 5 5 2 2 3 2" xfId="9466" xr:uid="{EC3BDC2F-F30F-472A-BD42-2AD023B5E151}"/>
    <cellStyle name="Normal 3 5 5 2 2 3 2 2" xfId="19518" xr:uid="{7AD82843-EB2F-4A9D-839D-838F6C621A32}"/>
    <cellStyle name="Normal 3 5 5 2 2 3 3" xfId="16969" xr:uid="{1B381D7F-7358-4919-B9D1-E36B29407272}"/>
    <cellStyle name="Normal 3 5 5 2 2 3 4" xfId="15696" xr:uid="{386E48A8-0406-4E95-A2CA-803A2BC82981}"/>
    <cellStyle name="Normal 3 5 5 2 2 4" xfId="7591" xr:uid="{273DC45A-BFB4-428B-88C7-B6F3B7534CD5}"/>
    <cellStyle name="Normal 3 5 5 2 2 4 2" xfId="17570" xr:uid="{D6D909AC-E2D0-4A8C-A693-8046139601B5}"/>
    <cellStyle name="Normal 3 5 5 2 2 4 3" xfId="14631" xr:uid="{333231C7-D129-49BD-91CF-A7CBA4A67EE4}"/>
    <cellStyle name="Normal 3 5 5 2 2 5" xfId="7592" xr:uid="{7B369052-CE3A-4344-8985-6CD679C700CD}"/>
    <cellStyle name="Normal 3 5 5 2 2 5 2" xfId="18181" xr:uid="{7D92B202-9E4E-4561-9CDD-B1D6F34763AC}"/>
    <cellStyle name="Normal 3 5 5 2 2 5 3" xfId="14282" xr:uid="{98AB1E8E-5150-442E-9934-BF801698EFFE}"/>
    <cellStyle name="Normal 3 5 5 2 2 6" xfId="8590" xr:uid="{294A5CAB-8AE6-4BF5-A858-E36E200FDAF3}"/>
    <cellStyle name="Normal 3 5 5 2 2 6 2" xfId="18642" xr:uid="{56D6F144-2561-4E8E-9FE3-038E9844C934}"/>
    <cellStyle name="Normal 3 5 5 2 2 7" xfId="10056" xr:uid="{3033EBFA-0691-4CF6-ACDF-1BA7DED1723A}"/>
    <cellStyle name="Normal 3 5 5 2 2 8" xfId="10694" xr:uid="{A7B1550C-5F79-40FC-A20B-1492741DA294}"/>
    <cellStyle name="Normal 3 5 5 2 2 9" xfId="15907" xr:uid="{EB7853DD-DC91-4624-A43D-5B12AB50B517}"/>
    <cellStyle name="Normal 3 5 5 2 3" xfId="4587" xr:uid="{DD172F5D-B4E4-4CCC-BA12-3B4093BE718A}"/>
    <cellStyle name="Normal 3 5 5 2 3 2" xfId="7593" xr:uid="{A1367968-349F-4436-993A-1EDBDBE92AF4}"/>
    <cellStyle name="Normal 3 5 5 2 3 2 2" xfId="9019" xr:uid="{8DF877E6-B682-46B9-AFF6-3EDF1E46E7C0}"/>
    <cellStyle name="Normal 3 5 5 2 3 2 2 2" xfId="19071" xr:uid="{5F1A091B-A2E9-4933-99F7-6BE2793317F5}"/>
    <cellStyle name="Normal 3 5 5 2 3 2 3" xfId="16524" xr:uid="{C5B61CB0-555B-4991-871A-5A4C63F826E1}"/>
    <cellStyle name="Normal 3 5 5 2 3 2 4" xfId="15113" xr:uid="{53E425CF-AE3B-4617-A689-2147D38F0458}"/>
    <cellStyle name="Normal 3 5 5 2 3 3" xfId="7594" xr:uid="{1A769235-BB62-4888-B96F-59AE4B377CCF}"/>
    <cellStyle name="Normal 3 5 5 2 3 3 2" xfId="9467" xr:uid="{195CB5A4-0B51-4EF1-A913-9E385403BB6C}"/>
    <cellStyle name="Normal 3 5 5 2 3 3 2 2" xfId="19519" xr:uid="{5093B03A-8602-40DD-8E5E-34EA1C249336}"/>
    <cellStyle name="Normal 3 5 5 2 3 3 3" xfId="16970" xr:uid="{0B592883-BA4F-40C5-B825-F977E8DAC4F0}"/>
    <cellStyle name="Normal 3 5 5 2 3 3 4" xfId="14829" xr:uid="{1A7E0056-BBDE-4301-A35A-896FDD8E7866}"/>
    <cellStyle name="Normal 3 5 5 2 3 4" xfId="7595" xr:uid="{C4255DBD-3D7C-4A30-95A8-7FCF556413DD}"/>
    <cellStyle name="Normal 3 5 5 2 3 4 2" xfId="17571" xr:uid="{FC8A99D6-B41D-437F-9033-752040A96A1B}"/>
    <cellStyle name="Normal 3 5 5 2 3 4 3" xfId="14630" xr:uid="{6780EB82-67A1-474A-80A2-6D22CBF79A16}"/>
    <cellStyle name="Normal 3 5 5 2 3 5" xfId="7596" xr:uid="{958C3CE7-AD12-433C-80F1-5E8D0B86E433}"/>
    <cellStyle name="Normal 3 5 5 2 3 5 2" xfId="18182" xr:uid="{FC74A4EE-5FC0-4396-BBEB-F3D66A4F1137}"/>
    <cellStyle name="Normal 3 5 5 2 3 5 3" xfId="14281" xr:uid="{8AAEFA2A-A5B7-4B54-B10D-BC2F872AF7A9}"/>
    <cellStyle name="Normal 3 5 5 2 3 6" xfId="8591" xr:uid="{ADD5F8D0-D4D0-4928-9CD9-185947A5ADC9}"/>
    <cellStyle name="Normal 3 5 5 2 3 6 2" xfId="18643" xr:uid="{8CB8287F-50E7-4336-B50A-D1DD67593872}"/>
    <cellStyle name="Normal 3 5 5 2 3 7" xfId="10057" xr:uid="{01384A30-A822-43B8-BEF3-1DD14403F278}"/>
    <cellStyle name="Normal 3 5 5 2 3 8" xfId="10695" xr:uid="{C955F807-8047-4A82-9EDB-E5F6D9FEB874}"/>
    <cellStyle name="Normal 3 5 5 2 3 9" xfId="15906" xr:uid="{C68766CD-DF3F-4523-920B-A5D70C13FBA1}"/>
    <cellStyle name="Normal 3 5 5 2 4" xfId="7597" xr:uid="{0B1D29D4-AD04-4775-8B4C-FF571AC8EE16}"/>
    <cellStyle name="Normal 3 5 5 2 4 2" xfId="7598" xr:uid="{38A8901E-CC7E-4A7E-91BA-A35C74AD3FDC}"/>
    <cellStyle name="Normal 3 5 5 2 4 2 2" xfId="17338" xr:uid="{CC481D62-C75F-472A-92AD-7CE05AF60162}"/>
    <cellStyle name="Normal 3 5 5 2 4 3" xfId="7599" xr:uid="{66972882-E3BA-4205-89A4-73D08206C611}"/>
    <cellStyle name="Normal 3 5 5 2 4 3 2" xfId="17952" xr:uid="{B1BCB19C-0DA0-47FF-AD69-57663A77D44B}"/>
    <cellStyle name="Normal 3 5 5 2 4 4" xfId="8781" xr:uid="{8C4ED895-2F2D-4B52-80B0-9D14100ADAC0}"/>
    <cellStyle name="Normal 3 5 5 2 4 4 2" xfId="18833" xr:uid="{B15D4ED9-BF91-40B5-995F-CB5C7D4A0012}"/>
    <cellStyle name="Normal 3 5 5 2 4 5" xfId="9828" xr:uid="{1DB4A5B4-663D-477B-93A3-F63B25EE61C3}"/>
    <cellStyle name="Normal 3 5 5 2 4 6" xfId="10696" xr:uid="{EB01C577-CDFD-42A8-AFEE-DC347B40CC84}"/>
    <cellStyle name="Normal 3 5 5 2 4 7" xfId="15327" xr:uid="{9C95A89C-19FE-47BB-87EE-BEEDDB911DB8}"/>
    <cellStyle name="Normal 3 5 5 2 5" xfId="7600" xr:uid="{6E25EF75-124E-471F-BA51-D2CABEAE03A1}"/>
    <cellStyle name="Normal 3 5 5 2 5 2" xfId="9229" xr:uid="{B3D141DC-E38C-4EAB-935E-DB6774C195B5}"/>
    <cellStyle name="Normal 3 5 5 2 5 2 2" xfId="19281" xr:uid="{F88B9F39-05E6-485F-9864-3F67D1D5C23E}"/>
    <cellStyle name="Normal 3 5 5 2 5 3" xfId="16732" xr:uid="{54D340C7-C502-4B16-A35C-E763518B350E}"/>
    <cellStyle name="Normal 3 5 5 2 5 4" xfId="14933" xr:uid="{81189968-2935-469E-B9B0-0ACEAF08145E}"/>
    <cellStyle name="Normal 3 5 5 2 6" xfId="7601" xr:uid="{32058B30-E088-48CE-85C4-8E1310F5B8DD}"/>
    <cellStyle name="Normal 3 5 5 2 6 2" xfId="17191" xr:uid="{AEEA7C03-D2DD-486E-AEAF-6CA739DF479A}"/>
    <cellStyle name="Normal 3 5 5 2 6 3" xfId="16158" xr:uid="{F2DEFADC-824C-46EF-A8B4-7502A84AB8B7}"/>
    <cellStyle name="Normal 3 5 5 2 7" xfId="7602" xr:uid="{6C697E4D-C6D4-4DEA-82C4-5FA00B1530F7}"/>
    <cellStyle name="Normal 3 5 5 2 7 2" xfId="17801" xr:uid="{7259F2D4-7B86-452F-8480-565262130B30}"/>
    <cellStyle name="Normal 3 5 5 2 7 3" xfId="14472" xr:uid="{C5032BCC-27D4-4EB4-BAE2-8EFA72588EEC}"/>
    <cellStyle name="Normal 3 5 5 2 8" xfId="8353" xr:uid="{0FDB5AD8-CC83-49F7-AB95-B238BC24900B}"/>
    <cellStyle name="Normal 3 5 5 2 8 2" xfId="18405" xr:uid="{9F336B89-188C-4D7A-B444-E2E5A303AF59}"/>
    <cellStyle name="Normal 3 5 5 2 9" xfId="9682" xr:uid="{4E8D4113-114E-4576-87DA-76524DE1AEB3}"/>
    <cellStyle name="Normal 3 5 5 3" xfId="4588" xr:uid="{2BBDBEF3-D7D0-4482-8ADC-A40A164265E0}"/>
    <cellStyle name="Normal 3 5 5 3 2" xfId="7603" xr:uid="{E2072468-090C-4E01-B6DF-D034630A21B8}"/>
    <cellStyle name="Normal 3 5 5 3 2 2" xfId="9020" xr:uid="{6817872A-2D98-4D9B-ABD4-70EFA3123A43}"/>
    <cellStyle name="Normal 3 5 5 3 2 2 2" xfId="19072" xr:uid="{83DC0D60-367B-43B3-B7A9-0867430D897E}"/>
    <cellStyle name="Normal 3 5 5 3 2 3" xfId="16525" xr:uid="{CD61F683-B2D8-475A-9CD0-C83E85BE5F47}"/>
    <cellStyle name="Normal 3 5 5 3 2 4" xfId="15112" xr:uid="{81E7434A-A387-4CD1-920D-A35F2AA5EAAE}"/>
    <cellStyle name="Normal 3 5 5 3 3" xfId="7604" xr:uid="{EF46C998-2F99-47E2-9F90-F6129F7F9A83}"/>
    <cellStyle name="Normal 3 5 5 3 3 2" xfId="9468" xr:uid="{1C058E63-A2FF-479B-A854-D1923B2E7912}"/>
    <cellStyle name="Normal 3 5 5 3 3 2 2" xfId="19520" xr:uid="{859DE798-94B0-40B9-BA5E-FCDE62ED06D5}"/>
    <cellStyle name="Normal 3 5 5 3 3 3" xfId="16971" xr:uid="{D498A259-1C47-4C42-973E-F3A62E22DB7C}"/>
    <cellStyle name="Normal 3 5 5 3 3 4" xfId="15469" xr:uid="{A605ECC8-7C34-4FBB-BFB3-BE97CA420F56}"/>
    <cellStyle name="Normal 3 5 5 3 4" xfId="7605" xr:uid="{9C488E5D-72D4-42F0-BD0F-59DE5D4D4046}"/>
    <cellStyle name="Normal 3 5 5 3 4 2" xfId="17572" xr:uid="{54A7B1E4-F17C-49A2-9675-22279636EB1C}"/>
    <cellStyle name="Normal 3 5 5 3 4 3" xfId="14629" xr:uid="{4907B447-A02D-4371-800C-E63DF1A8A7AC}"/>
    <cellStyle name="Normal 3 5 5 3 5" xfId="7606" xr:uid="{36A24068-0C79-4FA9-A209-767DB16F536E}"/>
    <cellStyle name="Normal 3 5 5 3 5 2" xfId="18183" xr:uid="{F129D8D5-8194-4EEA-9BB4-B208DD0F4437}"/>
    <cellStyle name="Normal 3 5 5 3 5 3" xfId="14280" xr:uid="{BBBCF91A-7413-4174-AAA9-353E19DBDBD8}"/>
    <cellStyle name="Normal 3 5 5 3 6" xfId="8592" xr:uid="{952FFEA9-BD55-43AA-9C51-99C732F67E16}"/>
    <cellStyle name="Normal 3 5 5 3 6 2" xfId="18644" xr:uid="{0BDFEB32-AE8F-46FD-B1BA-410FB8DC7B5F}"/>
    <cellStyle name="Normal 3 5 5 3 7" xfId="10058" xr:uid="{EF8E0FE0-8C36-4F4A-9BBE-208B8D82D517}"/>
    <cellStyle name="Normal 3 5 5 3 8" xfId="10697" xr:uid="{A25FC687-DF4E-4EFB-B986-82B09327CED9}"/>
    <cellStyle name="Normal 3 5 5 3 9" xfId="15905" xr:uid="{9E61D26A-1127-4BFF-8821-4BD132D9A1DB}"/>
    <cellStyle name="Normal 3 5 5 4" xfId="4589" xr:uid="{0B8A3187-044A-4E17-850B-72EA56D47EFE}"/>
    <cellStyle name="Normal 3 5 5 4 2" xfId="7607" xr:uid="{1B27D23D-97AE-444F-908D-5AE255E73CE8}"/>
    <cellStyle name="Normal 3 5 5 4 2 2" xfId="9021" xr:uid="{E536CD30-6C4C-471A-8A1A-27B653C71CA4}"/>
    <cellStyle name="Normal 3 5 5 4 2 2 2" xfId="19073" xr:uid="{BEF8A504-803D-433C-8732-61D07EAAD467}"/>
    <cellStyle name="Normal 3 5 5 4 2 3" xfId="16526" xr:uid="{0F164F54-D506-417B-BDDB-E6F126EA9C3E}"/>
    <cellStyle name="Normal 3 5 5 4 2 4" xfId="15111" xr:uid="{D2CF533C-2427-4C62-B954-AE9F843996A2}"/>
    <cellStyle name="Normal 3 5 5 4 3" xfId="7608" xr:uid="{5C24B6B7-1ACC-4A55-A2C5-68E5C0F6925D}"/>
    <cellStyle name="Normal 3 5 5 4 3 2" xfId="9469" xr:uid="{479E539D-14F9-4966-A919-DCB6DBC49167}"/>
    <cellStyle name="Normal 3 5 5 4 3 2 2" xfId="19521" xr:uid="{3864AA74-6BC8-4C3D-BB25-5EC9FC473441}"/>
    <cellStyle name="Normal 3 5 5 4 3 3" xfId="16972" xr:uid="{552B9A36-0399-4788-B925-D52F13F3787C}"/>
    <cellStyle name="Normal 3 5 5 4 3 4" xfId="15695" xr:uid="{4D7F6C03-466E-4271-8360-B5F8AACF679E}"/>
    <cellStyle name="Normal 3 5 5 4 4" xfId="7609" xr:uid="{89DE0CEC-C5FD-4EF1-A1B5-AC4D677D421B}"/>
    <cellStyle name="Normal 3 5 5 4 4 2" xfId="17573" xr:uid="{B7222D8A-980C-476D-B1CF-E8A45FBA26BF}"/>
    <cellStyle name="Normal 3 5 5 4 4 3" xfId="14628" xr:uid="{1478D375-8BA9-4E0D-A49E-C3518E953A83}"/>
    <cellStyle name="Normal 3 5 5 4 5" xfId="7610" xr:uid="{E11452CC-00BF-4EE9-918B-498E54C1DF90}"/>
    <cellStyle name="Normal 3 5 5 4 5 2" xfId="18184" xr:uid="{48B75455-5C91-4D45-A9A1-8BE54D02D06D}"/>
    <cellStyle name="Normal 3 5 5 4 5 3" xfId="14061" xr:uid="{88169181-5EC7-4A64-972D-5BBD2F80DB68}"/>
    <cellStyle name="Normal 3 5 5 4 6" xfId="8593" xr:uid="{CACDBE76-C1B6-4DA9-9C6A-E0D2B9169861}"/>
    <cellStyle name="Normal 3 5 5 4 6 2" xfId="18645" xr:uid="{E5769C91-C26C-46E9-ACFF-B45665D7C820}"/>
    <cellStyle name="Normal 3 5 5 4 7" xfId="10059" xr:uid="{85D2F17C-0326-42BE-BC77-51D3F3AA831D}"/>
    <cellStyle name="Normal 3 5 5 4 8" xfId="10698" xr:uid="{5CF0E59C-100C-46AE-96DC-8336A7C8C981}"/>
    <cellStyle name="Normal 3 5 5 4 9" xfId="15904" xr:uid="{DA8AEFCB-1D65-443D-8236-AC0A0D992D22}"/>
    <cellStyle name="Normal 3 5 5 5" xfId="7611" xr:uid="{D96A56B2-AED9-4019-9E87-0C684B212BF0}"/>
    <cellStyle name="Normal 3 5 5 5 2" xfId="7612" xr:uid="{6E270234-DC78-473F-A152-FB9FF2EF5ECE}"/>
    <cellStyle name="Normal 3 5 5 5 2 2" xfId="17337" xr:uid="{A187A6BB-CAFC-4427-864C-119829ADB2E7}"/>
    <cellStyle name="Normal 3 5 5 5 3" xfId="7613" xr:uid="{B8709C07-DE65-4917-9B48-525327F24A54}"/>
    <cellStyle name="Normal 3 5 5 5 3 2" xfId="17951" xr:uid="{936E23FE-6CB0-4E4F-8EAA-A4A1F136E92E}"/>
    <cellStyle name="Normal 3 5 5 5 4" xfId="8780" xr:uid="{AEB68C85-6F85-4A7D-ABEA-D934FEF95DA3}"/>
    <cellStyle name="Normal 3 5 5 5 4 2" xfId="18832" xr:uid="{E772921E-7A2C-4C7E-86D3-60AF60427A09}"/>
    <cellStyle name="Normal 3 5 5 5 5" xfId="9827" xr:uid="{3CD229CD-D65F-4507-A2DB-D9B3D0ECF320}"/>
    <cellStyle name="Normal 3 5 5 5 6" xfId="10699" xr:uid="{D2804D3F-B989-4945-A4B5-4918C303C23A}"/>
    <cellStyle name="Normal 3 5 5 5 7" xfId="15328" xr:uid="{6CA750AD-FE07-4566-8771-9319AE2D07E6}"/>
    <cellStyle name="Normal 3 5 5 6" xfId="7614" xr:uid="{5E2AC213-C606-4D0E-96BC-66F64D8347CE}"/>
    <cellStyle name="Normal 3 5 5 6 2" xfId="9228" xr:uid="{2A55DC45-66F2-48A0-A08D-B957E23F2962}"/>
    <cellStyle name="Normal 3 5 5 6 2 2" xfId="19280" xr:uid="{E3B5AE1B-FB25-4C9E-9D09-82E4B0523AD8}"/>
    <cellStyle name="Normal 3 5 5 6 3" xfId="16731" xr:uid="{C0E12BCB-EA5E-4155-8BD7-FA189D027A26}"/>
    <cellStyle name="Normal 3 5 5 6 4" xfId="14133" xr:uid="{2753F867-22AC-4AB7-98FA-ADF6892FFC1B}"/>
    <cellStyle name="Normal 3 5 5 7" xfId="7615" xr:uid="{E94F1DD2-F210-42A6-B581-00CBAC48C821}"/>
    <cellStyle name="Normal 3 5 5 7 2" xfId="17190" xr:uid="{06808D4E-5365-4623-8867-5D57DD36D0E4}"/>
    <cellStyle name="Normal 3 5 5 7 3" xfId="15526" xr:uid="{11695BCF-2873-4DE6-8552-DDA47339BF6C}"/>
    <cellStyle name="Normal 3 5 5 8" xfId="7616" xr:uid="{1097E83F-60BD-48F1-A3E1-CE903FFEC794}"/>
    <cellStyle name="Normal 3 5 5 8 2" xfId="17800" xr:uid="{8028836F-3305-4230-BCC4-603D729B4BFF}"/>
    <cellStyle name="Normal 3 5 5 8 3" xfId="14473" xr:uid="{9E4B8B83-6F3A-421F-8F7E-69DA62A7C573}"/>
    <cellStyle name="Normal 3 5 5 9" xfId="8352" xr:uid="{5628C76C-7BAD-4DCD-A1F4-A44C55E4F014}"/>
    <cellStyle name="Normal 3 5 5 9 2" xfId="18404" xr:uid="{DE6FE5B3-DF50-410D-967E-39F986B87D52}"/>
    <cellStyle name="Normal 3 5 6" xfId="2866" xr:uid="{D1F80EBF-D7D6-4E49-90DA-A52517B3B3D9}"/>
    <cellStyle name="Normal 3 5 6 10" xfId="9683" xr:uid="{43A12576-4C4B-4052-9E93-B1105A85802A}"/>
    <cellStyle name="Normal 3 5 6 11" xfId="10337" xr:uid="{17A61B05-8E05-4DC6-9A48-196C3CFB1C50}"/>
    <cellStyle name="Normal 3 5 6 12" xfId="11307" xr:uid="{21047828-AD53-405D-95E5-2E6621E2F99E}"/>
    <cellStyle name="Normal 3 5 6 12 2" xfId="16103" xr:uid="{1500503C-C608-489D-A0E0-5274075E1078}"/>
    <cellStyle name="Normal 3 5 6 12 3" xfId="20538" xr:uid="{24E73C49-4AE0-4EF6-B7E6-A2121441ED55}"/>
    <cellStyle name="Normal 3 5 6 2" xfId="2867" xr:uid="{505A3FDE-9B9F-43FD-99B7-CBFA70A9956D}"/>
    <cellStyle name="Normal 3 5 6 2 10" xfId="10338" xr:uid="{BEB637FD-B497-4B6C-82EE-07E6AEDFB42C}"/>
    <cellStyle name="Normal 3 5 6 2 11" xfId="16102" xr:uid="{65738793-23CA-4245-A5D5-8B6CDB78C5E8}"/>
    <cellStyle name="Normal 3 5 6 2 2" xfId="4590" xr:uid="{D4FFCEED-EC3F-44D8-BACB-9F9815EA7BDB}"/>
    <cellStyle name="Normal 3 5 6 2 2 2" xfId="7617" xr:uid="{EE815425-560A-45F2-9A8D-5EA37B64CB33}"/>
    <cellStyle name="Normal 3 5 6 2 2 2 2" xfId="9022" xr:uid="{DC67F889-FA9C-46E6-AA15-DE960FB733CB}"/>
    <cellStyle name="Normal 3 5 6 2 2 2 2 2" xfId="19074" xr:uid="{2DEC4455-3C17-4D46-9C36-65DEA0AE536B}"/>
    <cellStyle name="Normal 3 5 6 2 2 2 3" xfId="16527" xr:uid="{2ECE51D0-CE02-4F22-963F-88697CFBA787}"/>
    <cellStyle name="Normal 3 5 6 2 2 2 4" xfId="15110" xr:uid="{015B5E2E-5A4F-461F-B243-F4042FB338A9}"/>
    <cellStyle name="Normal 3 5 6 2 2 3" xfId="7618" xr:uid="{77201EA1-FA9A-4B42-976B-15B0E56A6619}"/>
    <cellStyle name="Normal 3 5 6 2 2 3 2" xfId="9470" xr:uid="{C37726A6-120C-4732-B249-4EA7495DE883}"/>
    <cellStyle name="Normal 3 5 6 2 2 3 2 2" xfId="19522" xr:uid="{6593A74E-5612-4D71-8A90-5D95FC74B12B}"/>
    <cellStyle name="Normal 3 5 6 2 2 3 3" xfId="16973" xr:uid="{8A6A3D8A-B782-4E5A-8ED7-383C15CBE508}"/>
    <cellStyle name="Normal 3 5 6 2 2 3 4" xfId="15694" xr:uid="{592120CC-A1D1-4C4D-8463-5EC3A724E9AD}"/>
    <cellStyle name="Normal 3 5 6 2 2 4" xfId="7619" xr:uid="{C48609A6-DA02-4447-AF84-A917B18F5833}"/>
    <cellStyle name="Normal 3 5 6 2 2 4 2" xfId="17574" xr:uid="{E6464363-E156-4D4C-A879-A7AFD0F3EEB1}"/>
    <cellStyle name="Normal 3 5 6 2 2 4 3" xfId="14627" xr:uid="{656D8179-49A4-452A-A71F-5689D87DA759}"/>
    <cellStyle name="Normal 3 5 6 2 2 5" xfId="7620" xr:uid="{A417C1E7-00B5-4F42-A1D1-B78B1751083C}"/>
    <cellStyle name="Normal 3 5 6 2 2 5 2" xfId="18185" xr:uid="{48003131-B401-42CE-89C4-16023B635429}"/>
    <cellStyle name="Normal 3 5 6 2 2 5 3" xfId="14060" xr:uid="{A2BC9BC9-74CF-4118-AB4F-C8E4FDBB4BF4}"/>
    <cellStyle name="Normal 3 5 6 2 2 6" xfId="8594" xr:uid="{5D00B0E3-7EC2-4C68-BD23-56C76DA3CADC}"/>
    <cellStyle name="Normal 3 5 6 2 2 6 2" xfId="18646" xr:uid="{E0BEDD46-D5F9-4230-A53A-F8718E271F38}"/>
    <cellStyle name="Normal 3 5 6 2 2 7" xfId="10060" xr:uid="{9538D44B-6FF7-4989-8646-F232B9DA0A80}"/>
    <cellStyle name="Normal 3 5 6 2 2 8" xfId="10700" xr:uid="{4F450A65-EE4F-421B-B44E-D87F1A71D1D7}"/>
    <cellStyle name="Normal 3 5 6 2 2 9" xfId="15903" xr:uid="{3AE632D7-18F9-4DE9-BC4A-BBF910940875}"/>
    <cellStyle name="Normal 3 5 6 2 3" xfId="4591" xr:uid="{AA035781-B065-481A-8FFE-899A47D58E4E}"/>
    <cellStyle name="Normal 3 5 6 2 3 2" xfId="7621" xr:uid="{CAF9FEA5-DECD-4C6F-8B11-6BEB26EF2C8A}"/>
    <cellStyle name="Normal 3 5 6 2 3 2 2" xfId="9023" xr:uid="{7D8796FB-008A-4A00-A188-FE42884BE56C}"/>
    <cellStyle name="Normal 3 5 6 2 3 2 2 2" xfId="19075" xr:uid="{BD61C22F-F850-4617-B6DC-BFD3A1907441}"/>
    <cellStyle name="Normal 3 5 6 2 3 2 3" xfId="16528" xr:uid="{47F028FE-C190-4D53-AEAB-64185AC20D91}"/>
    <cellStyle name="Normal 3 5 6 2 3 2 4" xfId="14148" xr:uid="{A8291BAA-F1C1-4BF4-B6B8-68CD304EA72C}"/>
    <cellStyle name="Normal 3 5 6 2 3 3" xfId="7622" xr:uid="{9DD56019-4EEF-4018-AABA-BC8911386BFF}"/>
    <cellStyle name="Normal 3 5 6 2 3 3 2" xfId="9471" xr:uid="{7A4FBA82-A9B8-47E7-9DCA-D0A12D2FABBD}"/>
    <cellStyle name="Normal 3 5 6 2 3 3 2 2" xfId="19523" xr:uid="{29A8758C-0626-40A7-9CF0-66864D3A9E5F}"/>
    <cellStyle name="Normal 3 5 6 2 3 3 3" xfId="16974" xr:uid="{845C05A8-7D59-4649-AAB3-B6A42E6090C5}"/>
    <cellStyle name="Normal 3 5 6 2 3 3 4" xfId="15693" xr:uid="{CDD439F8-DED0-4E06-B353-1040034E510D}"/>
    <cellStyle name="Normal 3 5 6 2 3 4" xfId="7623" xr:uid="{B567BEB8-458C-4373-BF03-CF2D4D9427B3}"/>
    <cellStyle name="Normal 3 5 6 2 3 4 2" xfId="17575" xr:uid="{BD5A4C24-3944-46E8-AE48-28B8FA6628C2}"/>
    <cellStyle name="Normal 3 5 6 2 3 4 3" xfId="14022" xr:uid="{24B2D9F9-216B-4F48-B13A-7E8C6C4D8542}"/>
    <cellStyle name="Normal 3 5 6 2 3 5" xfId="7624" xr:uid="{4E578295-048A-42ED-BD26-8EB8841264B7}"/>
    <cellStyle name="Normal 3 5 6 2 3 5 2" xfId="18186" xr:uid="{2AE75C50-59BD-49C6-A50C-E0EB3C508F96}"/>
    <cellStyle name="Normal 3 5 6 2 3 5 3" xfId="14279" xr:uid="{FF59965F-28EE-44CF-B8D5-862BAB310472}"/>
    <cellStyle name="Normal 3 5 6 2 3 6" xfId="8595" xr:uid="{731CD67E-FC6D-4992-90CB-97B3349A1053}"/>
    <cellStyle name="Normal 3 5 6 2 3 6 2" xfId="18647" xr:uid="{956212FC-9321-4065-845E-2A810236226D}"/>
    <cellStyle name="Normal 3 5 6 2 3 7" xfId="10061" xr:uid="{DD97E28D-754A-43AF-9DCC-C68ED5D5ADBF}"/>
    <cellStyle name="Normal 3 5 6 2 3 8" xfId="10701" xr:uid="{A5640542-8974-4318-AFC7-80DEE45CFC47}"/>
    <cellStyle name="Normal 3 5 6 2 3 9" xfId="15902" xr:uid="{AA372967-0D09-4760-AA87-26D1AE43AC73}"/>
    <cellStyle name="Normal 3 5 6 2 4" xfId="7625" xr:uid="{E3A0E6CA-CDE3-4784-8EDF-F38F2947EE51}"/>
    <cellStyle name="Normal 3 5 6 2 4 2" xfId="7626" xr:uid="{0CDC8808-7BFF-4F37-8721-16E9B0BD4226}"/>
    <cellStyle name="Normal 3 5 6 2 4 2 2" xfId="17340" xr:uid="{1B3AFE4A-E61B-455E-B4AD-669D475B692A}"/>
    <cellStyle name="Normal 3 5 6 2 4 3" xfId="7627" xr:uid="{4037D9FF-2724-4E53-859F-E23FB7A5817D}"/>
    <cellStyle name="Normal 3 5 6 2 4 3 2" xfId="17954" xr:uid="{2514F369-A2FE-4CC6-84BA-1197015BAD24}"/>
    <cellStyle name="Normal 3 5 6 2 4 4" xfId="8783" xr:uid="{5CE1C619-BA95-4A26-AD76-6009BD18D096}"/>
    <cellStyle name="Normal 3 5 6 2 4 4 2" xfId="18835" xr:uid="{9E8918A3-1544-4A56-AABF-D2922B1D851C}"/>
    <cellStyle name="Normal 3 5 6 2 4 5" xfId="9830" xr:uid="{A60E334A-1772-4122-BDBF-B215988194B4}"/>
    <cellStyle name="Normal 3 5 6 2 4 6" xfId="10702" xr:uid="{FBAB1A48-A2FB-46BB-B5E8-922B7B2CC5CC}"/>
    <cellStyle name="Normal 3 5 6 2 4 7" xfId="15325" xr:uid="{6942192C-38BB-49AC-B92B-761132F473E7}"/>
    <cellStyle name="Normal 3 5 6 2 5" xfId="7628" xr:uid="{ABC26196-7278-4ABF-8772-F4689C7415E9}"/>
    <cellStyle name="Normal 3 5 6 2 5 2" xfId="9231" xr:uid="{AEF5EDE6-6478-4DB4-AA25-446A70C9A65A}"/>
    <cellStyle name="Normal 3 5 6 2 5 2 2" xfId="19283" xr:uid="{BE1DA2C9-EA69-4C00-9A05-8553D79F3C10}"/>
    <cellStyle name="Normal 3 5 6 2 5 3" xfId="16734" xr:uid="{9AA6F0CB-1021-424F-96CF-718C2DFBBD40}"/>
    <cellStyle name="Normal 3 5 6 2 5 4" xfId="14931" xr:uid="{E01E42CE-D84A-4A36-8D23-54BDBE12344D}"/>
    <cellStyle name="Normal 3 5 6 2 6" xfId="7629" xr:uid="{B2722325-EE95-43FB-877A-57435AB7A4E9}"/>
    <cellStyle name="Normal 3 5 6 2 6 2" xfId="17193" xr:uid="{54476789-0CDB-4F22-96AC-FECE38B7445C}"/>
    <cellStyle name="Normal 3 5 6 2 6 3" xfId="16157" xr:uid="{6F4EC47F-FC06-4BAC-A717-302E93644FE8}"/>
    <cellStyle name="Normal 3 5 6 2 7" xfId="7630" xr:uid="{0A102A6F-B62D-4D29-A2B7-373714366201}"/>
    <cellStyle name="Normal 3 5 6 2 7 2" xfId="17803" xr:uid="{A7303964-9B1A-41AE-AAD2-8679329B98C5}"/>
    <cellStyle name="Normal 3 5 6 2 7 3" xfId="14470" xr:uid="{5A727903-184B-4E3D-A96E-13CB40BBDCF3}"/>
    <cellStyle name="Normal 3 5 6 2 8" xfId="8355" xr:uid="{D82E324F-07DD-4F7B-8D13-FAAF3C688D82}"/>
    <cellStyle name="Normal 3 5 6 2 8 2" xfId="18407" xr:uid="{9FCBFBA1-5968-4FD7-914B-22930833B216}"/>
    <cellStyle name="Normal 3 5 6 2 9" xfId="9684" xr:uid="{60121AE1-7673-48AF-BBEA-C08678A4CB09}"/>
    <cellStyle name="Normal 3 5 6 3" xfId="4592" xr:uid="{111AB14D-DFCD-4456-A58E-AE5E95BF63AE}"/>
    <cellStyle name="Normal 3 5 6 3 2" xfId="7631" xr:uid="{8E6FB233-1F8A-418B-97F7-4143DCF1308A}"/>
    <cellStyle name="Normal 3 5 6 3 2 2" xfId="9024" xr:uid="{292C93C4-C151-4C4F-B92F-8872F6291BA6}"/>
    <cellStyle name="Normal 3 5 6 3 2 2 2" xfId="19076" xr:uid="{07631C3A-010D-40B4-8B94-2A5C0F187B3E}"/>
    <cellStyle name="Normal 3 5 6 3 2 3" xfId="16529" xr:uid="{6B8623C2-3841-400F-842A-0CF2BAACE88A}"/>
    <cellStyle name="Normal 3 5 6 3 2 4" xfId="15109" xr:uid="{8872E244-83EA-4388-A2A4-A3606513F1AF}"/>
    <cellStyle name="Normal 3 5 6 3 3" xfId="7632" xr:uid="{AD91D926-8031-4A54-8CE1-2EE82437977E}"/>
    <cellStyle name="Normal 3 5 6 3 3 2" xfId="9472" xr:uid="{8DC8CB89-488C-45C5-AE21-EC68E1BC8373}"/>
    <cellStyle name="Normal 3 5 6 3 3 2 2" xfId="19524" xr:uid="{6554D672-626B-4A30-85DB-29D18A1FE40D}"/>
    <cellStyle name="Normal 3 5 6 3 3 3" xfId="16975" xr:uid="{52F670AA-DAF1-44EB-AE35-F5B00EB8877F}"/>
    <cellStyle name="Normal 3 5 6 3 3 4" xfId="15692" xr:uid="{0BFB6150-48B8-4E0F-BB2B-432079C8514E}"/>
    <cellStyle name="Normal 3 5 6 3 4" xfId="7633" xr:uid="{C4ED9920-E4D8-4A44-8E31-6A614FF06833}"/>
    <cellStyle name="Normal 3 5 6 3 4 2" xfId="17576" xr:uid="{A813E703-1E3C-4E77-976D-164949942CD5}"/>
    <cellStyle name="Normal 3 5 6 3 4 3" xfId="14626" xr:uid="{ECC0A9EA-7792-483D-8E5C-B543620F341D}"/>
    <cellStyle name="Normal 3 5 6 3 5" xfId="7634" xr:uid="{DA40CB91-3CFF-453D-8A3A-310B162E9CCF}"/>
    <cellStyle name="Normal 3 5 6 3 5 2" xfId="18187" xr:uid="{CCE488C9-41A5-40DE-B330-BEFC66E717B1}"/>
    <cellStyle name="Normal 3 5 6 3 5 3" xfId="14278" xr:uid="{1AAB4CC3-03C4-4ABD-86A3-4472B7051EE0}"/>
    <cellStyle name="Normal 3 5 6 3 6" xfId="8596" xr:uid="{9EA53DF0-4F52-4851-8065-38B496599893}"/>
    <cellStyle name="Normal 3 5 6 3 6 2" xfId="18648" xr:uid="{407ED41B-73E8-403A-AEE0-C660AA66ECB3}"/>
    <cellStyle name="Normal 3 5 6 3 7" xfId="10062" xr:uid="{0441EBCC-7088-4A21-B6AD-5C95A2717671}"/>
    <cellStyle name="Normal 3 5 6 3 8" xfId="10703" xr:uid="{28530B18-B9A8-4122-8200-2DEB7EDD355C}"/>
    <cellStyle name="Normal 3 5 6 3 9" xfId="15402" xr:uid="{F783DC68-B421-4C17-821F-CDB23AF3CF02}"/>
    <cellStyle name="Normal 3 5 6 4" xfId="4593" xr:uid="{737D6297-27B5-4B45-8C7B-F9643498B995}"/>
    <cellStyle name="Normal 3 5 6 4 2" xfId="7635" xr:uid="{7CDDB37B-89F8-44B2-8E2D-DA762A38B50F}"/>
    <cellStyle name="Normal 3 5 6 4 2 2" xfId="9025" xr:uid="{E49BE4C7-3A2D-472B-A45F-C15A5C214145}"/>
    <cellStyle name="Normal 3 5 6 4 2 2 2" xfId="19077" xr:uid="{D5929854-29EF-4696-B396-21744CFCE66B}"/>
    <cellStyle name="Normal 3 5 6 4 2 3" xfId="16530" xr:uid="{74F81A79-9665-4CD8-B35A-B341B1FBC83B}"/>
    <cellStyle name="Normal 3 5 6 4 2 4" xfId="15108" xr:uid="{3C9B4E63-9D5A-4808-898A-35D70E135B3D}"/>
    <cellStyle name="Normal 3 5 6 4 3" xfId="7636" xr:uid="{EEC72A40-1FB6-4E85-A293-918DF0C37AEB}"/>
    <cellStyle name="Normal 3 5 6 4 3 2" xfId="9473" xr:uid="{E98E3762-EFC2-4287-87BC-B46AFDBA63BB}"/>
    <cellStyle name="Normal 3 5 6 4 3 2 2" xfId="19525" xr:uid="{DEFCEA17-970B-49E4-8BDC-B3113150A099}"/>
    <cellStyle name="Normal 3 5 6 4 3 3" xfId="16976" xr:uid="{C25A78A5-3A4D-446E-9C33-6FA2C1098064}"/>
    <cellStyle name="Normal 3 5 6 4 3 4" xfId="15691" xr:uid="{DC725ED8-F451-44D3-BAD2-56DFCB14607C}"/>
    <cellStyle name="Normal 3 5 6 4 4" xfId="7637" xr:uid="{5DB6617E-8413-4AB2-BDAE-B89890BCDDD4}"/>
    <cellStyle name="Normal 3 5 6 4 4 2" xfId="17577" xr:uid="{55F77F20-493E-47C0-B420-614CA1762679}"/>
    <cellStyle name="Normal 3 5 6 4 4 3" xfId="14625" xr:uid="{72886A9A-83DF-4831-9407-7C996717EFD8}"/>
    <cellStyle name="Normal 3 5 6 4 5" xfId="7638" xr:uid="{5093DFDC-8685-41D9-B114-184EF026F3F2}"/>
    <cellStyle name="Normal 3 5 6 4 5 2" xfId="18188" xr:uid="{DAB67C7A-E42C-4DA6-B1E0-DB9EA9DEDF36}"/>
    <cellStyle name="Normal 3 5 6 4 5 3" xfId="14277" xr:uid="{ECCE2C92-320E-440F-BFF7-D1AC8AFE4A9B}"/>
    <cellStyle name="Normal 3 5 6 4 6" xfId="8597" xr:uid="{80BFAA0D-446E-4830-B333-E18D1D9184F3}"/>
    <cellStyle name="Normal 3 5 6 4 6 2" xfId="18649" xr:uid="{47A29476-D1AA-464A-AE90-3A3CA9549F95}"/>
    <cellStyle name="Normal 3 5 6 4 7" xfId="10063" xr:uid="{81E797BB-8BDC-46AD-AB43-3B5CAD3D7399}"/>
    <cellStyle name="Normal 3 5 6 4 8" xfId="10704" xr:uid="{3E6DEB75-EA3C-43EF-9004-4D164124E02F}"/>
    <cellStyle name="Normal 3 5 6 4 9" xfId="15901" xr:uid="{7CEDD00A-FE21-470C-9050-F2C6B816A4DA}"/>
    <cellStyle name="Normal 3 5 6 5" xfId="7639" xr:uid="{621CE5EA-63A6-43B9-9F88-CB2A56404EE2}"/>
    <cellStyle name="Normal 3 5 6 5 2" xfId="7640" xr:uid="{78C5BE6E-9D67-4146-9C9A-8DC94408EDCF}"/>
    <cellStyle name="Normal 3 5 6 5 2 2" xfId="17339" xr:uid="{D7E6D9BF-C570-41F3-9C40-A193651DA118}"/>
    <cellStyle name="Normal 3 5 6 5 3" xfId="7641" xr:uid="{5204546C-859A-47CF-8517-8BA68BE9D3D4}"/>
    <cellStyle name="Normal 3 5 6 5 3 2" xfId="17953" xr:uid="{DA51A972-F101-4870-951F-FBB7B53D67A1}"/>
    <cellStyle name="Normal 3 5 6 5 4" xfId="8782" xr:uid="{C2DE8270-FD4C-474B-9E93-2B4F078DDDED}"/>
    <cellStyle name="Normal 3 5 6 5 4 2" xfId="18834" xr:uid="{05C59F6B-1E04-4E21-AE5A-B2ADCF07962B}"/>
    <cellStyle name="Normal 3 5 6 5 5" xfId="9829" xr:uid="{4E5D4FD3-CB9D-4638-A20F-50BC3BEA7DBE}"/>
    <cellStyle name="Normal 3 5 6 5 6" xfId="10705" xr:uid="{2CE83349-0CE7-47EC-8FC6-50F41DF68358}"/>
    <cellStyle name="Normal 3 5 6 5 7" xfId="15326" xr:uid="{CC0A8AF9-E579-41DA-902D-ABD1210C6683}"/>
    <cellStyle name="Normal 3 5 6 6" xfId="7642" xr:uid="{5B5F113F-41EA-4407-A62F-DF674FEEB9D0}"/>
    <cellStyle name="Normal 3 5 6 6 2" xfId="9230" xr:uid="{40991112-FFD0-4794-AD40-908B44CA26BF}"/>
    <cellStyle name="Normal 3 5 6 6 2 2" xfId="19282" xr:uid="{080F655C-A764-488E-A59E-5D9951CC6841}"/>
    <cellStyle name="Normal 3 5 6 6 3" xfId="16733" xr:uid="{4108BD4E-09F2-4E56-BF26-17FF02CD9D7C}"/>
    <cellStyle name="Normal 3 5 6 6 4" xfId="14932" xr:uid="{C4C4E2BA-5B65-451B-A160-6F33EE6ABFAE}"/>
    <cellStyle name="Normal 3 5 6 7" xfId="7643" xr:uid="{B0B51504-EC3B-4A87-BD85-5A7CE9A64E99}"/>
    <cellStyle name="Normal 3 5 6 7 2" xfId="17192" xr:uid="{E073BA4C-2C07-435D-A3CE-22E8B4EBADBB}"/>
    <cellStyle name="Normal 3 5 6 7 3" xfId="16146" xr:uid="{33A3B370-0338-4F82-AD11-2258794B8A68}"/>
    <cellStyle name="Normal 3 5 6 8" xfId="7644" xr:uid="{94AE8D26-7108-4F4E-99C0-268BDE31A97A}"/>
    <cellStyle name="Normal 3 5 6 8 2" xfId="17802" xr:uid="{60275598-1BB1-487D-B80E-A0B83BD4F0E4}"/>
    <cellStyle name="Normal 3 5 6 8 3" xfId="14471" xr:uid="{DEB2B218-0642-49D1-BECB-7218E344FE63}"/>
    <cellStyle name="Normal 3 5 6 9" xfId="8354" xr:uid="{699BE207-E238-44F6-A409-E857FAFF3A3E}"/>
    <cellStyle name="Normal 3 5 6 9 2" xfId="18406" xr:uid="{E1DCA9FD-7180-4A7E-B9FC-2E98FF6A21DA}"/>
    <cellStyle name="Normal 3 5 7" xfId="2868" xr:uid="{9BC2CA68-995B-437D-ADFE-CBFFCC97925A}"/>
    <cellStyle name="Normal 3 5 7 10" xfId="9685" xr:uid="{26FD6EAC-45CB-4BD9-A1A4-BFD051140898}"/>
    <cellStyle name="Normal 3 5 7 11" xfId="10339" xr:uid="{536D6FD5-1A4E-4117-85D1-9ABC5A538DDC}"/>
    <cellStyle name="Normal 3 5 7 12" xfId="11732" xr:uid="{BB62C00F-ADEB-4EE8-BAA9-BB338D2A48F4}"/>
    <cellStyle name="Normal 3 5 7 12 2" xfId="16101" xr:uid="{91E3D32A-BF43-4E8A-9CAF-9FA9849A743F}"/>
    <cellStyle name="Normal 3 5 7 12 3" xfId="20595" xr:uid="{A65F2BA2-97BA-4D4D-8E1B-59D79A295BEE}"/>
    <cellStyle name="Normal 3 5 7 2" xfId="2869" xr:uid="{82A30A84-1BD0-4959-A82E-2D7CFEA40CAC}"/>
    <cellStyle name="Normal 3 5 7 2 10" xfId="10340" xr:uid="{7B251604-E455-46BB-8A85-F1E6D090EAB6}"/>
    <cellStyle name="Normal 3 5 7 2 11" xfId="16100" xr:uid="{317F1732-3DCB-46F9-A77C-EC0ED041CD61}"/>
    <cellStyle name="Normal 3 5 7 2 2" xfId="4594" xr:uid="{53E32AAF-2F08-4F60-9D02-75AEC5BA084B}"/>
    <cellStyle name="Normal 3 5 7 2 2 2" xfId="7645" xr:uid="{7105C375-18E5-41D5-8012-625F797FE93A}"/>
    <cellStyle name="Normal 3 5 7 2 2 2 2" xfId="9026" xr:uid="{EE372314-F470-4AA3-B0D5-13EB1193579E}"/>
    <cellStyle name="Normal 3 5 7 2 2 2 2 2" xfId="19078" xr:uid="{027526B5-EA99-455B-90A8-ECF759FF2801}"/>
    <cellStyle name="Normal 3 5 7 2 2 2 3" xfId="16531" xr:uid="{79EA0A52-C592-433F-9813-BF68EA7353D5}"/>
    <cellStyle name="Normal 3 5 7 2 2 2 4" xfId="15107" xr:uid="{C2F81934-6DE1-4215-9290-6E117C939988}"/>
    <cellStyle name="Normal 3 5 7 2 2 3" xfId="7646" xr:uid="{AD33A268-DCCA-42FA-9115-FF9D2F585CA6}"/>
    <cellStyle name="Normal 3 5 7 2 2 3 2" xfId="9474" xr:uid="{4E42EDF2-C535-4CFE-B5D7-2F8FCA7F0971}"/>
    <cellStyle name="Normal 3 5 7 2 2 3 2 2" xfId="19526" xr:uid="{5D14ADE2-8916-4623-8529-EC45049D4AA9}"/>
    <cellStyle name="Normal 3 5 7 2 2 3 3" xfId="16977" xr:uid="{617B8871-1011-4263-9D81-D944F43AA9A3}"/>
    <cellStyle name="Normal 3 5 7 2 2 3 4" xfId="14828" xr:uid="{7418749F-DDEB-4E99-AA1D-EC65E1854787}"/>
    <cellStyle name="Normal 3 5 7 2 2 4" xfId="7647" xr:uid="{ADA28D1E-BF55-4A39-A294-3C63A0E4E1F5}"/>
    <cellStyle name="Normal 3 5 7 2 2 4 2" xfId="17578" xr:uid="{2DF93F8F-86E2-4C7A-BCE1-576F7E4E9BEA}"/>
    <cellStyle name="Normal 3 5 7 2 2 4 3" xfId="14624" xr:uid="{B14C0508-1CE6-4FFE-845D-81E49467A21D}"/>
    <cellStyle name="Normal 3 5 7 2 2 5" xfId="7648" xr:uid="{41779F5F-4A55-4681-A23B-F28DC1F36990}"/>
    <cellStyle name="Normal 3 5 7 2 2 5 2" xfId="18189" xr:uid="{E93DBD61-B8B5-4514-97B4-4DD93AF07E1F}"/>
    <cellStyle name="Normal 3 5 7 2 2 5 3" xfId="14276" xr:uid="{EC1F28E4-FAB1-4424-90A1-F3B00C23A9DE}"/>
    <cellStyle name="Normal 3 5 7 2 2 6" xfId="8598" xr:uid="{5BCAF963-0F8E-4141-8CFB-98F6F705EA92}"/>
    <cellStyle name="Normal 3 5 7 2 2 6 2" xfId="18650" xr:uid="{C558B671-6E71-44FC-87A6-117C72A3C628}"/>
    <cellStyle name="Normal 3 5 7 2 2 7" xfId="10064" xr:uid="{3FB26FB5-D09A-49E3-8137-4E3F03546007}"/>
    <cellStyle name="Normal 3 5 7 2 2 8" xfId="10706" xr:uid="{D4466EBB-ED10-4175-9E65-0A8236AD3C9A}"/>
    <cellStyle name="Normal 3 5 7 2 2 9" xfId="15900" xr:uid="{E8B09A20-E579-4246-B22F-F1092E24B26C}"/>
    <cellStyle name="Normal 3 5 7 2 3" xfId="4595" xr:uid="{6A9EBAB5-0448-4E8B-AD26-9B92BC770AFF}"/>
    <cellStyle name="Normal 3 5 7 2 3 2" xfId="7649" xr:uid="{4983CC5B-84A2-45AC-951D-574E61418137}"/>
    <cellStyle name="Normal 3 5 7 2 3 2 2" xfId="9027" xr:uid="{18DDE190-6F01-445D-8803-EF29498237DD}"/>
    <cellStyle name="Normal 3 5 7 2 3 2 2 2" xfId="19079" xr:uid="{257AF4B2-3122-40AE-BAA0-C6967AF1BDE2}"/>
    <cellStyle name="Normal 3 5 7 2 3 2 3" xfId="16532" xr:uid="{48B01A71-4040-4C01-B7C7-EDC18548A325}"/>
    <cellStyle name="Normal 3 5 7 2 3 2 4" xfId="15106" xr:uid="{F1C2FF88-FC7F-4A2F-A3C3-B86B7A3BF153}"/>
    <cellStyle name="Normal 3 5 7 2 3 3" xfId="7650" xr:uid="{A0D8759C-B191-4AEA-9F5A-9E8AD2BC720D}"/>
    <cellStyle name="Normal 3 5 7 2 3 3 2" xfId="9475" xr:uid="{D0E5C7E8-B72D-4268-8D74-5C007E1AC086}"/>
    <cellStyle name="Normal 3 5 7 2 3 3 2 2" xfId="19527" xr:uid="{889A3500-5C05-435E-B36A-8F4478D223B5}"/>
    <cellStyle name="Normal 3 5 7 2 3 3 3" xfId="16978" xr:uid="{75ABEDD9-04CB-455C-B8C8-47B38E9B68A7}"/>
    <cellStyle name="Normal 3 5 7 2 3 3 4" xfId="15690" xr:uid="{33EFC3E5-2211-4FEE-915B-956D65E6CD99}"/>
    <cellStyle name="Normal 3 5 7 2 3 4" xfId="7651" xr:uid="{C8A2A854-7CDE-4782-AFC6-E00B8197D8D9}"/>
    <cellStyle name="Normal 3 5 7 2 3 4 2" xfId="17579" xr:uid="{4CEA034F-7298-49A0-97CC-BE21389D81D6}"/>
    <cellStyle name="Normal 3 5 7 2 3 4 3" xfId="14623" xr:uid="{6D6AED36-1CB0-4D1F-B665-DC0DBFC03B20}"/>
    <cellStyle name="Normal 3 5 7 2 3 5" xfId="7652" xr:uid="{AEA08C0B-8910-462D-AEF4-AAE836043045}"/>
    <cellStyle name="Normal 3 5 7 2 3 5 2" xfId="18190" xr:uid="{A1A92234-E86B-4F0F-9EA9-58E199793587}"/>
    <cellStyle name="Normal 3 5 7 2 3 5 3" xfId="14275" xr:uid="{A08B3590-CCF7-4C01-A13B-A5960B4E31C1}"/>
    <cellStyle name="Normal 3 5 7 2 3 6" xfId="8599" xr:uid="{C51D645A-2FB4-4A24-A975-EF25978A47AD}"/>
    <cellStyle name="Normal 3 5 7 2 3 6 2" xfId="18651" xr:uid="{0C30DA85-B8BA-4767-B714-44C112A54481}"/>
    <cellStyle name="Normal 3 5 7 2 3 7" xfId="10065" xr:uid="{BF2DDAC3-E156-496E-9F76-BA8D5930DDE9}"/>
    <cellStyle name="Normal 3 5 7 2 3 8" xfId="10707" xr:uid="{C9F60828-8FAB-4282-85C4-721DF19E4489}"/>
    <cellStyle name="Normal 3 5 7 2 3 9" xfId="15899" xr:uid="{E93FCC1A-C959-4FF5-9003-26E83AE586FA}"/>
    <cellStyle name="Normal 3 5 7 2 4" xfId="7653" xr:uid="{9DA18ED5-5563-47A4-8408-7AF9FE7C844D}"/>
    <cellStyle name="Normal 3 5 7 2 4 2" xfId="7654" xr:uid="{C389003B-679D-4EB3-809E-2DE88DAF86B4}"/>
    <cellStyle name="Normal 3 5 7 2 4 2 2" xfId="17342" xr:uid="{25270A48-9C4A-4CD1-89EE-CE9993508745}"/>
    <cellStyle name="Normal 3 5 7 2 4 3" xfId="7655" xr:uid="{A1B90741-85BD-4E34-B999-5E57547AD375}"/>
    <cellStyle name="Normal 3 5 7 2 4 3 2" xfId="17956" xr:uid="{0248D512-34C0-4E61-95B3-256D22EB257A}"/>
    <cellStyle name="Normal 3 5 7 2 4 4" xfId="8785" xr:uid="{9C4977E6-47CD-4769-8F6D-F5F2B37777F8}"/>
    <cellStyle name="Normal 3 5 7 2 4 4 2" xfId="18837" xr:uid="{2771CAD6-6943-49C6-91B7-254737075DB7}"/>
    <cellStyle name="Normal 3 5 7 2 4 5" xfId="9832" xr:uid="{9ABEC0D6-D53E-4E18-BC70-4CB3E1547FBB}"/>
    <cellStyle name="Normal 3 5 7 2 4 6" xfId="10708" xr:uid="{DA368D8A-A1F2-43DD-BBFA-F3F094413C09}"/>
    <cellStyle name="Normal 3 5 7 2 4 7" xfId="15323" xr:uid="{C00A6E1F-493D-4981-887B-6E8E5BFF540F}"/>
    <cellStyle name="Normal 3 5 7 2 5" xfId="7656" xr:uid="{7FE758B6-1951-4028-B741-40B17A3D6B32}"/>
    <cellStyle name="Normal 3 5 7 2 5 2" xfId="9233" xr:uid="{5266DE46-3427-45E4-BB6C-962F135AE759}"/>
    <cellStyle name="Normal 3 5 7 2 5 2 2" xfId="19285" xr:uid="{9193BFDA-83FF-421C-AC84-7B54C7D30DCE}"/>
    <cellStyle name="Normal 3 5 7 2 5 3" xfId="16736" xr:uid="{EFAA61D5-66AA-4A55-AD17-034C8E99170E}"/>
    <cellStyle name="Normal 3 5 7 2 5 4" xfId="14929" xr:uid="{03515109-412A-451E-A621-B191D646101C}"/>
    <cellStyle name="Normal 3 5 7 2 6" xfId="7657" xr:uid="{AEC49B39-8DFE-48D1-8E7D-0CC2DC8A9AE7}"/>
    <cellStyle name="Normal 3 5 7 2 6 2" xfId="17195" xr:uid="{F4C1BD49-C271-4E8C-B184-ECD6D03B04CB}"/>
    <cellStyle name="Normal 3 5 7 2 6 3" xfId="15524" xr:uid="{83915BB9-EC2C-4E53-81FA-00104C9D93A5}"/>
    <cellStyle name="Normal 3 5 7 2 7" xfId="7658" xr:uid="{66AF0EE4-D282-4BE8-BEEC-CFE696BDFF61}"/>
    <cellStyle name="Normal 3 5 7 2 7 2" xfId="17805" xr:uid="{3C8847D2-7EAF-4209-8455-96C381119C02}"/>
    <cellStyle name="Normal 3 5 7 2 7 3" xfId="14094" xr:uid="{12091DFF-6EA4-4D88-BE33-6B75914D6BD5}"/>
    <cellStyle name="Normal 3 5 7 2 8" xfId="8357" xr:uid="{68B50464-E865-4420-864B-7F013FF506C4}"/>
    <cellStyle name="Normal 3 5 7 2 8 2" xfId="18409" xr:uid="{764699F5-A670-4920-94EB-CEA5E89C209D}"/>
    <cellStyle name="Normal 3 5 7 2 9" xfId="9686" xr:uid="{6DA32D20-48BD-47BA-8537-5D0F952F765B}"/>
    <cellStyle name="Normal 3 5 7 3" xfId="4596" xr:uid="{C2FC9C0D-6F53-46D0-A910-00867987272C}"/>
    <cellStyle name="Normal 3 5 7 3 2" xfId="7659" xr:uid="{01A5595D-C501-4709-BAE4-4029E651E1EE}"/>
    <cellStyle name="Normal 3 5 7 3 2 2" xfId="9028" xr:uid="{049B3391-B280-47AD-B01A-CEFF2697DEAE}"/>
    <cellStyle name="Normal 3 5 7 3 2 2 2" xfId="19080" xr:uid="{371B4003-BCFB-445B-8663-2C72FB51C2B1}"/>
    <cellStyle name="Normal 3 5 7 3 2 3" xfId="16533" xr:uid="{B265E453-02FA-42C8-9CC2-6FB7570F9A92}"/>
    <cellStyle name="Normal 3 5 7 3 2 4" xfId="15105" xr:uid="{8A205154-07C7-46B0-808B-1A477859098F}"/>
    <cellStyle name="Normal 3 5 7 3 3" xfId="7660" xr:uid="{77BE2913-1E64-4830-92C2-5E9A7FA6994A}"/>
    <cellStyle name="Normal 3 5 7 3 3 2" xfId="9476" xr:uid="{45715735-20F0-4BA6-AC34-A5B861CE0C87}"/>
    <cellStyle name="Normal 3 5 7 3 3 2 2" xfId="19528" xr:uid="{44D344CF-9DAF-473A-95BA-C7DEA490E71C}"/>
    <cellStyle name="Normal 3 5 7 3 3 3" xfId="16979" xr:uid="{D4F7DE4E-22EA-47FD-8AD3-28E1AA45AA9F}"/>
    <cellStyle name="Normal 3 5 7 3 3 4" xfId="15689" xr:uid="{3D5E413C-03B4-41B8-9115-E548957AC00A}"/>
    <cellStyle name="Normal 3 5 7 3 4" xfId="7661" xr:uid="{0CF440F0-13C0-4556-BA6B-608CEF5216FD}"/>
    <cellStyle name="Normal 3 5 7 3 4 2" xfId="17580" xr:uid="{931E53C8-2F27-4928-92A2-B7C8F824BF9C}"/>
    <cellStyle name="Normal 3 5 7 3 4 3" xfId="14622" xr:uid="{B08B1A82-0424-4CF9-AF95-602CA03CD60E}"/>
    <cellStyle name="Normal 3 5 7 3 5" xfId="7662" xr:uid="{D2B8FD77-7D4C-447F-8CC3-97AE6B16EC86}"/>
    <cellStyle name="Normal 3 5 7 3 5 2" xfId="18191" xr:uid="{D1C96558-0126-492A-A642-05273EF8FAC6}"/>
    <cellStyle name="Normal 3 5 7 3 5 3" xfId="14274" xr:uid="{7B256AF1-6257-4B4A-A3F7-0795470D44D5}"/>
    <cellStyle name="Normal 3 5 7 3 6" xfId="8600" xr:uid="{BA2E9E88-1FA5-4670-90F0-4D0980462892}"/>
    <cellStyle name="Normal 3 5 7 3 6 2" xfId="18652" xr:uid="{557A9C15-E07C-4748-8A9B-492CA64591B3}"/>
    <cellStyle name="Normal 3 5 7 3 7" xfId="10066" xr:uid="{B6AEB08B-64D2-49F3-ACB5-BE7DF4234E5B}"/>
    <cellStyle name="Normal 3 5 7 3 8" xfId="10709" xr:uid="{E42AA88B-E69D-4BCB-81D7-C2D6C1E0C794}"/>
    <cellStyle name="Normal 3 5 7 3 9" xfId="15898" xr:uid="{8FB9010A-41C7-476F-93CA-A3D92076DA7A}"/>
    <cellStyle name="Normal 3 5 7 4" xfId="4597" xr:uid="{7758DF36-30CF-4181-A7AF-75AE63D035A9}"/>
    <cellStyle name="Normal 3 5 7 4 2" xfId="7663" xr:uid="{3BA622F4-18F2-4DCD-8B98-33146EBDD52F}"/>
    <cellStyle name="Normal 3 5 7 4 2 2" xfId="9029" xr:uid="{E01A8922-EAB3-4CC7-9E2E-BF74177CC7E1}"/>
    <cellStyle name="Normal 3 5 7 4 2 2 2" xfId="19081" xr:uid="{326E6F19-E926-47E1-BD18-78671BB50423}"/>
    <cellStyle name="Normal 3 5 7 4 2 3" xfId="16534" xr:uid="{EE9FAD90-CC6B-4065-838F-4BD8884D5026}"/>
    <cellStyle name="Normal 3 5 7 4 2 4" xfId="15104" xr:uid="{757B413A-8D5F-4392-B66A-2663EBDE1F20}"/>
    <cellStyle name="Normal 3 5 7 4 3" xfId="7664" xr:uid="{1A6D7AF1-418E-4B7A-BCA4-1D7142F5A287}"/>
    <cellStyle name="Normal 3 5 7 4 3 2" xfId="9477" xr:uid="{266159B0-6A55-47FE-9D06-49599545BA1A}"/>
    <cellStyle name="Normal 3 5 7 4 3 2 2" xfId="19529" xr:uid="{1240CA78-228D-4DB3-AF05-A700F54A1171}"/>
    <cellStyle name="Normal 3 5 7 4 3 3" xfId="16980" xr:uid="{12D08AD9-0161-4D05-8543-A0A9C98273F0}"/>
    <cellStyle name="Normal 3 5 7 4 3 4" xfId="15688" xr:uid="{1AE5824B-6AD9-4EC3-84F9-1EE496375C22}"/>
    <cellStyle name="Normal 3 5 7 4 4" xfId="7665" xr:uid="{609F8E4C-B917-4B7F-8802-7929D4EB917E}"/>
    <cellStyle name="Normal 3 5 7 4 4 2" xfId="17581" xr:uid="{1C4BF958-24D1-4BAF-ACDF-39DC600CDF24}"/>
    <cellStyle name="Normal 3 5 7 4 4 3" xfId="14621" xr:uid="{866D2D26-F1AC-47D7-A111-1F0B45C202EB}"/>
    <cellStyle name="Normal 3 5 7 4 5" xfId="7666" xr:uid="{6BF3B8B9-4A96-41EB-B1D3-E7964CF108CA}"/>
    <cellStyle name="Normal 3 5 7 4 5 2" xfId="18192" xr:uid="{00BEF37E-2040-4104-888A-C48457827818}"/>
    <cellStyle name="Normal 3 5 7 4 5 3" xfId="14273" xr:uid="{D4CDFDAA-D1F9-474F-8B61-B6D647661843}"/>
    <cellStyle name="Normal 3 5 7 4 6" xfId="8601" xr:uid="{977297FD-D538-421A-B1A9-83C287F8BFFF}"/>
    <cellStyle name="Normal 3 5 7 4 6 2" xfId="18653" xr:uid="{137A0AA2-3AA6-430D-96E7-8E4E30F62D8A}"/>
    <cellStyle name="Normal 3 5 7 4 7" xfId="10067" xr:uid="{44B66137-7C6D-4999-B32D-6A08CC5EC98E}"/>
    <cellStyle name="Normal 3 5 7 4 8" xfId="10710" xr:uid="{0780D1CF-6A06-4987-988B-6D9080100E8F}"/>
    <cellStyle name="Normal 3 5 7 4 9" xfId="15897" xr:uid="{8BF01679-060E-443C-822C-90CEF9931A21}"/>
    <cellStyle name="Normal 3 5 7 5" xfId="7667" xr:uid="{7EC12636-59FA-4C4F-95FF-B2F8D9262D6B}"/>
    <cellStyle name="Normal 3 5 7 5 2" xfId="7668" xr:uid="{CE64E086-1ADF-4D9A-AFA4-BD8CEA6D212D}"/>
    <cellStyle name="Normal 3 5 7 5 2 2" xfId="17341" xr:uid="{884FF216-5DC2-4603-9C3E-C3FD42FB6ACE}"/>
    <cellStyle name="Normal 3 5 7 5 3" xfId="7669" xr:uid="{68992B3E-7CFC-42AA-ADF2-022E8A0498B1}"/>
    <cellStyle name="Normal 3 5 7 5 3 2" xfId="17955" xr:uid="{5C5A7115-71B0-480C-93C0-1C5AEE77AE34}"/>
    <cellStyle name="Normal 3 5 7 5 4" xfId="8784" xr:uid="{D5FE9479-82E9-455E-8CD4-6BCCB5CF612A}"/>
    <cellStyle name="Normal 3 5 7 5 4 2" xfId="18836" xr:uid="{DC6E4A27-2E5F-418A-B5D8-77C7C49378B9}"/>
    <cellStyle name="Normal 3 5 7 5 5" xfId="9831" xr:uid="{FCD671BB-B52F-4B55-AFEB-3311A0DC534E}"/>
    <cellStyle name="Normal 3 5 7 5 6" xfId="10711" xr:uid="{FB6E457E-4501-450E-81D0-B4E481CDB90D}"/>
    <cellStyle name="Normal 3 5 7 5 7" xfId="15324" xr:uid="{A52F2FF6-0C2B-4F13-9E2C-ACE61F4BD667}"/>
    <cellStyle name="Normal 3 5 7 6" xfId="7670" xr:uid="{1013B395-286A-4C63-A059-65769DBC13D7}"/>
    <cellStyle name="Normal 3 5 7 6 2" xfId="9232" xr:uid="{9C3E573F-70A7-4BD9-BEFB-44CB01F212B4}"/>
    <cellStyle name="Normal 3 5 7 6 2 2" xfId="19284" xr:uid="{7C0187A4-8AA6-4A24-A4B9-2F9A0973BBF1}"/>
    <cellStyle name="Normal 3 5 7 6 3" xfId="16735" xr:uid="{795E4CD3-76C0-4242-A1B1-E7E8B410FC8F}"/>
    <cellStyle name="Normal 3 5 7 6 4" xfId="14930" xr:uid="{31456E93-580D-44A8-9597-EB488DE334D0}"/>
    <cellStyle name="Normal 3 5 7 7" xfId="7671" xr:uid="{F4F54D13-66A3-405B-9CF7-D295A1BD5F04}"/>
    <cellStyle name="Normal 3 5 7 7 2" xfId="17194" xr:uid="{D0EBEC76-01D0-4521-813C-C9BBCD779D66}"/>
    <cellStyle name="Normal 3 5 7 7 3" xfId="15525" xr:uid="{9F2B36A4-F21D-442B-B180-AE915FCF524B}"/>
    <cellStyle name="Normal 3 5 7 8" xfId="7672" xr:uid="{D8F44E38-7D87-4B03-83C2-8E007F8D3104}"/>
    <cellStyle name="Normal 3 5 7 8 2" xfId="17804" xr:uid="{7ED20629-32A6-4A56-90A6-8FA67755ACAD}"/>
    <cellStyle name="Normal 3 5 7 8 3" xfId="14095" xr:uid="{14878AD9-B5D6-45C8-84AF-06F970ED738D}"/>
    <cellStyle name="Normal 3 5 7 9" xfId="8356" xr:uid="{1950FAF7-F1E8-431D-8A7E-69ECD6DF375A}"/>
    <cellStyle name="Normal 3 5 7 9 2" xfId="18408" xr:uid="{6B0AF935-563B-4054-9DDA-2EB4099F2458}"/>
    <cellStyle name="Normal 3 5 8" xfId="2870" xr:uid="{623B82AB-7FD4-4D54-95D2-E9298F453CD7}"/>
    <cellStyle name="Normal 3 5 8 10" xfId="9687" xr:uid="{E3338679-F5F1-44DD-B6D0-8F3BB55319D2}"/>
    <cellStyle name="Normal 3 5 8 11" xfId="10341" xr:uid="{5259F1AD-4048-4029-A7CA-AF18870C4121}"/>
    <cellStyle name="Normal 3 5 8 12" xfId="12492" xr:uid="{0776AF18-60AE-429A-9FC2-02C420D08531}"/>
    <cellStyle name="Normal 3 5 8 12 2" xfId="15433" xr:uid="{4F9041FB-6D4D-41C7-8C23-9FD184D4C0A6}"/>
    <cellStyle name="Normal 3 5 8 12 3" xfId="20696" xr:uid="{2237F386-5ACD-4DBE-AABA-9DD6FF9464AA}"/>
    <cellStyle name="Normal 3 5 8 2" xfId="2871" xr:uid="{C0E3641D-E78C-42A4-8360-91BC2369B2CD}"/>
    <cellStyle name="Normal 3 5 8 2 10" xfId="10342" xr:uid="{84ECC3F0-B8B1-47B8-840C-8003F23B0FED}"/>
    <cellStyle name="Normal 3 5 8 2 11" xfId="16099" xr:uid="{0DF7B419-715B-42C8-8430-24ECEE0A4121}"/>
    <cellStyle name="Normal 3 5 8 2 2" xfId="4598" xr:uid="{9F68C326-2D16-4EDD-9176-FA7B2EA2F8BD}"/>
    <cellStyle name="Normal 3 5 8 2 2 2" xfId="7673" xr:uid="{9AD97B1A-E94B-4C7B-B3AA-60D637B4A65E}"/>
    <cellStyle name="Normal 3 5 8 2 2 2 2" xfId="9030" xr:uid="{A3FF743E-EE62-4D25-BB41-69B7EEDCE941}"/>
    <cellStyle name="Normal 3 5 8 2 2 2 2 2" xfId="19082" xr:uid="{FC696A83-698F-40B9-B249-E81BFCC99D64}"/>
    <cellStyle name="Normal 3 5 8 2 2 2 3" xfId="16535" xr:uid="{982456D5-7DEF-493E-94D8-95B0842C9480}"/>
    <cellStyle name="Normal 3 5 8 2 2 2 4" xfId="15103" xr:uid="{10F52540-E6E5-495D-951D-AA798132458B}"/>
    <cellStyle name="Normal 3 5 8 2 2 3" xfId="7674" xr:uid="{D0564CA7-6D54-4909-9D3A-D7FEB9AA00DC}"/>
    <cellStyle name="Normal 3 5 8 2 2 3 2" xfId="9478" xr:uid="{D90DD376-F113-46A4-910D-6C2A1E39DEDE}"/>
    <cellStyle name="Normal 3 5 8 2 2 3 2 2" xfId="19530" xr:uid="{E57F132C-C25B-4847-B1AD-363CB06EC7ED}"/>
    <cellStyle name="Normal 3 5 8 2 2 3 3" xfId="16981" xr:uid="{BD665F12-12F2-45C6-873D-086C2C339D07}"/>
    <cellStyle name="Normal 3 5 8 2 2 3 4" xfId="15687" xr:uid="{068F496F-B75D-4649-BD81-66C055755E03}"/>
    <cellStyle name="Normal 3 5 8 2 2 4" xfId="7675" xr:uid="{36C7ACF6-68D2-4EAE-B21A-12EA5134B5FB}"/>
    <cellStyle name="Normal 3 5 8 2 2 4 2" xfId="17582" xr:uid="{18620D55-C692-48BF-A610-B9F6DAE3409F}"/>
    <cellStyle name="Normal 3 5 8 2 2 4 3" xfId="14620" xr:uid="{B60712F0-F20A-4849-8718-6766804DAEE2}"/>
    <cellStyle name="Normal 3 5 8 2 2 5" xfId="7676" xr:uid="{7B00B2A1-1D66-465F-B098-329F78367EF1}"/>
    <cellStyle name="Normal 3 5 8 2 2 5 2" xfId="18193" xr:uid="{91B05C47-3336-48DB-ABE1-0C785EC91F8D}"/>
    <cellStyle name="Normal 3 5 8 2 2 5 3" xfId="14272" xr:uid="{5BC8F4A2-994E-425C-B87C-A1323ACB91C9}"/>
    <cellStyle name="Normal 3 5 8 2 2 6" xfId="8602" xr:uid="{A5CFA89D-6A30-4657-9680-58C3F976D734}"/>
    <cellStyle name="Normal 3 5 8 2 2 6 2" xfId="18654" xr:uid="{2778F1A2-788E-4533-9EA6-9D90490B25EE}"/>
    <cellStyle name="Normal 3 5 8 2 2 7" xfId="10068" xr:uid="{60C0B587-2AF8-4CA0-80FC-91963D6F1101}"/>
    <cellStyle name="Normal 3 5 8 2 2 8" xfId="10712" xr:uid="{1A918666-3BD2-4A5E-AF24-A5D6DF8B1CB7}"/>
    <cellStyle name="Normal 3 5 8 2 2 9" xfId="15896" xr:uid="{AB2F3E30-E23C-4BC3-BE50-3F3BADB9CC9D}"/>
    <cellStyle name="Normal 3 5 8 2 3" xfId="4599" xr:uid="{38297C74-6B78-40E1-BD86-D0D0340C87F7}"/>
    <cellStyle name="Normal 3 5 8 2 3 2" xfId="7677" xr:uid="{59F4CCD5-D493-4B8F-9957-484CA7266DF9}"/>
    <cellStyle name="Normal 3 5 8 2 3 2 2" xfId="9031" xr:uid="{1AA4EAAB-72F0-4F22-8FE4-4162763679D5}"/>
    <cellStyle name="Normal 3 5 8 2 3 2 2 2" xfId="19083" xr:uid="{6763C34D-1C37-4EBE-9E24-6095118E1F14}"/>
    <cellStyle name="Normal 3 5 8 2 3 2 3" xfId="16536" xr:uid="{A3E6BE49-BA27-4BAA-BEB2-A9F478959F32}"/>
    <cellStyle name="Normal 3 5 8 2 3 2 4" xfId="15102" xr:uid="{F3AC3100-95D0-4A2B-A7DE-E7505CDE0628}"/>
    <cellStyle name="Normal 3 5 8 2 3 3" xfId="7678" xr:uid="{5576ED5E-E5C3-410D-A142-4F894A5D06C9}"/>
    <cellStyle name="Normal 3 5 8 2 3 3 2" xfId="9479" xr:uid="{2A969B20-24AE-4996-8295-A1A91C5E0556}"/>
    <cellStyle name="Normal 3 5 8 2 3 3 2 2" xfId="19531" xr:uid="{1232B5FD-D7D2-4E63-8D8D-66D958656726}"/>
    <cellStyle name="Normal 3 5 8 2 3 3 3" xfId="16982" xr:uid="{42A51C19-1DE4-4494-8E12-21655553C8A0}"/>
    <cellStyle name="Normal 3 5 8 2 3 3 4" xfId="15686" xr:uid="{389F539F-10E7-42E0-AFCE-FC91C9718334}"/>
    <cellStyle name="Normal 3 5 8 2 3 4" xfId="7679" xr:uid="{A32040C8-7DF0-4478-AA42-9FF80A59E6E3}"/>
    <cellStyle name="Normal 3 5 8 2 3 4 2" xfId="17583" xr:uid="{15232D2D-CB09-42D5-976E-EAE70AE143B9}"/>
    <cellStyle name="Normal 3 5 8 2 3 4 3" xfId="14619" xr:uid="{72B0EEEF-EAE5-4C7F-8C54-8AE142A00ED1}"/>
    <cellStyle name="Normal 3 5 8 2 3 5" xfId="7680" xr:uid="{CC278DDB-6138-45EA-95AB-A34370532DF5}"/>
    <cellStyle name="Normal 3 5 8 2 3 5 2" xfId="18194" xr:uid="{EE3C9D79-F376-44C3-9C42-9B1447B428F6}"/>
    <cellStyle name="Normal 3 5 8 2 3 5 3" xfId="14271" xr:uid="{00058F23-55C7-4DD4-97AB-26E447C95560}"/>
    <cellStyle name="Normal 3 5 8 2 3 6" xfId="8603" xr:uid="{3ED40496-BB9C-421D-8693-90B2DC5555FD}"/>
    <cellStyle name="Normal 3 5 8 2 3 6 2" xfId="18655" xr:uid="{78562F23-A575-4DD6-B860-C803E3658331}"/>
    <cellStyle name="Normal 3 5 8 2 3 7" xfId="10069" xr:uid="{03C2C134-1174-4EEE-9435-E56299C9D6E7}"/>
    <cellStyle name="Normal 3 5 8 2 3 8" xfId="10713" xr:uid="{48C259EC-1259-4DD5-B51D-274E298879EA}"/>
    <cellStyle name="Normal 3 5 8 2 3 9" xfId="15401" xr:uid="{F9CC46B2-5DFB-4B84-ADC9-96E214022F0B}"/>
    <cellStyle name="Normal 3 5 8 2 4" xfId="7681" xr:uid="{9044508C-6FF9-4D3B-B6CC-95774D933691}"/>
    <cellStyle name="Normal 3 5 8 2 4 2" xfId="7682" xr:uid="{5FAAC88A-DA0C-4C8B-9B78-EB81478B92E0}"/>
    <cellStyle name="Normal 3 5 8 2 4 2 2" xfId="17344" xr:uid="{0A8A7E2A-0FAE-4120-B225-6D9BADC6C2E9}"/>
    <cellStyle name="Normal 3 5 8 2 4 3" xfId="7683" xr:uid="{6BC103F9-81B7-4B51-82A3-C2980A82E9D3}"/>
    <cellStyle name="Normal 3 5 8 2 4 3 2" xfId="17958" xr:uid="{F95D0917-6A91-44ED-B7A5-7A40D3828947}"/>
    <cellStyle name="Normal 3 5 8 2 4 4" xfId="8787" xr:uid="{B1408986-0516-423B-8439-D0029ED99DD7}"/>
    <cellStyle name="Normal 3 5 8 2 4 4 2" xfId="18839" xr:uid="{77F58CC7-ACF9-4756-8895-74C8CCD9F1E4}"/>
    <cellStyle name="Normal 3 5 8 2 4 5" xfId="9834" xr:uid="{9A49D2AB-97BD-4A02-B23B-B60D9701703E}"/>
    <cellStyle name="Normal 3 5 8 2 4 6" xfId="10714" xr:uid="{FC76304F-3B71-4D39-B949-7F9AA81F651D}"/>
    <cellStyle name="Normal 3 5 8 2 4 7" xfId="15321" xr:uid="{B11BFADD-7168-47C0-B0F6-CE5983CB8F06}"/>
    <cellStyle name="Normal 3 5 8 2 5" xfId="7684" xr:uid="{160DB567-1D6F-4B09-A40F-9A5C38909937}"/>
    <cellStyle name="Normal 3 5 8 2 5 2" xfId="9235" xr:uid="{D86D9CD2-5DC6-4C85-885F-370F22F61855}"/>
    <cellStyle name="Normal 3 5 8 2 5 2 2" xfId="19287" xr:uid="{8A3C97F5-1400-4B3C-A8F4-EE72E613A566}"/>
    <cellStyle name="Normal 3 5 8 2 5 3" xfId="16738" xr:uid="{F61DE020-E332-42B7-932D-CDF29B4FFD71}"/>
    <cellStyle name="Normal 3 5 8 2 5 4" xfId="14927" xr:uid="{F591602A-3D94-4C44-8BE5-C0D136824721}"/>
    <cellStyle name="Normal 3 5 8 2 6" xfId="7685" xr:uid="{1DF90DAF-2A20-43FB-BC29-A05FF61FC62C}"/>
    <cellStyle name="Normal 3 5 8 2 6 2" xfId="17197" xr:uid="{8D5C6378-BA6C-469B-94CD-6E7F3B5FD2AD}"/>
    <cellStyle name="Normal 3 5 8 2 6 3" xfId="15523" xr:uid="{52467851-2CB3-4558-910D-B3CF6DAD5012}"/>
    <cellStyle name="Normal 3 5 8 2 7" xfId="7686" xr:uid="{55AB8100-4343-4523-A89E-ED0D4EB9B4BD}"/>
    <cellStyle name="Normal 3 5 8 2 7 2" xfId="17807" xr:uid="{9F0AEF7A-9F46-4282-88DB-D3E0239A18EA}"/>
    <cellStyle name="Normal 3 5 8 2 7 3" xfId="14468" xr:uid="{34DD3F79-7566-42EB-85B1-5D82DE5F95B6}"/>
    <cellStyle name="Normal 3 5 8 2 8" xfId="8359" xr:uid="{E4EA6828-1F33-44C2-A1B9-4BD8A00975D7}"/>
    <cellStyle name="Normal 3 5 8 2 8 2" xfId="18411" xr:uid="{5B17412D-370A-4C15-808E-5164DACF9143}"/>
    <cellStyle name="Normal 3 5 8 2 9" xfId="9688" xr:uid="{541268F0-F5E3-444F-9E2F-342EFE161B71}"/>
    <cellStyle name="Normal 3 5 8 3" xfId="4600" xr:uid="{B8CC409D-B820-4F6A-A254-1A973DC7616F}"/>
    <cellStyle name="Normal 3 5 8 3 2" xfId="7687" xr:uid="{1931AFC2-BDFC-4B51-A828-14F918D91DE1}"/>
    <cellStyle name="Normal 3 5 8 3 2 2" xfId="9032" xr:uid="{CCCFDC3C-01BE-4C16-8189-D59459FEFF24}"/>
    <cellStyle name="Normal 3 5 8 3 2 2 2" xfId="19084" xr:uid="{2DA1899F-5C35-4C85-8BBA-A2FC81A8772A}"/>
    <cellStyle name="Normal 3 5 8 3 2 3" xfId="16537" xr:uid="{798E4F88-6776-4E0D-8DE6-7A9EE57CE3FE}"/>
    <cellStyle name="Normal 3 5 8 3 2 4" xfId="15101" xr:uid="{079C4A1B-85E5-4E7D-9C12-45B4E522260B}"/>
    <cellStyle name="Normal 3 5 8 3 3" xfId="7688" xr:uid="{F39C2672-371B-4365-940A-0E31B150DE34}"/>
    <cellStyle name="Normal 3 5 8 3 3 2" xfId="9480" xr:uid="{10BC4E5D-D43F-4956-B32C-75B0FF4E67E6}"/>
    <cellStyle name="Normal 3 5 8 3 3 2 2" xfId="19532" xr:uid="{2A551368-991A-4769-A98C-A5D8098B327C}"/>
    <cellStyle name="Normal 3 5 8 3 3 3" xfId="16983" xr:uid="{ECCD6556-27FE-49E9-8861-FC9F4EB7FCEE}"/>
    <cellStyle name="Normal 3 5 8 3 3 4" xfId="15685" xr:uid="{82367FDA-7D00-4AEB-9C7B-ACB542BFDE97}"/>
    <cellStyle name="Normal 3 5 8 3 4" xfId="7689" xr:uid="{CFE22F33-F1F0-42D4-B474-E7D53597B0E7}"/>
    <cellStyle name="Normal 3 5 8 3 4 2" xfId="17584" xr:uid="{2DCCA676-5A35-490C-B679-666A8C4418CE}"/>
    <cellStyle name="Normal 3 5 8 3 4 3" xfId="14618" xr:uid="{9BDBB463-A69F-4814-8E6A-72FEBDF725D2}"/>
    <cellStyle name="Normal 3 5 8 3 5" xfId="7690" xr:uid="{274588DA-6394-4A0C-BFD1-0E1C690335F8}"/>
    <cellStyle name="Normal 3 5 8 3 5 2" xfId="18195" xr:uid="{DE0F3D07-00D9-4FC0-B29F-8A49BBE852FC}"/>
    <cellStyle name="Normal 3 5 8 3 5 3" xfId="14270" xr:uid="{0A535F1C-57CE-437C-9E32-DC37FB99CE23}"/>
    <cellStyle name="Normal 3 5 8 3 6" xfId="8604" xr:uid="{CC79ED23-B168-4874-84A1-B7D583409458}"/>
    <cellStyle name="Normal 3 5 8 3 6 2" xfId="18656" xr:uid="{3780D8C6-A03C-416C-AB01-EED2EFB416A6}"/>
    <cellStyle name="Normal 3 5 8 3 7" xfId="10070" xr:uid="{6531B3E2-9F9B-4788-9337-97E270C717A2}"/>
    <cellStyle name="Normal 3 5 8 3 8" xfId="10715" xr:uid="{875B41B5-5518-469C-8108-B56DC18A87A9}"/>
    <cellStyle name="Normal 3 5 8 3 9" xfId="15895" xr:uid="{4CE0980A-684A-43B4-ADC7-3390DF82B023}"/>
    <cellStyle name="Normal 3 5 8 4" xfId="4601" xr:uid="{AD54C2C2-3DEA-4DFF-A028-6EEB4B9D97DB}"/>
    <cellStyle name="Normal 3 5 8 4 2" xfId="7691" xr:uid="{8CCCEF5D-DBFA-49FB-B12B-8C8624C2FD13}"/>
    <cellStyle name="Normal 3 5 8 4 2 2" xfId="9033" xr:uid="{D75603C6-5BA5-4F71-90FC-AE92AE1AC788}"/>
    <cellStyle name="Normal 3 5 8 4 2 2 2" xfId="19085" xr:uid="{7C31409B-D260-446A-BEDD-4DE53476F7D6}"/>
    <cellStyle name="Normal 3 5 8 4 2 3" xfId="16538" xr:uid="{0AA25340-7490-4761-AE66-E18C360CD0AF}"/>
    <cellStyle name="Normal 3 5 8 4 2 4" xfId="15100" xr:uid="{D16513A0-A3D4-45C3-AFAA-FF348BB0C59F}"/>
    <cellStyle name="Normal 3 5 8 4 3" xfId="7692" xr:uid="{45BA6599-E794-42D1-8554-B98EBAC07B69}"/>
    <cellStyle name="Normal 3 5 8 4 3 2" xfId="9481" xr:uid="{64E86E43-D2B2-41F1-A722-B755E9290510}"/>
    <cellStyle name="Normal 3 5 8 4 3 2 2" xfId="19533" xr:uid="{A6090071-7270-4745-8B1B-4B986F749A59}"/>
    <cellStyle name="Normal 3 5 8 4 3 3" xfId="16984" xr:uid="{E0A0FFD9-76FF-4DAA-A047-53738D0AB553}"/>
    <cellStyle name="Normal 3 5 8 4 3 4" xfId="14827" xr:uid="{B280E588-F467-4B13-9F7C-7B61DC8F75FF}"/>
    <cellStyle name="Normal 3 5 8 4 4" xfId="7693" xr:uid="{FAA4CBD8-0519-4A82-A35F-4A56AA712331}"/>
    <cellStyle name="Normal 3 5 8 4 4 2" xfId="17585" xr:uid="{4857F67E-9975-424C-BC92-F6EED1FB9244}"/>
    <cellStyle name="Normal 3 5 8 4 4 3" xfId="14617" xr:uid="{31A3209A-83F4-472D-AA35-F7254C2556F2}"/>
    <cellStyle name="Normal 3 5 8 4 5" xfId="7694" xr:uid="{4522919B-9308-4FC3-83BA-B36CDA8C31EA}"/>
    <cellStyle name="Normal 3 5 8 4 5 2" xfId="18196" xr:uid="{AE968106-32C2-4892-A3F0-63B125B75411}"/>
    <cellStyle name="Normal 3 5 8 4 5 3" xfId="14059" xr:uid="{6762830E-B11D-48ED-8CA2-B62F55E1007A}"/>
    <cellStyle name="Normal 3 5 8 4 6" xfId="8605" xr:uid="{25251B44-73AC-48FC-806C-FE58496852D4}"/>
    <cellStyle name="Normal 3 5 8 4 6 2" xfId="18657" xr:uid="{A5D9043E-6D1B-4612-A574-C99945BA4F9E}"/>
    <cellStyle name="Normal 3 5 8 4 7" xfId="10071" xr:uid="{C8F008A8-2D44-446F-8E0A-5A077A2ECB1A}"/>
    <cellStyle name="Normal 3 5 8 4 8" xfId="10716" xr:uid="{272F31EC-0152-4BDE-85CC-7EBFEE98EF02}"/>
    <cellStyle name="Normal 3 5 8 4 9" xfId="15894" xr:uid="{2DC2A9DC-4A70-4576-812C-C59C599BE46B}"/>
    <cellStyle name="Normal 3 5 8 5" xfId="7695" xr:uid="{BB1E2879-2B6B-4FC1-8A94-A6B0B70BB757}"/>
    <cellStyle name="Normal 3 5 8 5 2" xfId="7696" xr:uid="{26EC3176-BBEB-4C6C-9023-130DC0646EAC}"/>
    <cellStyle name="Normal 3 5 8 5 2 2" xfId="17343" xr:uid="{46C3D1C3-EB6E-4FC6-9ACB-D69C90B195FB}"/>
    <cellStyle name="Normal 3 5 8 5 3" xfId="7697" xr:uid="{F7AA479A-6AC5-4903-BFF4-BE7D3F74815B}"/>
    <cellStyle name="Normal 3 5 8 5 3 2" xfId="17957" xr:uid="{F235AEB3-8343-43BB-AFF6-F36EF060638C}"/>
    <cellStyle name="Normal 3 5 8 5 4" xfId="8786" xr:uid="{8E54C34C-51F1-4A1D-944D-7E9F3EAD6EF6}"/>
    <cellStyle name="Normal 3 5 8 5 4 2" xfId="18838" xr:uid="{2B127043-5A5B-4633-B417-0DED047511F1}"/>
    <cellStyle name="Normal 3 5 8 5 5" xfId="9833" xr:uid="{87DEDBB4-713B-49D3-88E4-C1D5B6A5C467}"/>
    <cellStyle name="Normal 3 5 8 5 6" xfId="10717" xr:uid="{21B14DB7-D2C5-40CC-9772-849DFE71A4DA}"/>
    <cellStyle name="Normal 3 5 8 5 7" xfId="15322" xr:uid="{CDE7492D-A52A-453F-A862-7C99045CA2A0}"/>
    <cellStyle name="Normal 3 5 8 6" xfId="7698" xr:uid="{30B90AD4-5CFB-4E70-AA6D-B5BAE6B4E882}"/>
    <cellStyle name="Normal 3 5 8 6 2" xfId="9234" xr:uid="{EDC10B6E-9DAF-4322-835C-F642F255B912}"/>
    <cellStyle name="Normal 3 5 8 6 2 2" xfId="19286" xr:uid="{647CB976-162E-41D5-94D7-70BAD4F8E68F}"/>
    <cellStyle name="Normal 3 5 8 6 3" xfId="16737" xr:uid="{CD966CA2-5328-4994-80C9-0B80FF9DD93D}"/>
    <cellStyle name="Normal 3 5 8 6 4" xfId="14928" xr:uid="{D956AFF2-B1C8-4D3C-8530-20934D4B56D9}"/>
    <cellStyle name="Normal 3 5 8 7" xfId="7699" xr:uid="{D0171145-D360-410D-A74C-9A113967F573}"/>
    <cellStyle name="Normal 3 5 8 7 2" xfId="17196" xr:uid="{F349065B-F213-40A3-A2C9-77FD41F266D6}"/>
    <cellStyle name="Normal 3 5 8 7 3" xfId="14802" xr:uid="{14CA0A3A-CFD0-4077-9E0B-06364ED582D6}"/>
    <cellStyle name="Normal 3 5 8 8" xfId="7700" xr:uid="{831D9638-E47F-447B-9A40-3278D093BB41}"/>
    <cellStyle name="Normal 3 5 8 8 2" xfId="17806" xr:uid="{BD2562EE-5BB0-43A8-A9B2-CCFE2D253DDF}"/>
    <cellStyle name="Normal 3 5 8 8 3" xfId="14469" xr:uid="{B46E536E-3C35-4561-A81D-B305A2F69F69}"/>
    <cellStyle name="Normal 3 5 8 9" xfId="8358" xr:uid="{DE3ACEC3-34CD-41B6-AEAA-87F675D3434A}"/>
    <cellStyle name="Normal 3 5 8 9 2" xfId="18410" xr:uid="{C5281615-D3AF-4602-9775-703EA6427147}"/>
    <cellStyle name="Normal 3 5 9" xfId="2872" xr:uid="{48EE1835-05F3-48B5-8635-D1AC4208C39B}"/>
    <cellStyle name="Normal 3 5 9 10" xfId="10343" xr:uid="{7B91EC07-D8C3-4CCF-88BF-E5AA724D2E6E}"/>
    <cellStyle name="Normal 3 5 9 11" xfId="12320" xr:uid="{151B5430-8435-4930-9977-3B419B80A74F}"/>
    <cellStyle name="Normal 3 5 9 11 2" xfId="16098" xr:uid="{1811132E-2768-4D02-A8ED-52031FA6F3AA}"/>
    <cellStyle name="Normal 3 5 9 11 3" xfId="20674" xr:uid="{568F066A-5CB2-447B-8F89-19E4A642FE51}"/>
    <cellStyle name="Normal 3 5 9 2" xfId="4602" xr:uid="{1B69EC8A-38F0-43C6-A9C4-E7EA7E1C7EFD}"/>
    <cellStyle name="Normal 3 5 9 2 2" xfId="7701" xr:uid="{E8B6329F-9505-4ED2-A85B-BF9AA32D956F}"/>
    <cellStyle name="Normal 3 5 9 2 2 2" xfId="9034" xr:uid="{7437F917-F22D-4EC1-B65B-476D210E870B}"/>
    <cellStyle name="Normal 3 5 9 2 2 2 2" xfId="19086" xr:uid="{FF4EBD93-E1D9-4F26-8253-31FB835227D2}"/>
    <cellStyle name="Normal 3 5 9 2 2 3" xfId="16539" xr:uid="{2E14A46C-54F7-417E-8D1A-EF91D3C0766A}"/>
    <cellStyle name="Normal 3 5 9 2 2 4" xfId="14147" xr:uid="{0B6EEE31-9938-4440-8D21-D5B31ED2D7C0}"/>
    <cellStyle name="Normal 3 5 9 2 3" xfId="7702" xr:uid="{E7CCD0A1-B1EA-445C-A3DB-9F0A36927590}"/>
    <cellStyle name="Normal 3 5 9 2 3 2" xfId="9482" xr:uid="{63C100A9-833F-4F19-8F36-09CBB29A03DE}"/>
    <cellStyle name="Normal 3 5 9 2 3 2 2" xfId="19534" xr:uid="{83878133-94F4-4DBF-92C0-70D1363788C0}"/>
    <cellStyle name="Normal 3 5 9 2 3 3" xfId="16985" xr:uid="{212A669A-43DE-429C-A69E-21B67CE6FA20}"/>
    <cellStyle name="Normal 3 5 9 2 3 4" xfId="15684" xr:uid="{0D02474D-F359-4A8C-80CF-355EB4A90966}"/>
    <cellStyle name="Normal 3 5 9 2 4" xfId="7703" xr:uid="{33022555-FBE1-4563-9889-F06D05B0F56A}"/>
    <cellStyle name="Normal 3 5 9 2 4 2" xfId="17586" xr:uid="{732F084A-6A03-4117-86E8-97DD8825EFEB}"/>
    <cellStyle name="Normal 3 5 9 2 4 3" xfId="14616" xr:uid="{5489F91F-02D6-47ED-AC37-2FD6A5EB5E83}"/>
    <cellStyle name="Normal 3 5 9 2 5" xfId="7704" xr:uid="{A7D06059-33FC-4DDD-87D4-92569F8BEB02}"/>
    <cellStyle name="Normal 3 5 9 2 5 2" xfId="18197" xr:uid="{901CF323-1B90-4DC2-8DA3-C0C031949C71}"/>
    <cellStyle name="Normal 3 5 9 2 5 3" xfId="14058" xr:uid="{C589BF26-2C53-476E-B16D-972D47B7B3D3}"/>
    <cellStyle name="Normal 3 5 9 2 6" xfId="8606" xr:uid="{42F649A4-710A-4901-82E4-1856CBEA35D3}"/>
    <cellStyle name="Normal 3 5 9 2 6 2" xfId="18658" xr:uid="{2584BD86-730B-4D5B-B1FF-354BE7ADC652}"/>
    <cellStyle name="Normal 3 5 9 2 7" xfId="10072" xr:uid="{47371DC0-81B5-4229-9226-D93833D6D573}"/>
    <cellStyle name="Normal 3 5 9 2 8" xfId="10718" xr:uid="{22ACC025-7650-4AC9-B9AC-E2EE35395B8A}"/>
    <cellStyle name="Normal 3 5 9 2 9" xfId="15893" xr:uid="{6DD128F2-EC76-4FD9-9403-306636EC1297}"/>
    <cellStyle name="Normal 3 5 9 3" xfId="4603" xr:uid="{8990B222-12B3-4525-9C02-B99209869405}"/>
    <cellStyle name="Normal 3 5 9 3 2" xfId="7705" xr:uid="{9A4368AE-CA4C-451F-B63A-E6D44B83CEE2}"/>
    <cellStyle name="Normal 3 5 9 3 2 2" xfId="9035" xr:uid="{8A94989E-9894-4D9E-9ADB-C6288AF1652A}"/>
    <cellStyle name="Normal 3 5 9 3 2 2 2" xfId="19087" xr:uid="{1291A1C2-0116-4539-B7B3-E1DED1DFB60A}"/>
    <cellStyle name="Normal 3 5 9 3 2 3" xfId="16540" xr:uid="{2865D4E8-EB62-4C9A-BAD0-5C42BD2EFF1E}"/>
    <cellStyle name="Normal 3 5 9 3 2 4" xfId="15099" xr:uid="{AAF9CAAF-DCFF-4B62-BED9-8112F9EE8368}"/>
    <cellStyle name="Normal 3 5 9 3 3" xfId="7706" xr:uid="{2FBF1132-8EFB-4175-8602-CBA1835F690C}"/>
    <cellStyle name="Normal 3 5 9 3 3 2" xfId="9483" xr:uid="{9944F4D9-3F30-4CB7-9F84-5F77065E3A95}"/>
    <cellStyle name="Normal 3 5 9 3 3 2 2" xfId="19535" xr:uid="{C812092D-C783-4CAF-8B12-A7C86B82E152}"/>
    <cellStyle name="Normal 3 5 9 3 3 3" xfId="16986" xr:uid="{B5A39FD6-90CE-454D-94A2-5F2B7B8D92C8}"/>
    <cellStyle name="Normal 3 5 9 3 3 4" xfId="15683" xr:uid="{7A68BB41-DD6D-4046-9906-DF36B4F6EE1B}"/>
    <cellStyle name="Normal 3 5 9 3 4" xfId="7707" xr:uid="{96DB7A1A-37BB-4724-9FE0-0218F892893D}"/>
    <cellStyle name="Normal 3 5 9 3 4 2" xfId="17587" xr:uid="{D9BFAE18-0CEB-447B-B430-032B643B1D1B}"/>
    <cellStyle name="Normal 3 5 9 3 4 3" xfId="14615" xr:uid="{9DA0FCE8-EF92-4F32-9B9F-F73E34D2BB5C}"/>
    <cellStyle name="Normal 3 5 9 3 5" xfId="7708" xr:uid="{7D21DF1F-75FC-45AF-80E6-29EC5C83B7B7}"/>
    <cellStyle name="Normal 3 5 9 3 5 2" xfId="18198" xr:uid="{D1DA276D-FA56-48D3-8BB1-22C39431F9FE}"/>
    <cellStyle name="Normal 3 5 9 3 5 3" xfId="14269" xr:uid="{6C19B375-C9F5-4B3E-92B3-A09EA435F354}"/>
    <cellStyle name="Normal 3 5 9 3 6" xfId="8607" xr:uid="{AEB63453-5255-4CC3-A590-24006F74DE74}"/>
    <cellStyle name="Normal 3 5 9 3 6 2" xfId="18659" xr:uid="{EA6D5A7B-3949-40C2-92CE-2A4C14184CF5}"/>
    <cellStyle name="Normal 3 5 9 3 7" xfId="10073" xr:uid="{78F470D4-6ABE-460B-B630-8440A1E92721}"/>
    <cellStyle name="Normal 3 5 9 3 8" xfId="10719" xr:uid="{E20BC607-38F9-4DC9-AF11-6BF86E9CDD42}"/>
    <cellStyle name="Normal 3 5 9 3 9" xfId="15892" xr:uid="{ADD6BA23-7BF6-410A-8B61-B8375C80AE5F}"/>
    <cellStyle name="Normal 3 5 9 4" xfId="7709" xr:uid="{55C25A08-A5CF-48BD-9358-2969FF3FA043}"/>
    <cellStyle name="Normal 3 5 9 4 2" xfId="7710" xr:uid="{2B28C820-D7BA-41A5-84E6-27D7EA475BBA}"/>
    <cellStyle name="Normal 3 5 9 4 2 2" xfId="17345" xr:uid="{6C3F1F09-D069-44BE-B6AB-3129A9379B5C}"/>
    <cellStyle name="Normal 3 5 9 4 3" xfId="7711" xr:uid="{0CB655C7-0B46-4814-9EEC-82B1D24ABBD1}"/>
    <cellStyle name="Normal 3 5 9 4 3 2" xfId="17959" xr:uid="{49A71937-8CCA-49BF-8672-756251EEEE59}"/>
    <cellStyle name="Normal 3 5 9 4 4" xfId="8788" xr:uid="{657B76CD-D5DE-4100-98A3-0A4D0060D29D}"/>
    <cellStyle name="Normal 3 5 9 4 4 2" xfId="18840" xr:uid="{7AA1A8C3-22EE-4E89-9E0A-C28D420C31DB}"/>
    <cellStyle name="Normal 3 5 9 4 5" xfId="9835" xr:uid="{A8F42573-7189-47AD-8E5A-5890F7D46C66}"/>
    <cellStyle name="Normal 3 5 9 4 6" xfId="10720" xr:uid="{03057B69-734C-417B-919B-72D66E0E4284}"/>
    <cellStyle name="Normal 3 5 9 4 7" xfId="15320" xr:uid="{94A99681-8902-4CEA-94CD-B1B6C72E572B}"/>
    <cellStyle name="Normal 3 5 9 5" xfId="7712" xr:uid="{F259B761-A433-40B9-AF99-E9732CD4B81E}"/>
    <cellStyle name="Normal 3 5 9 5 2" xfId="9236" xr:uid="{48C0466F-7A61-4120-886B-AB83E2B8D288}"/>
    <cellStyle name="Normal 3 5 9 5 2 2" xfId="19288" xr:uid="{A0973D8D-0DD3-4870-A84F-6BF2AC50F100}"/>
    <cellStyle name="Normal 3 5 9 5 3" xfId="16739" xr:uid="{3FBE8406-797B-43DB-AA8B-046CDE7B7BB6}"/>
    <cellStyle name="Normal 3 5 9 5 4" xfId="14926" xr:uid="{91E36946-D6CD-480B-B25B-FDB4C28A043A}"/>
    <cellStyle name="Normal 3 5 9 6" xfId="7713" xr:uid="{1A56C2BF-2FED-4F5E-B915-4924CF5230E5}"/>
    <cellStyle name="Normal 3 5 9 6 2" xfId="17198" xr:uid="{D1D95768-15A3-47FD-BFB1-56CE1CB2B4A9}"/>
    <cellStyle name="Normal 3 5 9 6 3" xfId="15522" xr:uid="{B13AB170-34A3-498D-B685-2655BA9826CC}"/>
    <cellStyle name="Normal 3 5 9 7" xfId="7714" xr:uid="{F93D9D4D-0509-4FFA-8AE8-6DE7BFD03C4C}"/>
    <cellStyle name="Normal 3 5 9 7 2" xfId="17808" xr:uid="{92DE88E7-A8F0-490D-8D5E-5B596E93FB3D}"/>
    <cellStyle name="Normal 3 5 9 7 3" xfId="14467" xr:uid="{E2A3D760-40DE-46E2-BC43-3C91FE6977C5}"/>
    <cellStyle name="Normal 3 5 9 8" xfId="8360" xr:uid="{D10BD378-A544-4B5A-AE9F-CDD43D9C753F}"/>
    <cellStyle name="Normal 3 5 9 8 2" xfId="18412" xr:uid="{923A92C3-38D8-42B4-971D-62CA77154407}"/>
    <cellStyle name="Normal 3 5 9 9" xfId="9689" xr:uid="{5939DBB9-F644-4131-AF08-33277FB5D2A9}"/>
    <cellStyle name="Normal 3 50" xfId="11901" xr:uid="{71D09778-DEC9-423D-BABA-2F2336213035}"/>
    <cellStyle name="Normal 3 51" xfId="11651" xr:uid="{717DAC92-5E41-4484-8D00-D3909F294D8D}"/>
    <cellStyle name="Normal 3 52" xfId="13369" xr:uid="{C8CC3B29-C0C7-4269-B09E-59060EE092A9}"/>
    <cellStyle name="Normal 3 53" xfId="10926" xr:uid="{7AC7AC0A-0A84-47AB-8557-91E96FA23C0D}"/>
    <cellStyle name="Normal 3 54" xfId="13545" xr:uid="{9455604D-0C1E-4F8D-8A5A-2EB49B859952}"/>
    <cellStyle name="Normal 3 55" xfId="12526" xr:uid="{51A457DF-BDD1-4768-BA92-7AFCF62D10A5}"/>
    <cellStyle name="Normal 3 56" xfId="11912" xr:uid="{08C411E4-0ACA-48F8-A638-3309D9D710CE}"/>
    <cellStyle name="Normal 3 57" xfId="11966" xr:uid="{BB34FD6A-BBF1-44E5-B12F-286BE45C4CE8}"/>
    <cellStyle name="Normal 3 58" xfId="12615" xr:uid="{2ACAD935-E6E9-4267-BBFF-C23F2916B55E}"/>
    <cellStyle name="Normal 3 59" xfId="12733" xr:uid="{FEB406BE-BC35-441C-A53F-7C560DCE60A3}"/>
    <cellStyle name="Normal 3 6" xfId="2873" xr:uid="{C43EAB79-EC94-45D0-9307-62507547B49B}"/>
    <cellStyle name="Normal 3 6 10" xfId="4604" xr:uid="{9398C2E4-060C-4017-8A9F-95DF5BD00630}"/>
    <cellStyle name="Normal 3 6 10 2" xfId="7715" xr:uid="{3D38FD2C-8DC9-46B1-88FA-AAA74B40E3F6}"/>
    <cellStyle name="Normal 3 6 10 2 2" xfId="9036" xr:uid="{75D5BE13-AEA2-4156-9CE4-9973742A6CE2}"/>
    <cellStyle name="Normal 3 6 10 2 2 2" xfId="19088" xr:uid="{08BD1412-57CC-4E62-B963-DD6C4C9E7F51}"/>
    <cellStyle name="Normal 3 6 10 2 3" xfId="16541" xr:uid="{6EBCF901-2B9E-4075-B547-4A39D66A835C}"/>
    <cellStyle name="Normal 3 6 10 2 4" xfId="15098" xr:uid="{B231A0A6-C9E2-4551-A1CE-C09784541FF8}"/>
    <cellStyle name="Normal 3 6 10 3" xfId="7716" xr:uid="{A5FD5487-D532-4F63-9E7E-1E9DF8F052EC}"/>
    <cellStyle name="Normal 3 6 10 3 2" xfId="9484" xr:uid="{F1095727-E58E-4067-99A6-F054E02EE7D9}"/>
    <cellStyle name="Normal 3 6 10 3 2 2" xfId="19536" xr:uid="{A488373E-E578-4838-8154-01CD030C8B24}"/>
    <cellStyle name="Normal 3 6 10 3 3" xfId="16987" xr:uid="{BEB5BB50-DCA7-4F66-A7EE-963457EF56F7}"/>
    <cellStyle name="Normal 3 6 10 3 4" xfId="15682" xr:uid="{C6F61946-E59E-422B-AFCB-AEAF70F7A4EE}"/>
    <cellStyle name="Normal 3 6 10 4" xfId="7717" xr:uid="{87938DFD-E9C8-467E-8A8F-6A757AF7CDC1}"/>
    <cellStyle name="Normal 3 6 10 4 2" xfId="17588" xr:uid="{CFBE4C84-2B9C-4600-B869-CD3DFC5141DE}"/>
    <cellStyle name="Normal 3 6 10 4 3" xfId="14108" xr:uid="{BA2B6539-C1FD-4BF0-AAEF-0846E91299A9}"/>
    <cellStyle name="Normal 3 6 10 5" xfId="7718" xr:uid="{EB014342-2284-4A62-87AA-E4C3D011049D}"/>
    <cellStyle name="Normal 3 6 10 5 2" xfId="18199" xr:uid="{03566466-E78A-4EBC-9A87-3EFC9C42C9A2}"/>
    <cellStyle name="Normal 3 6 10 5 3" xfId="14268" xr:uid="{7BD02AB1-7DD7-4926-B927-535D84C395DC}"/>
    <cellStyle name="Normal 3 6 10 6" xfId="8608" xr:uid="{1DFE8937-0491-492C-9BAA-354D85BCBEAD}"/>
    <cellStyle name="Normal 3 6 10 6 2" xfId="18660" xr:uid="{6E7B473E-F011-4A53-88B9-628CB25913E7}"/>
    <cellStyle name="Normal 3 6 10 7" xfId="10074" xr:uid="{CDE86F8F-1C32-4736-81CD-0D73FC497679}"/>
    <cellStyle name="Normal 3 6 10 8" xfId="10721" xr:uid="{E70BCD72-0C46-49D2-ADE8-4CF10624453D}"/>
    <cellStyle name="Normal 3 6 10 9" xfId="11798" xr:uid="{A10FB028-05EC-4452-8CB8-257328E86F78}"/>
    <cellStyle name="Normal 3 6 10 9 2" xfId="15891" xr:uid="{117B0A4C-5D65-46E4-A1F4-B4D7744D45F8}"/>
    <cellStyle name="Normal 3 6 10 9 3" xfId="20618" xr:uid="{8918FE2A-EE13-4750-8E8D-9BF745C62F0C}"/>
    <cellStyle name="Normal 3 6 11" xfId="4605" xr:uid="{033509F2-273F-48BB-AAAA-D261BB4C04BB}"/>
    <cellStyle name="Normal 3 6 11 2" xfId="7719" xr:uid="{4209BEF5-117C-475E-818B-796B55926645}"/>
    <cellStyle name="Normal 3 6 11 2 2" xfId="9037" xr:uid="{5974CB83-3A63-4B01-80A7-F012F49DD94A}"/>
    <cellStyle name="Normal 3 6 11 2 2 2" xfId="19089" xr:uid="{4E55BE3D-3C19-4A3E-87C7-ECD4ED730FB4}"/>
    <cellStyle name="Normal 3 6 11 2 3" xfId="16542" xr:uid="{FA6B5A3D-A1E8-4093-AA1B-EA2D666A8BA7}"/>
    <cellStyle name="Normal 3 6 11 2 4" xfId="15097" xr:uid="{8C27851C-2ABE-4CCA-B6E2-37C5CABAF9A3}"/>
    <cellStyle name="Normal 3 6 11 3" xfId="7720" xr:uid="{EAD4887A-6DAC-4171-940C-8626D72F44F3}"/>
    <cellStyle name="Normal 3 6 11 3 2" xfId="9485" xr:uid="{50D843D9-AC1B-4384-8E17-C980E212267B}"/>
    <cellStyle name="Normal 3 6 11 3 2 2" xfId="19537" xr:uid="{F533B022-5A1B-4C67-8D27-59983D29F061}"/>
    <cellStyle name="Normal 3 6 11 3 3" xfId="16988" xr:uid="{ACCA6402-B4EA-49A1-82DF-7426925201DD}"/>
    <cellStyle name="Normal 3 6 11 3 4" xfId="15681" xr:uid="{B207D928-19EB-452E-B330-E68AD1A83D8F}"/>
    <cellStyle name="Normal 3 6 11 4" xfId="7721" xr:uid="{2C16E9E7-85FD-4789-861F-65D09A29B188}"/>
    <cellStyle name="Normal 3 6 11 4 2" xfId="17589" xr:uid="{D16661F4-8FBA-4C80-A2C5-F756EEEF9D33}"/>
    <cellStyle name="Normal 3 6 11 4 3" xfId="14185" xr:uid="{A56C5F2E-DAEE-483D-A8D4-D2CDD05FBCF3}"/>
    <cellStyle name="Normal 3 6 11 5" xfId="7722" xr:uid="{F7DED0D8-61C8-4AF5-AD4A-555385B11BC1}"/>
    <cellStyle name="Normal 3 6 11 5 2" xfId="18200" xr:uid="{A83854A3-8D52-428B-82DA-BE153ED65484}"/>
    <cellStyle name="Normal 3 6 11 5 3" xfId="14267" xr:uid="{1B010DCD-BC14-4BC6-96DD-212885057677}"/>
    <cellStyle name="Normal 3 6 11 6" xfId="8609" xr:uid="{431EEFDE-93BF-4093-958C-C13FA014501F}"/>
    <cellStyle name="Normal 3 6 11 6 2" xfId="18661" xr:uid="{CA9D7944-18DC-4195-B3E7-05E9C56477AC}"/>
    <cellStyle name="Normal 3 6 11 7" xfId="10075" xr:uid="{2052FAB3-D402-422B-854F-E8AB23607387}"/>
    <cellStyle name="Normal 3 6 11 8" xfId="10722" xr:uid="{E2E63BA5-4630-42D0-BC07-34E8C6BB31F6}"/>
    <cellStyle name="Normal 3 6 11 9" xfId="10964" xr:uid="{896C30F1-182A-4D2F-8C59-F1B234AEA40D}"/>
    <cellStyle name="Normal 3 6 11 9 2" xfId="15890" xr:uid="{3032EFD7-86A6-4563-ABE6-1635A71DAA26}"/>
    <cellStyle name="Normal 3 6 11 9 3" xfId="20491" xr:uid="{94CFC421-7639-432B-8824-71775085F3EA}"/>
    <cellStyle name="Normal 3 6 12" xfId="7723" xr:uid="{2FA872CA-999E-40D8-9E07-77D8371FA3E7}"/>
    <cellStyle name="Normal 3 6 12 2" xfId="7724" xr:uid="{2F690A43-1B69-4F72-8D25-E6D3E66AAB21}"/>
    <cellStyle name="Normal 3 6 12 2 2" xfId="17346" xr:uid="{D860CEDA-F0B2-47C8-BE72-F8877F6DEC09}"/>
    <cellStyle name="Normal 3 6 12 3" xfId="7725" xr:uid="{C2CBBB7A-966C-4E10-92A8-FE5389C2B3C7}"/>
    <cellStyle name="Normal 3 6 12 3 2" xfId="17960" xr:uid="{440AEDAF-B0B5-4C21-9D4B-742A440DB031}"/>
    <cellStyle name="Normal 3 6 12 4" xfId="8789" xr:uid="{D19C4E1D-E800-4DC4-825F-E7A44A198BE6}"/>
    <cellStyle name="Normal 3 6 12 4 2" xfId="18841" xr:uid="{5905EA69-28F3-43EE-936A-6929226E72E8}"/>
    <cellStyle name="Normal 3 6 12 5" xfId="9836" xr:uid="{782EBDEE-8FD0-4948-8CA4-08F030751346}"/>
    <cellStyle name="Normal 3 6 12 6" xfId="10723" xr:uid="{E1726C99-38E8-427C-A37F-BB3A62842B59}"/>
    <cellStyle name="Normal 3 6 12 7" xfId="12838" xr:uid="{CCDB4D63-D6EF-44C1-915B-BA7BD9159D92}"/>
    <cellStyle name="Normal 3 6 12 7 2" xfId="14165" xr:uid="{F234BFEE-191D-4F3E-B230-4B3F670E9D71}"/>
    <cellStyle name="Normal 3 6 12 7 3" xfId="20733" xr:uid="{52F93048-8B93-44F8-A6F4-2D0911B4940A}"/>
    <cellStyle name="Normal 3 6 13" xfId="7726" xr:uid="{FDC8AC6B-D3BE-4545-9641-A1729A1F852F}"/>
    <cellStyle name="Normal 3 6 13 2" xfId="9237" xr:uid="{9472A389-B63A-4951-9FB6-946A0711804A}"/>
    <cellStyle name="Normal 3 6 13 2 2" xfId="19289" xr:uid="{1A957540-1789-40C1-9004-195B31167035}"/>
    <cellStyle name="Normal 3 6 13 3" xfId="11345" xr:uid="{9641367B-BF8A-4023-A593-65B987DB16B3}"/>
    <cellStyle name="Normal 3 6 13 3 2" xfId="16740" xr:uid="{532037FB-B6A3-4C02-BEDA-B3D911B974E6}"/>
    <cellStyle name="Normal 3 6 13 3 3" xfId="20547" xr:uid="{25B70827-6FA4-44FC-8B58-FC6DB7B5947C}"/>
    <cellStyle name="Normal 3 6 13 4" xfId="14925" xr:uid="{2F9095D4-C06E-446D-9815-9264FFAF0BB5}"/>
    <cellStyle name="Normal 3 6 14" xfId="7727" xr:uid="{EB9CB597-29AF-4D0C-800A-33D6C0A4FEAD}"/>
    <cellStyle name="Normal 3 6 14 2" xfId="12798" xr:uid="{5FE32312-4273-4EC4-B364-519E90383928}"/>
    <cellStyle name="Normal 3 6 14 2 2" xfId="17199" xr:uid="{AD204F2F-3C17-4460-8666-1F883E41C1B0}"/>
    <cellStyle name="Normal 3 6 14 2 3" xfId="20724" xr:uid="{0B9543E6-8855-4F6A-9561-8E9B2955A4F4}"/>
    <cellStyle name="Normal 3 6 14 3" xfId="15521" xr:uid="{ECC761AD-FCB8-4938-B8EE-40D1D02291AB}"/>
    <cellStyle name="Normal 3 6 15" xfId="7728" xr:uid="{D2ED62AA-2DD3-413B-A817-E7A9BF7B6D04}"/>
    <cellStyle name="Normal 3 6 15 2" xfId="11031" xr:uid="{6CA5669E-51F8-4B6E-A20F-6D106F0DD8CC}"/>
    <cellStyle name="Normal 3 6 15 2 2" xfId="17809" xr:uid="{1271DDAB-A1DF-4D28-A552-6D9773FAAF24}"/>
    <cellStyle name="Normal 3 6 15 2 3" xfId="20500" xr:uid="{A67BB082-D1A9-4A2E-BAD9-366B757D7BF9}"/>
    <cellStyle name="Normal 3 6 15 3" xfId="14466" xr:uid="{8C48D7AC-ACF2-4788-8442-67A703E2F530}"/>
    <cellStyle name="Normal 3 6 16" xfId="8361" xr:uid="{30DFBB3A-1A54-4B80-8D3A-289659B19EAE}"/>
    <cellStyle name="Normal 3 6 16 2" xfId="13664" xr:uid="{7557DD8D-7986-4EF4-8FBF-2F54A1837603}"/>
    <cellStyle name="Normal 3 6 16 2 2" xfId="18413" xr:uid="{D73F0EA1-2EB1-4AB8-82CE-EF8E23A63D7C}"/>
    <cellStyle name="Normal 3 6 16 2 3" xfId="20807" xr:uid="{6D8ADA14-B03D-43E1-8C0B-D2BA05E55893}"/>
    <cellStyle name="Normal 3 6 17" xfId="9690" xr:uid="{D3C4B7F7-616E-4D6C-BA7B-2A8B32EF6E82}"/>
    <cellStyle name="Normal 3 6 17 2" xfId="10967" xr:uid="{B7864CA1-47D0-4A7D-B75F-6E9A18954EEB}"/>
    <cellStyle name="Normal 3 6 18" xfId="10344" xr:uid="{88A7372F-E60D-4B78-863E-0A1C43F912B4}"/>
    <cellStyle name="Normal 3 6 18 2" xfId="11692" xr:uid="{D71F1783-938E-4EB5-B326-C358C6D3A7C6}"/>
    <cellStyle name="Normal 3 6 19" xfId="12894" xr:uid="{EEF209C2-2CF8-42D4-9C7D-551DCA73FCE6}"/>
    <cellStyle name="Normal 3 6 19 2" xfId="16097" xr:uid="{27299AAB-DC65-424A-A8B7-96DFD1D092E4}"/>
    <cellStyle name="Normal 3 6 19 3" xfId="20745" xr:uid="{FC7A4F20-0CC3-462C-9AE5-4921163528A6}"/>
    <cellStyle name="Normal 3 6 2" xfId="2874" xr:uid="{075ABE3A-AB7B-4D97-ABF3-B9E2CDA495EC}"/>
    <cellStyle name="Normal 3 6 2 10" xfId="9691" xr:uid="{F7C10433-5C8D-4CF1-ABFA-053E93666369}"/>
    <cellStyle name="Normal 3 6 2 11" xfId="10345" xr:uid="{351E5A78-5061-4472-9690-DD62A9A393CB}"/>
    <cellStyle name="Normal 3 6 2 12" xfId="11300" xr:uid="{43D9443F-7048-46D0-946B-8EB2987C6795}"/>
    <cellStyle name="Normal 3 6 2 12 2" xfId="16096" xr:uid="{DD010579-B0A9-49D6-8002-BF4E86554FBB}"/>
    <cellStyle name="Normal 3 6 2 12 3" xfId="20535" xr:uid="{9F6772D9-47BF-4B7D-9A46-A520A6C71E66}"/>
    <cellStyle name="Normal 3 6 2 2" xfId="2875" xr:uid="{3DACD8AF-3033-43C9-BC50-FAC8BF80CE56}"/>
    <cellStyle name="Normal 3 6 2 2 10" xfId="10346" xr:uid="{BF491BFD-69D1-4E20-9BFB-0F91BE519CAF}"/>
    <cellStyle name="Normal 3 6 2 2 11" xfId="16095" xr:uid="{8F72C624-3036-41D3-8305-84977F916E73}"/>
    <cellStyle name="Normal 3 6 2 2 2" xfId="4606" xr:uid="{C97C91DA-F7BC-4282-BE8E-64CFB203C4B1}"/>
    <cellStyle name="Normal 3 6 2 2 2 2" xfId="7729" xr:uid="{17CEE501-FF96-4AAA-A963-B06F53FF917D}"/>
    <cellStyle name="Normal 3 6 2 2 2 2 2" xfId="9038" xr:uid="{9A9EBDCF-9A61-4E98-ABFA-F15228F8A8F1}"/>
    <cellStyle name="Normal 3 6 2 2 2 2 2 2" xfId="19090" xr:uid="{9211426D-89A6-4E7F-BD9B-1724E2AE9E19}"/>
    <cellStyle name="Normal 3 6 2 2 2 2 3" xfId="16543" xr:uid="{3896E0C9-65B9-4D14-ABB2-85C2687D94A0}"/>
    <cellStyle name="Normal 3 6 2 2 2 2 4" xfId="15096" xr:uid="{7FB67DF3-3AFF-42E9-80F9-172B2B557381}"/>
    <cellStyle name="Normal 3 6 2 2 2 3" xfId="7730" xr:uid="{4A363F67-D57F-498E-B0C1-51FDEDB82B74}"/>
    <cellStyle name="Normal 3 6 2 2 2 3 2" xfId="9486" xr:uid="{C21D197A-24D5-4607-9CBD-80A71C051613}"/>
    <cellStyle name="Normal 3 6 2 2 2 3 2 2" xfId="19538" xr:uid="{AD24DA1E-44F9-4A4D-AF84-4E522D3CE728}"/>
    <cellStyle name="Normal 3 6 2 2 2 3 3" xfId="16989" xr:uid="{EE09489E-5971-40EC-A7D9-7EB0E86469C8}"/>
    <cellStyle name="Normal 3 6 2 2 2 3 4" xfId="15680" xr:uid="{C875C621-E65F-4223-A841-413BE4D1D6DA}"/>
    <cellStyle name="Normal 3 6 2 2 2 4" xfId="7731" xr:uid="{3AC1F542-55EA-4358-ACD4-8141C12E42BE}"/>
    <cellStyle name="Normal 3 6 2 2 2 4 2" xfId="17590" xr:uid="{961D8BE3-2A8D-47EF-B6D3-FB925F7FC5FE}"/>
    <cellStyle name="Normal 3 6 2 2 2 4 3" xfId="14614" xr:uid="{EC1AFA36-7368-4D47-A9E4-5C09434EC750}"/>
    <cellStyle name="Normal 3 6 2 2 2 5" xfId="7732" xr:uid="{3E5BC01B-2560-4EB8-A042-B2BF8EA99077}"/>
    <cellStyle name="Normal 3 6 2 2 2 5 2" xfId="18201" xr:uid="{038A8094-54CE-4C11-B2F1-A2D8E9B6DF33}"/>
    <cellStyle name="Normal 3 6 2 2 2 5 3" xfId="14266" xr:uid="{FB77ADA5-5CCC-4606-B469-306B344BA996}"/>
    <cellStyle name="Normal 3 6 2 2 2 6" xfId="8610" xr:uid="{2EEFD320-F7ED-46F4-9DCE-6E8EBDC899CA}"/>
    <cellStyle name="Normal 3 6 2 2 2 6 2" xfId="18662" xr:uid="{09C68071-EEB5-4A02-9DD4-1E2729EE70A9}"/>
    <cellStyle name="Normal 3 6 2 2 2 7" xfId="10076" xr:uid="{6295E3A2-886C-47AD-99C4-EAE9D76924A4}"/>
    <cellStyle name="Normal 3 6 2 2 2 8" xfId="10724" xr:uid="{2E976556-BD3F-4963-AA77-EEF757FCAE07}"/>
    <cellStyle name="Normal 3 6 2 2 2 9" xfId="15400" xr:uid="{1BAFE6D0-40F4-4F17-A522-77203C166297}"/>
    <cellStyle name="Normal 3 6 2 2 3" xfId="4607" xr:uid="{0F5B74E1-78DB-48C0-A8F2-4CB18DF81DB7}"/>
    <cellStyle name="Normal 3 6 2 2 3 2" xfId="7733" xr:uid="{CB75BCA0-BA7D-46CB-893E-AF36DFBC4349}"/>
    <cellStyle name="Normal 3 6 2 2 3 2 2" xfId="9039" xr:uid="{C6397A44-593E-43E5-A427-50E0B631EF36}"/>
    <cellStyle name="Normal 3 6 2 2 3 2 2 2" xfId="19091" xr:uid="{6158B228-6840-4014-BCFF-0F8AB8182BA1}"/>
    <cellStyle name="Normal 3 6 2 2 3 2 3" xfId="16544" xr:uid="{DF274F2D-59B8-483D-8D96-8D832AD00A3B}"/>
    <cellStyle name="Normal 3 6 2 2 3 2 4" xfId="15095" xr:uid="{DBC8F0BE-8AD1-42F9-8CCD-9D5A53FD2D0A}"/>
    <cellStyle name="Normal 3 6 2 2 3 3" xfId="7734" xr:uid="{9A8CA2B9-C20E-401C-B801-7A6ED88DDE05}"/>
    <cellStyle name="Normal 3 6 2 2 3 3 2" xfId="9487" xr:uid="{2E60C3EC-3127-47C5-A5AD-6952456EACB7}"/>
    <cellStyle name="Normal 3 6 2 2 3 3 2 2" xfId="19539" xr:uid="{9E90E152-0B21-407F-9D4C-94AA832379D9}"/>
    <cellStyle name="Normal 3 6 2 2 3 3 3" xfId="16990" xr:uid="{C13B4ADF-9997-4B6A-A1A5-0FFE6466A7E6}"/>
    <cellStyle name="Normal 3 6 2 2 3 3 4" xfId="15679" xr:uid="{67F560A8-6448-4A73-863B-A1D76777A433}"/>
    <cellStyle name="Normal 3 6 2 2 3 4" xfId="7735" xr:uid="{63D882B1-71D3-49BF-A44A-A481517B3298}"/>
    <cellStyle name="Normal 3 6 2 2 3 4 2" xfId="17591" xr:uid="{C5BB76D1-A255-410C-A127-14BB2A6F7DDD}"/>
    <cellStyle name="Normal 3 6 2 2 3 4 3" xfId="14613" xr:uid="{E3991B98-C464-4F23-8007-CB3CE5EA0EEF}"/>
    <cellStyle name="Normal 3 6 2 2 3 5" xfId="7736" xr:uid="{2C5F84BF-0D6D-4103-A80F-6D9C479BB57E}"/>
    <cellStyle name="Normal 3 6 2 2 3 5 2" xfId="18202" xr:uid="{16A0886B-76E4-46E3-9EA6-10818328750F}"/>
    <cellStyle name="Normal 3 6 2 2 3 5 3" xfId="14265" xr:uid="{9A8F1460-C068-44E9-A060-4441E9F9FBA3}"/>
    <cellStyle name="Normal 3 6 2 2 3 6" xfId="8611" xr:uid="{CB34B550-C6CB-49B3-A136-3AEF50C3044A}"/>
    <cellStyle name="Normal 3 6 2 2 3 6 2" xfId="18663" xr:uid="{213AED45-F477-468A-B96D-B97ADB9E465C}"/>
    <cellStyle name="Normal 3 6 2 2 3 7" xfId="10077" xr:uid="{43671010-7B99-4D44-959E-2768FEF72533}"/>
    <cellStyle name="Normal 3 6 2 2 3 8" xfId="10725" xr:uid="{67851CC3-8D30-499F-8A8E-14BD2A30AEAF}"/>
    <cellStyle name="Normal 3 6 2 2 3 9" xfId="15889" xr:uid="{8E22E767-EF67-4AAB-B243-7785874CFA25}"/>
    <cellStyle name="Normal 3 6 2 2 4" xfId="7737" xr:uid="{6BB453CC-3653-4298-A0B8-7AB60A2060D3}"/>
    <cellStyle name="Normal 3 6 2 2 4 2" xfId="7738" xr:uid="{5763EF46-14FB-48A2-A1A5-46BB87F7F62D}"/>
    <cellStyle name="Normal 3 6 2 2 4 2 2" xfId="17348" xr:uid="{0ED6D6B1-3C53-4080-BBD9-4B183E426747}"/>
    <cellStyle name="Normal 3 6 2 2 4 3" xfId="7739" xr:uid="{EC60E3B0-98F7-44F5-945D-B804FC99511A}"/>
    <cellStyle name="Normal 3 6 2 2 4 3 2" xfId="17962" xr:uid="{DF00B5FC-4F57-4997-99EC-5BB71FDC124C}"/>
    <cellStyle name="Normal 3 6 2 2 4 4" xfId="8791" xr:uid="{FB53F63F-5FD8-4FFE-8849-479C711CA8D5}"/>
    <cellStyle name="Normal 3 6 2 2 4 4 2" xfId="18843" xr:uid="{AA827538-261D-404D-A23A-8481E9AD2309}"/>
    <cellStyle name="Normal 3 6 2 2 4 5" xfId="9838" xr:uid="{256B2A5A-8701-4F37-9A27-DD5A37AFAD60}"/>
    <cellStyle name="Normal 3 6 2 2 4 6" xfId="10726" xr:uid="{94A9182E-D1EE-42E6-AACE-5BE8871E4DD0}"/>
    <cellStyle name="Normal 3 6 2 2 4 7" xfId="15319" xr:uid="{97A8557B-049E-4BB0-A80C-35F6C3FA3A6E}"/>
    <cellStyle name="Normal 3 6 2 2 5" xfId="7740" xr:uid="{3A734655-ADB5-4298-8997-587B45645125}"/>
    <cellStyle name="Normal 3 6 2 2 5 2" xfId="9239" xr:uid="{3584CAA5-85CB-4509-8AB6-A3FE14E2FA39}"/>
    <cellStyle name="Normal 3 6 2 2 5 2 2" xfId="19291" xr:uid="{A3AA9363-CC94-4FA6-B0C7-BF187B0C4EDF}"/>
    <cellStyle name="Normal 3 6 2 2 5 3" xfId="16742" xr:uid="{52E2469C-46DC-4149-BE24-6D334C7A38A1}"/>
    <cellStyle name="Normal 3 6 2 2 5 4" xfId="14923" xr:uid="{D513011B-79FC-46E3-9DAD-20E435D752A6}"/>
    <cellStyle name="Normal 3 6 2 2 6" xfId="7741" xr:uid="{FD534005-4C79-426C-BA4E-1ED3A615EECC}"/>
    <cellStyle name="Normal 3 6 2 2 6 2" xfId="17201" xr:uid="{374B89F6-D018-4595-9229-E9ED602E1A3C}"/>
    <cellStyle name="Normal 3 6 2 2 6 3" xfId="15519" xr:uid="{464A0ACB-48FC-4273-88E6-11BE853692BB}"/>
    <cellStyle name="Normal 3 6 2 2 7" xfId="7742" xr:uid="{0F992FFD-9A56-40D8-BF98-4B3EB50720F0}"/>
    <cellStyle name="Normal 3 6 2 2 7 2" xfId="17811" xr:uid="{CD3282EB-6A81-4F90-9057-E92CDF7F5E65}"/>
    <cellStyle name="Normal 3 6 2 2 7 3" xfId="14464" xr:uid="{4CB37348-C0DF-46A3-AFCA-25673FAC3A6F}"/>
    <cellStyle name="Normal 3 6 2 2 8" xfId="8363" xr:uid="{DD09366C-5D9C-46C5-978D-B098984F4DF1}"/>
    <cellStyle name="Normal 3 6 2 2 8 2" xfId="18415" xr:uid="{3F949465-FE99-4EDA-9B6A-E5BB57823FA9}"/>
    <cellStyle name="Normal 3 6 2 2 9" xfId="9692" xr:uid="{B0D98DD6-2574-4C96-916E-93F2BE59FB03}"/>
    <cellStyle name="Normal 3 6 2 3" xfId="4608" xr:uid="{5FACAB75-660C-44CE-A8B4-DE9F2F4D6396}"/>
    <cellStyle name="Normal 3 6 2 3 2" xfId="7743" xr:uid="{C05702B1-8AA9-4E8A-AE5B-B51C9F7104B4}"/>
    <cellStyle name="Normal 3 6 2 3 2 2" xfId="9040" xr:uid="{3DBC8236-D105-46E6-816A-4C41F91C64AA}"/>
    <cellStyle name="Normal 3 6 2 3 2 2 2" xfId="19092" xr:uid="{E08B55FC-2679-4800-B4DD-244DF6622821}"/>
    <cellStyle name="Normal 3 6 2 3 2 3" xfId="16545" xr:uid="{6F89BB0B-B26D-4948-B259-0663390D4216}"/>
    <cellStyle name="Normal 3 6 2 3 2 4" xfId="15094" xr:uid="{CDCF6A83-FAFD-44D0-ADF1-D243AB869A77}"/>
    <cellStyle name="Normal 3 6 2 3 3" xfId="7744" xr:uid="{34182E0B-5C67-4A6A-ABAD-A27F867AE7C5}"/>
    <cellStyle name="Normal 3 6 2 3 3 2" xfId="9488" xr:uid="{53E626EE-B823-4DE9-9465-E7CD41B1C83F}"/>
    <cellStyle name="Normal 3 6 2 3 3 2 2" xfId="19540" xr:uid="{23FC7DA7-D21F-4406-8416-417098A487FB}"/>
    <cellStyle name="Normal 3 6 2 3 3 3" xfId="16991" xr:uid="{1E5748B9-DCA5-432E-AEC6-6A781BBE871B}"/>
    <cellStyle name="Normal 3 6 2 3 3 4" xfId="14826" xr:uid="{7315658A-D350-4753-801D-F9BF8C1083F7}"/>
    <cellStyle name="Normal 3 6 2 3 4" xfId="7745" xr:uid="{E9EA1B26-286E-4252-A3B1-88F76D492099}"/>
    <cellStyle name="Normal 3 6 2 3 4 2" xfId="17592" xr:uid="{9BE670B3-5899-4DA5-B067-D589359395CF}"/>
    <cellStyle name="Normal 3 6 2 3 4 3" xfId="14612" xr:uid="{9D03FBBF-C78B-4630-810F-4C01351FF618}"/>
    <cellStyle name="Normal 3 6 2 3 5" xfId="7746" xr:uid="{16ACEA97-8854-47A3-825B-DBCEC7BC0A1B}"/>
    <cellStyle name="Normal 3 6 2 3 5 2" xfId="18203" xr:uid="{6B1D7899-0BFF-412B-A891-4710288C192C}"/>
    <cellStyle name="Normal 3 6 2 3 5 3" xfId="14264" xr:uid="{C7AFC736-759B-4228-8506-6A75C0F33A0E}"/>
    <cellStyle name="Normal 3 6 2 3 6" xfId="8612" xr:uid="{B2C3A9B3-6227-4FDB-BDAC-B77E908A5A46}"/>
    <cellStyle name="Normal 3 6 2 3 6 2" xfId="18664" xr:uid="{92FFA492-4A3A-4821-B18A-23C83BD40612}"/>
    <cellStyle name="Normal 3 6 2 3 7" xfId="10078" xr:uid="{E7A78F30-241A-4D29-8DE9-A0A43C299532}"/>
    <cellStyle name="Normal 3 6 2 3 8" xfId="10727" xr:uid="{223D197E-8CBA-4C90-884E-1ED8CA3AEEA9}"/>
    <cellStyle name="Normal 3 6 2 3 9" xfId="15888" xr:uid="{4C208421-67C2-4550-975D-284960A24E2F}"/>
    <cellStyle name="Normal 3 6 2 4" xfId="4609" xr:uid="{7085A5C5-3480-4161-8FD4-85EE69E40C00}"/>
    <cellStyle name="Normal 3 6 2 4 2" xfId="7747" xr:uid="{0A78DE29-1BB6-41B9-9CF5-BE9417AE7CEB}"/>
    <cellStyle name="Normal 3 6 2 4 2 2" xfId="9041" xr:uid="{B6E709F5-6E64-4D14-B2D5-938D1B25A1CF}"/>
    <cellStyle name="Normal 3 6 2 4 2 2 2" xfId="19093" xr:uid="{F0B94966-5A73-4759-B2BF-C368DA0E4A63}"/>
    <cellStyle name="Normal 3 6 2 4 2 3" xfId="16546" xr:uid="{08EA3928-E736-4320-B9B3-E8CAD8F6C631}"/>
    <cellStyle name="Normal 3 6 2 4 2 4" xfId="15093" xr:uid="{C0D9F817-4F98-4EF3-9136-E61ADDD4C57D}"/>
    <cellStyle name="Normal 3 6 2 4 3" xfId="7748" xr:uid="{7647FAB0-2954-47AF-BFAA-C4CC1BDE9747}"/>
    <cellStyle name="Normal 3 6 2 4 3 2" xfId="9489" xr:uid="{68AC462D-412E-4D6E-BF26-137331FC39A2}"/>
    <cellStyle name="Normal 3 6 2 4 3 2 2" xfId="19541" xr:uid="{E44904B2-C84F-4098-B229-492DECAC1A0C}"/>
    <cellStyle name="Normal 3 6 2 4 3 3" xfId="16992" xr:uid="{62A84915-056B-4247-A484-B225CF9E974C}"/>
    <cellStyle name="Normal 3 6 2 4 3 4" xfId="15678" xr:uid="{A0EF7FA2-CE4F-433D-A0AC-CD5F1AFD3671}"/>
    <cellStyle name="Normal 3 6 2 4 4" xfId="7749" xr:uid="{4E1B5C3A-F6D9-41AE-AC13-D06246AAE648}"/>
    <cellStyle name="Normal 3 6 2 4 4 2" xfId="17593" xr:uid="{FB1E259C-7C34-455D-B3F4-9ED0F1104BBF}"/>
    <cellStyle name="Normal 3 6 2 4 4 3" xfId="14611" xr:uid="{AACAE970-6C1E-4CBE-8F6A-2CA876152EE0}"/>
    <cellStyle name="Normal 3 6 2 4 5" xfId="7750" xr:uid="{8181FE73-3EC9-4980-BE2D-9838E4BE1575}"/>
    <cellStyle name="Normal 3 6 2 4 5 2" xfId="18204" xr:uid="{EE7C3075-0015-4E5D-AD97-654E85A5FA8D}"/>
    <cellStyle name="Normal 3 6 2 4 5 3" xfId="14263" xr:uid="{EEE7DE27-5B09-4838-B734-11E8A263127A}"/>
    <cellStyle name="Normal 3 6 2 4 6" xfId="8613" xr:uid="{B0964EF9-EB66-47E0-BE4C-0F47B63E4E1D}"/>
    <cellStyle name="Normal 3 6 2 4 6 2" xfId="18665" xr:uid="{2C06872B-E5F4-4DA6-B85D-A1A1BC1FA2D0}"/>
    <cellStyle name="Normal 3 6 2 4 7" xfId="10079" xr:uid="{4B88C9BA-1A3B-47A2-A72F-25639D5AE936}"/>
    <cellStyle name="Normal 3 6 2 4 8" xfId="10728" xr:uid="{A0639E41-6FAF-4BA6-986D-F58E890BEFAD}"/>
    <cellStyle name="Normal 3 6 2 4 9" xfId="15887" xr:uid="{6FC32B68-BD45-4596-89E5-D7A90B07E0D3}"/>
    <cellStyle name="Normal 3 6 2 5" xfId="7751" xr:uid="{35C75943-BA68-4304-9339-E20314E0368D}"/>
    <cellStyle name="Normal 3 6 2 5 2" xfId="7752" xr:uid="{874B379C-1DF8-4CDB-AD25-F5AF0292CA05}"/>
    <cellStyle name="Normal 3 6 2 5 2 2" xfId="17347" xr:uid="{59B95359-CC8B-47EE-A5C8-4BFB888AEC06}"/>
    <cellStyle name="Normal 3 6 2 5 3" xfId="7753" xr:uid="{8390ED60-0543-4C5F-8FE2-A23EC6241AEA}"/>
    <cellStyle name="Normal 3 6 2 5 3 2" xfId="17961" xr:uid="{BA0FF799-5701-4C5D-9A9A-708CF8027D3C}"/>
    <cellStyle name="Normal 3 6 2 5 4" xfId="8790" xr:uid="{BD39F8F9-0BAA-41A4-B49D-E825B95D67EA}"/>
    <cellStyle name="Normal 3 6 2 5 4 2" xfId="18842" xr:uid="{1AEDBD57-FBAF-465D-9B0E-23B4E3B19D90}"/>
    <cellStyle name="Normal 3 6 2 5 5" xfId="9837" xr:uid="{50C4D1C5-09A0-4361-9716-0FC05F908850}"/>
    <cellStyle name="Normal 3 6 2 5 6" xfId="10729" xr:uid="{D4804032-26DB-468F-AFCE-2BC607C794A8}"/>
    <cellStyle name="Normal 3 6 2 5 7" xfId="14197" xr:uid="{BEA53D66-18B4-4E20-9065-3F40434AC0E0}"/>
    <cellStyle name="Normal 3 6 2 6" xfId="7754" xr:uid="{2CFE04B5-D749-44C4-AD8A-8D38988C6FEA}"/>
    <cellStyle name="Normal 3 6 2 6 2" xfId="9238" xr:uid="{1C803C47-D191-4BAA-97E3-786B344B4C11}"/>
    <cellStyle name="Normal 3 6 2 6 2 2" xfId="19290" xr:uid="{26AC198B-E231-4EC6-9896-0F32B182E237}"/>
    <cellStyle name="Normal 3 6 2 6 3" xfId="16741" xr:uid="{1E72AC7F-6627-4A47-B3D3-5C069EB15C75}"/>
    <cellStyle name="Normal 3 6 2 6 4" xfId="14924" xr:uid="{8A1C66E2-34FC-4E53-9F89-6BE0DD70F8F6}"/>
    <cellStyle name="Normal 3 6 2 7" xfId="7755" xr:uid="{2A955DBC-B19F-426B-9B50-54FBCA9C49C5}"/>
    <cellStyle name="Normal 3 6 2 7 2" xfId="17200" xr:uid="{FCDC02F9-2BDD-4B42-A15F-065AD963CBA6}"/>
    <cellStyle name="Normal 3 6 2 7 3" xfId="15520" xr:uid="{A5EBFE41-2BB7-4437-B2D9-BE269A9DF597}"/>
    <cellStyle name="Normal 3 6 2 8" xfId="7756" xr:uid="{334633FF-2FFF-4595-98DD-6279E07C9806}"/>
    <cellStyle name="Normal 3 6 2 8 2" xfId="17810" xr:uid="{382F69E3-A67E-4ECF-AEFB-629523A77227}"/>
    <cellStyle name="Normal 3 6 2 8 3" xfId="14465" xr:uid="{75E23F15-3BF3-4AE4-90CB-F9A82EE69284}"/>
    <cellStyle name="Normal 3 6 2 9" xfId="8362" xr:uid="{A7EDDAC6-073D-4EE1-9E81-71694A352FB5}"/>
    <cellStyle name="Normal 3 6 2 9 2" xfId="18414" xr:uid="{F182E759-5E2D-4E92-9A69-12E45EFC26D5}"/>
    <cellStyle name="Normal 3 6 20" xfId="11099" xr:uid="{1035C956-0AE7-425C-B21C-DBB4C1048F47}"/>
    <cellStyle name="Normal 3 6 21" xfId="11306" xr:uid="{5426E501-F92E-4250-9CD8-8F2EA29CF18D}"/>
    <cellStyle name="Normal 3 6 22" xfId="12986" xr:uid="{886F9621-C849-4B2F-B8E1-837074DF82D7}"/>
    <cellStyle name="Normal 3 6 23" xfId="12493" xr:uid="{B8A17DF7-E5BF-4B87-8DA7-45EDB524E09E}"/>
    <cellStyle name="Normal 3 6 24" xfId="11335" xr:uid="{39DF166C-E6DB-46A5-B52B-68D2D57C6B1E}"/>
    <cellStyle name="Normal 3 6 3" xfId="2876" xr:uid="{DA7FC745-E8DF-44F1-81D2-519DC03D7C24}"/>
    <cellStyle name="Normal 3 6 3 10" xfId="9693" xr:uid="{74FD0F57-FD02-48AC-9B4E-7900B26D0667}"/>
    <cellStyle name="Normal 3 6 3 11" xfId="10347" xr:uid="{99DFF916-FA42-477E-BE1B-18129E3DB0E1}"/>
    <cellStyle name="Normal 3 6 3 12" xfId="11686" xr:uid="{48DC99F8-FDA4-4738-8CE5-4E82D9A84481}"/>
    <cellStyle name="Normal 3 6 3 12 2" xfId="16094" xr:uid="{08D487F4-3365-46D1-AC8E-5920B59FCB3D}"/>
    <cellStyle name="Normal 3 6 3 12 3" xfId="20585" xr:uid="{92ED4C48-69AE-4392-8C46-4DC7836F288B}"/>
    <cellStyle name="Normal 3 6 3 2" xfId="2877" xr:uid="{883BCA1A-B534-4A49-9F27-32A721F14530}"/>
    <cellStyle name="Normal 3 6 3 2 10" xfId="10348" xr:uid="{24BAF73D-10BB-487A-AA3E-021911EC1D98}"/>
    <cellStyle name="Normal 3 6 3 2 11" xfId="15432" xr:uid="{2C7F721E-F38F-46E4-86EA-21EADE8205D9}"/>
    <cellStyle name="Normal 3 6 3 2 2" xfId="4610" xr:uid="{0C9BF7C7-AC8A-4B20-B4F7-015A4221272D}"/>
    <cellStyle name="Normal 3 6 3 2 2 2" xfId="7757" xr:uid="{28C640D9-238C-4FD3-B8E0-8CD4D4F2854C}"/>
    <cellStyle name="Normal 3 6 3 2 2 2 2" xfId="9042" xr:uid="{A3E560C6-7093-45EB-A185-6E052F329420}"/>
    <cellStyle name="Normal 3 6 3 2 2 2 2 2" xfId="19094" xr:uid="{A07614DB-71CB-4DE7-9E15-A76CC0624048}"/>
    <cellStyle name="Normal 3 6 3 2 2 2 3" xfId="16547" xr:uid="{AF94F3D9-286D-4513-A62F-14460AAF07A6}"/>
    <cellStyle name="Normal 3 6 3 2 2 2 4" xfId="15092" xr:uid="{9880239A-157D-4E27-987D-9C393A85650A}"/>
    <cellStyle name="Normal 3 6 3 2 2 3" xfId="7758" xr:uid="{BE071628-1F84-4534-A4C9-99E0C36D63E8}"/>
    <cellStyle name="Normal 3 6 3 2 2 3 2" xfId="9490" xr:uid="{7AFE09BF-53DB-4136-9C3E-8164EAE78637}"/>
    <cellStyle name="Normal 3 6 3 2 2 3 2 2" xfId="19542" xr:uid="{6DA566CA-470B-43D7-B410-85EFA83901F2}"/>
    <cellStyle name="Normal 3 6 3 2 2 3 3" xfId="16993" xr:uid="{CB71A6C9-F0BF-4A54-8967-04CA3B11AE4F}"/>
    <cellStyle name="Normal 3 6 3 2 2 3 4" xfId="16149" xr:uid="{E9FFAD6C-59C6-41D4-9FEE-D82CD8455510}"/>
    <cellStyle name="Normal 3 6 3 2 2 4" xfId="7759" xr:uid="{BF4949C2-6CA8-4422-AC12-B9CA6D5AEE6C}"/>
    <cellStyle name="Normal 3 6 3 2 2 4 2" xfId="17594" xr:uid="{6C6CF4A1-C207-4F04-8BEF-3B57C0A087BE}"/>
    <cellStyle name="Normal 3 6 3 2 2 4 3" xfId="14610" xr:uid="{92528DDC-660A-4723-B894-771F7CA2A5C2}"/>
    <cellStyle name="Normal 3 6 3 2 2 5" xfId="7760" xr:uid="{B43643E7-3513-4E87-BF7F-81E7E83740AF}"/>
    <cellStyle name="Normal 3 6 3 2 2 5 2" xfId="18205" xr:uid="{30B327CF-7627-4828-8EEF-DFAAEE3F6B5D}"/>
    <cellStyle name="Normal 3 6 3 2 2 5 3" xfId="14262" xr:uid="{4466B164-A9E8-4EFB-A24B-EA09EBEC6B7F}"/>
    <cellStyle name="Normal 3 6 3 2 2 6" xfId="8614" xr:uid="{D24B4CC9-E853-4B0B-A07E-2A85CC265387}"/>
    <cellStyle name="Normal 3 6 3 2 2 6 2" xfId="18666" xr:uid="{A054E605-2686-4683-B454-61F41128E807}"/>
    <cellStyle name="Normal 3 6 3 2 2 7" xfId="10080" xr:uid="{534935B6-6E45-41D9-A22B-961394EC20EE}"/>
    <cellStyle name="Normal 3 6 3 2 2 8" xfId="10730" xr:uid="{CF7F16F4-DF75-47DE-AECB-36B9708820F2}"/>
    <cellStyle name="Normal 3 6 3 2 2 9" xfId="15886" xr:uid="{3908101B-E241-47A5-BF8B-1B1E7600C76F}"/>
    <cellStyle name="Normal 3 6 3 2 3" xfId="4611" xr:uid="{1F05C2FC-9EB5-4C13-A6B9-6AD1BFCC6665}"/>
    <cellStyle name="Normal 3 6 3 2 3 2" xfId="7761" xr:uid="{5FD72F86-1E2E-4C87-84E5-B7B7BE129200}"/>
    <cellStyle name="Normal 3 6 3 2 3 2 2" xfId="9043" xr:uid="{491A99D9-61A2-4411-9C88-9655D786F6E5}"/>
    <cellStyle name="Normal 3 6 3 2 3 2 2 2" xfId="19095" xr:uid="{43546713-D556-4262-BB97-9756987C1D6B}"/>
    <cellStyle name="Normal 3 6 3 2 3 2 3" xfId="16548" xr:uid="{F6D2FC5F-DA40-4946-B5C7-36D138E39BA6}"/>
    <cellStyle name="Normal 3 6 3 2 3 2 4" xfId="15091" xr:uid="{E9EC02CA-A6A6-44E7-B878-0B57F01EEBE6}"/>
    <cellStyle name="Normal 3 6 3 2 3 3" xfId="7762" xr:uid="{AB296206-76AA-4531-844E-899BEF410BE5}"/>
    <cellStyle name="Normal 3 6 3 2 3 3 2" xfId="9491" xr:uid="{6F8E41AF-4A7E-49BB-B7A3-05ACAB2B7EBA}"/>
    <cellStyle name="Normal 3 6 3 2 3 3 2 2" xfId="19543" xr:uid="{28BE532C-C577-4092-A324-6AAEC4D62D75}"/>
    <cellStyle name="Normal 3 6 3 2 3 3 3" xfId="16994" xr:uid="{C98FAC42-6B9F-4589-BEF6-9A07DEB0D30E}"/>
    <cellStyle name="Normal 3 6 3 2 3 3 4" xfId="15677" xr:uid="{743FC06D-8F27-4C43-9BBB-FECF105583E4}"/>
    <cellStyle name="Normal 3 6 3 2 3 4" xfId="7763" xr:uid="{FB02EC5D-DA78-477B-9129-477FEF7B9D39}"/>
    <cellStyle name="Normal 3 6 3 2 3 4 2" xfId="17595" xr:uid="{96EC3499-558C-47AC-9A32-8D5440CA1D1E}"/>
    <cellStyle name="Normal 3 6 3 2 3 4 3" xfId="14609" xr:uid="{466B0DD1-549B-4D5E-BB65-B6565D8151BE}"/>
    <cellStyle name="Normal 3 6 3 2 3 5" xfId="7764" xr:uid="{627504E1-C296-4A9E-B74C-FF0ABEB3B7FA}"/>
    <cellStyle name="Normal 3 6 3 2 3 5 2" xfId="18206" xr:uid="{07969EEB-D5E0-4CEA-873A-BEDB2A24E4D4}"/>
    <cellStyle name="Normal 3 6 3 2 3 5 3" xfId="14261" xr:uid="{FBE59538-D16C-4A00-BE40-803A8CD7D8D6}"/>
    <cellStyle name="Normal 3 6 3 2 3 6" xfId="8615" xr:uid="{A090ED0A-65A4-45C5-96F6-8B1A768E4AD7}"/>
    <cellStyle name="Normal 3 6 3 2 3 6 2" xfId="18667" xr:uid="{094E589F-4142-43B1-9204-8DFD1E2CDA41}"/>
    <cellStyle name="Normal 3 6 3 2 3 7" xfId="10081" xr:uid="{9A75C3DA-C679-417C-BE47-32650C58E713}"/>
    <cellStyle name="Normal 3 6 3 2 3 8" xfId="10731" xr:uid="{BFDB6B8A-2C4A-4719-B921-D7A10774CC30}"/>
    <cellStyle name="Normal 3 6 3 2 3 9" xfId="15885" xr:uid="{8A9A0A8A-7E7C-47CA-959E-AB55CF304B43}"/>
    <cellStyle name="Normal 3 6 3 2 4" xfId="7765" xr:uid="{BDAE6BE4-73D9-4980-ADED-71CF38F1081B}"/>
    <cellStyle name="Normal 3 6 3 2 4 2" xfId="7766" xr:uid="{02859340-9149-471D-8496-1A67B36EF6DC}"/>
    <cellStyle name="Normal 3 6 3 2 4 2 2" xfId="17350" xr:uid="{A112016D-1546-4E92-BA52-862FC9A46134}"/>
    <cellStyle name="Normal 3 6 3 2 4 3" xfId="7767" xr:uid="{BEDF1CD8-1BCC-4AAC-843F-287A08BFADC9}"/>
    <cellStyle name="Normal 3 6 3 2 4 3 2" xfId="17964" xr:uid="{06A766DE-3163-4D2B-87D5-122F1BB35228}"/>
    <cellStyle name="Normal 3 6 3 2 4 4" xfId="8793" xr:uid="{9DE97C4C-BEE9-46B9-9600-7883A0B9AA41}"/>
    <cellStyle name="Normal 3 6 3 2 4 4 2" xfId="18845" xr:uid="{024DD94F-624B-48EF-8DA3-77BBD4C48872}"/>
    <cellStyle name="Normal 3 6 3 2 4 5" xfId="9840" xr:uid="{E6336490-9D7C-4687-8BF9-C67FFDF76301}"/>
    <cellStyle name="Normal 3 6 3 2 4 6" xfId="10732" xr:uid="{1C1D9395-E9C1-48A3-A4F7-5AECC5A34E98}"/>
    <cellStyle name="Normal 3 6 3 2 4 7" xfId="15317" xr:uid="{B44655D8-DF36-491A-8FFC-B2FE22B4A724}"/>
    <cellStyle name="Normal 3 6 3 2 5" xfId="7768" xr:uid="{3C2E57F2-5567-4357-9E98-6F8CD1A07150}"/>
    <cellStyle name="Normal 3 6 3 2 5 2" xfId="9241" xr:uid="{5F7D734A-0485-41E7-8214-45F60B653446}"/>
    <cellStyle name="Normal 3 6 3 2 5 2 2" xfId="19293" xr:uid="{B695195E-CB81-49FA-8F72-482240BF5026}"/>
    <cellStyle name="Normal 3 6 3 2 5 3" xfId="16744" xr:uid="{273D226D-CCA5-4710-97DF-3859A46B179D}"/>
    <cellStyle name="Normal 3 6 3 2 5 4" xfId="14921" xr:uid="{226ECC68-D545-429F-B70E-602F21E93DC8}"/>
    <cellStyle name="Normal 3 6 3 2 6" xfId="7769" xr:uid="{9D8A2E2E-48BA-4D19-AA80-9F7497B19ED9}"/>
    <cellStyle name="Normal 3 6 3 2 6 2" xfId="17203" xr:uid="{A3DC4556-9BBD-42BB-BEC3-7C4CD47D8B01}"/>
    <cellStyle name="Normal 3 6 3 2 6 3" xfId="14801" xr:uid="{6D5B1671-9FF3-473F-A1F5-35D299521045}"/>
    <cellStyle name="Normal 3 6 3 2 7" xfId="7770" xr:uid="{61AFAFF9-A885-4E66-AC10-729C1DA00C6C}"/>
    <cellStyle name="Normal 3 6 3 2 7 2" xfId="17813" xr:uid="{7007B68E-DD5E-4D88-A3BD-54A7D8C8652C}"/>
    <cellStyle name="Normal 3 6 3 2 7 3" xfId="14462" xr:uid="{065AA5DB-A83E-4946-A193-FD4575FAA2E7}"/>
    <cellStyle name="Normal 3 6 3 2 8" xfId="8365" xr:uid="{10D13101-D7D3-4CED-AFD8-76571A937622}"/>
    <cellStyle name="Normal 3 6 3 2 8 2" xfId="18417" xr:uid="{EEF2D1E8-096D-41EC-87FB-61B5E9D18B8E}"/>
    <cellStyle name="Normal 3 6 3 2 9" xfId="9694" xr:uid="{43F57AA6-FE2F-46AE-9FDA-E44300C69D1F}"/>
    <cellStyle name="Normal 3 6 3 3" xfId="4612" xr:uid="{AA368C36-7ADE-4D96-B4A0-4AFB14C79BFB}"/>
    <cellStyle name="Normal 3 6 3 3 2" xfId="7771" xr:uid="{5CE8615F-E505-420E-86A5-08CDACC04C35}"/>
    <cellStyle name="Normal 3 6 3 3 2 2" xfId="9044" xr:uid="{B8E5AAB4-D110-43D3-83BB-82F780CD2915}"/>
    <cellStyle name="Normal 3 6 3 3 2 2 2" xfId="19096" xr:uid="{08E81E7C-1485-497D-B3ED-DB35E1870455}"/>
    <cellStyle name="Normal 3 6 3 3 2 3" xfId="16549" xr:uid="{3F55D958-2405-45A2-BAE9-0ADCBA9A626D}"/>
    <cellStyle name="Normal 3 6 3 3 2 4" xfId="15090" xr:uid="{1CCF26B9-870A-4D5B-8562-3687A1158EFC}"/>
    <cellStyle name="Normal 3 6 3 3 3" xfId="7772" xr:uid="{2423758B-DCF9-4080-B0F3-292A6D17F002}"/>
    <cellStyle name="Normal 3 6 3 3 3 2" xfId="9492" xr:uid="{CF5B905D-1CCB-4281-A14B-571B731CB0CD}"/>
    <cellStyle name="Normal 3 6 3 3 3 2 2" xfId="19544" xr:uid="{FC8564EC-459A-4226-8B39-9449E14AB43E}"/>
    <cellStyle name="Normal 3 6 3 3 3 3" xfId="16995" xr:uid="{52D7BE8A-446E-460A-91E2-BED0AC29323B}"/>
    <cellStyle name="Normal 3 6 3 3 3 4" xfId="15676" xr:uid="{A93F4620-86DF-46B8-BC72-3DC822699AD6}"/>
    <cellStyle name="Normal 3 6 3 3 4" xfId="7773" xr:uid="{3B03D37C-9206-4410-89B1-F78C18D038FE}"/>
    <cellStyle name="Normal 3 6 3 3 4 2" xfId="17596" xr:uid="{4A436A96-BA54-4359-8B20-3ECB960D64D8}"/>
    <cellStyle name="Normal 3 6 3 3 4 3" xfId="14608" xr:uid="{D305E5D4-1B0A-4581-BD12-609B33B247CA}"/>
    <cellStyle name="Normal 3 6 3 3 5" xfId="7774" xr:uid="{CFB7C5C2-4FE5-4CBE-8168-7DD456AB71B0}"/>
    <cellStyle name="Normal 3 6 3 3 5 2" xfId="18207" xr:uid="{314C1EBE-6E28-424C-A52C-50CFB42282AF}"/>
    <cellStyle name="Normal 3 6 3 3 5 3" xfId="14260" xr:uid="{2C350704-D2E0-4227-BC0E-D887B05487D4}"/>
    <cellStyle name="Normal 3 6 3 3 6" xfId="8616" xr:uid="{15363E6B-AB1E-4CBB-88BD-1D9C2160E87B}"/>
    <cellStyle name="Normal 3 6 3 3 6 2" xfId="18668" xr:uid="{FE4FE82C-5811-4FA4-A815-37929E6F4A62}"/>
    <cellStyle name="Normal 3 6 3 3 7" xfId="10082" xr:uid="{CA88C86F-8BCD-4189-919D-3519BB50C3F1}"/>
    <cellStyle name="Normal 3 6 3 3 8" xfId="10733" xr:uid="{BA81BFBD-A1A6-48EF-AAAE-C7E66EECBAAB}"/>
    <cellStyle name="Normal 3 6 3 3 9" xfId="15884" xr:uid="{0416173D-6718-4081-8103-5C4D4BEC11EB}"/>
    <cellStyle name="Normal 3 6 3 4" xfId="4613" xr:uid="{EE45324D-4787-41B4-A1B1-3A4278B54E9C}"/>
    <cellStyle name="Normal 3 6 3 4 2" xfId="7775" xr:uid="{5BCF3037-9711-4BE6-B5D3-BEB13F5A0935}"/>
    <cellStyle name="Normal 3 6 3 4 2 2" xfId="9045" xr:uid="{56D0B574-4B87-4E42-98FA-F40A732626E0}"/>
    <cellStyle name="Normal 3 6 3 4 2 2 2" xfId="19097" xr:uid="{866A269F-D608-427F-B558-024BBD2F9605}"/>
    <cellStyle name="Normal 3 6 3 4 2 3" xfId="16550" xr:uid="{1EE79294-7A7C-40E6-9A82-183CBB887433}"/>
    <cellStyle name="Normal 3 6 3 4 2 4" xfId="14146" xr:uid="{E6F0571C-A8CC-4DB3-804F-4B2316D210A0}"/>
    <cellStyle name="Normal 3 6 3 4 3" xfId="7776" xr:uid="{2D3BE168-12F2-4DB9-A11F-9A5083DB03A6}"/>
    <cellStyle name="Normal 3 6 3 4 3 2" xfId="9493" xr:uid="{919EB4E6-9371-48AC-97F8-F401F4472181}"/>
    <cellStyle name="Normal 3 6 3 4 3 2 2" xfId="19545" xr:uid="{B6ABE0BC-1CBD-4CD8-9734-7E920E54D00A}"/>
    <cellStyle name="Normal 3 6 3 4 3 3" xfId="16996" xr:uid="{E48F28D6-73DC-418D-8F4F-CD98A444A364}"/>
    <cellStyle name="Normal 3 6 3 4 3 4" xfId="15675" xr:uid="{DD37C150-E7B5-4BC9-A5D9-AE87B8FFD138}"/>
    <cellStyle name="Normal 3 6 3 4 4" xfId="7777" xr:uid="{1C93B07B-9366-4719-B60B-3147C26FCE65}"/>
    <cellStyle name="Normal 3 6 3 4 4 2" xfId="17597" xr:uid="{6F1C2960-DC9C-485E-9E2E-A7F03C0B1872}"/>
    <cellStyle name="Normal 3 6 3 4 4 3" xfId="14607" xr:uid="{1597FDFD-401A-4CE6-9542-80A0EEED22D4}"/>
    <cellStyle name="Normal 3 6 3 4 5" xfId="7778" xr:uid="{501C2089-9371-4167-B080-59464B6DE044}"/>
    <cellStyle name="Normal 3 6 3 4 5 2" xfId="18208" xr:uid="{11A60538-3BF9-44AC-8514-7FE27F12852D}"/>
    <cellStyle name="Normal 3 6 3 4 5 3" xfId="14057" xr:uid="{996B7608-E946-4D5C-B95B-4B0181CB27F7}"/>
    <cellStyle name="Normal 3 6 3 4 6" xfId="8617" xr:uid="{C21F2716-B14A-4BE8-8F0C-4A88963BCF85}"/>
    <cellStyle name="Normal 3 6 3 4 6 2" xfId="18669" xr:uid="{D33D901F-A9DB-4D54-9F79-15B1E0BE7294}"/>
    <cellStyle name="Normal 3 6 3 4 7" xfId="10083" xr:uid="{1B2F513B-74E8-444C-BFC8-7A3D56DA4405}"/>
    <cellStyle name="Normal 3 6 3 4 8" xfId="10734" xr:uid="{4017AC29-2CCC-4832-9A63-8643E7008155}"/>
    <cellStyle name="Normal 3 6 3 4 9" xfId="15883" xr:uid="{A65120F5-99CC-4082-8FA2-7C54AE3B1997}"/>
    <cellStyle name="Normal 3 6 3 5" xfId="7779" xr:uid="{093E0622-AD2F-4018-9CF4-718E87833C2C}"/>
    <cellStyle name="Normal 3 6 3 5 2" xfId="7780" xr:uid="{1CED5313-D94B-44F6-BA82-43990A99235C}"/>
    <cellStyle name="Normal 3 6 3 5 2 2" xfId="17349" xr:uid="{EBFEF345-E570-40EA-B363-73D3146E0CEE}"/>
    <cellStyle name="Normal 3 6 3 5 3" xfId="7781" xr:uid="{6B1DB5F7-C31C-4641-9770-D586D88E133F}"/>
    <cellStyle name="Normal 3 6 3 5 3 2" xfId="17963" xr:uid="{EA4D0A0D-EA44-41CD-91DB-3FD177866952}"/>
    <cellStyle name="Normal 3 6 3 5 4" xfId="8792" xr:uid="{97B9FB07-8F8B-4CD1-867A-C52594529A4D}"/>
    <cellStyle name="Normal 3 6 3 5 4 2" xfId="18844" xr:uid="{076BBF84-EE19-49B9-9352-E0D2FB64346E}"/>
    <cellStyle name="Normal 3 6 3 5 5" xfId="9839" xr:uid="{EC297F4A-72BF-4392-BBF3-64310C60EA9A}"/>
    <cellStyle name="Normal 3 6 3 5 6" xfId="10735" xr:uid="{52F9EBDE-B854-4208-B67F-5AD11F6416F9}"/>
    <cellStyle name="Normal 3 6 3 5 7" xfId="15318" xr:uid="{AB06CA7B-D71F-4A34-8C62-C7A537F6867E}"/>
    <cellStyle name="Normal 3 6 3 6" xfId="7782" xr:uid="{14FBED16-587E-4C2B-906D-9E9D7BC86C82}"/>
    <cellStyle name="Normal 3 6 3 6 2" xfId="9240" xr:uid="{57FE6381-37DE-4BC9-A7B3-F5D3EBFEF815}"/>
    <cellStyle name="Normal 3 6 3 6 2 2" xfId="19292" xr:uid="{2DCCD8C2-B92D-4149-9A83-D706AE7F0653}"/>
    <cellStyle name="Normal 3 6 3 6 3" xfId="16743" xr:uid="{99FC4460-4F06-4E2F-AEAC-5CC05D65AF22}"/>
    <cellStyle name="Normal 3 6 3 6 4" xfId="14922" xr:uid="{5DB9AE52-E717-45FE-BDC7-877922E0E7CC}"/>
    <cellStyle name="Normal 3 6 3 7" xfId="7783" xr:uid="{7E23FE90-2E7F-4222-90F7-747231EE5201}"/>
    <cellStyle name="Normal 3 6 3 7 2" xfId="17202" xr:uid="{D73F5BFB-C9E3-4735-9550-AEC07E890C27}"/>
    <cellStyle name="Normal 3 6 3 7 3" xfId="15518" xr:uid="{60573C26-368A-40C2-9BF6-8AE4A0C532D2}"/>
    <cellStyle name="Normal 3 6 3 8" xfId="7784" xr:uid="{89E5949C-1DE0-46F0-84B0-3701A8E17C6B}"/>
    <cellStyle name="Normal 3 6 3 8 2" xfId="17812" xr:uid="{7945FC1E-8CF5-46EA-A83C-E9D83CF4C4F9}"/>
    <cellStyle name="Normal 3 6 3 8 3" xfId="14463" xr:uid="{D5F34E05-1456-4300-A847-32D0E9F8CDBF}"/>
    <cellStyle name="Normal 3 6 3 9" xfId="8364" xr:uid="{47573FA3-0EBE-4E59-A8A8-C18BE8D67372}"/>
    <cellStyle name="Normal 3 6 3 9 2" xfId="18416" xr:uid="{761D90A6-6241-4797-86D3-23275F14FA9D}"/>
    <cellStyle name="Normal 3 6 4" xfId="2878" xr:uid="{77755DBD-7DD3-46AD-9317-C780939A4ADF}"/>
    <cellStyle name="Normal 3 6 4 10" xfId="9695" xr:uid="{CE19D093-F4E3-4AE1-99C7-EF6072FD9A2C}"/>
    <cellStyle name="Normal 3 6 4 11" xfId="10349" xr:uid="{90B9AB6E-F3F1-41CB-A1BD-44C1ED6844B8}"/>
    <cellStyle name="Normal 3 6 4 12" xfId="12837" xr:uid="{36BEBBD7-B8A5-4E5D-A32D-98A2E620F97B}"/>
    <cellStyle name="Normal 3 6 4 12 2" xfId="16093" xr:uid="{E1D4F202-8472-4216-BD96-5EA160133BB5}"/>
    <cellStyle name="Normal 3 6 4 12 3" xfId="20732" xr:uid="{653B1786-5909-4758-A175-5DF762A663A3}"/>
    <cellStyle name="Normal 3 6 4 2" xfId="2879" xr:uid="{591AFD7D-F635-4E2F-B5BE-AE22033B59EC}"/>
    <cellStyle name="Normal 3 6 4 2 10" xfId="10350" xr:uid="{75A5114F-0926-43AC-A022-46DB53F28C78}"/>
    <cellStyle name="Normal 3 6 4 2 11" xfId="16092" xr:uid="{20450689-08D7-4D63-A5BF-9BF4DD92F01F}"/>
    <cellStyle name="Normal 3 6 4 2 2" xfId="4614" xr:uid="{401B840E-0A26-4C50-B6E0-732E87ACC8B2}"/>
    <cellStyle name="Normal 3 6 4 2 2 2" xfId="7785" xr:uid="{E0F5E9B5-CB36-4DED-9855-2AEB0164188F}"/>
    <cellStyle name="Normal 3 6 4 2 2 2 2" xfId="9046" xr:uid="{E74005A8-9702-4F11-8F10-55A17327554F}"/>
    <cellStyle name="Normal 3 6 4 2 2 2 2 2" xfId="19098" xr:uid="{3AC73AE5-DB88-4392-94A5-7392D0E0BF72}"/>
    <cellStyle name="Normal 3 6 4 2 2 2 3" xfId="16551" xr:uid="{7BA82AC7-7F75-4959-8FD0-8E469F8692C0}"/>
    <cellStyle name="Normal 3 6 4 2 2 2 4" xfId="15089" xr:uid="{CF36B097-0069-4989-A34A-29F5A03C89CA}"/>
    <cellStyle name="Normal 3 6 4 2 2 3" xfId="7786" xr:uid="{E66BFF25-806D-4117-B7F4-F6B471ED137C}"/>
    <cellStyle name="Normal 3 6 4 2 2 3 2" xfId="9494" xr:uid="{95328CC0-A1BD-48EB-9C27-FCDBDAE27484}"/>
    <cellStyle name="Normal 3 6 4 2 2 3 2 2" xfId="19546" xr:uid="{61193571-4A5C-4B14-BEA3-6119F143C0BF}"/>
    <cellStyle name="Normal 3 6 4 2 2 3 3" xfId="16997" xr:uid="{63E9A583-B023-48B7-9C3C-237E8BD15101}"/>
    <cellStyle name="Normal 3 6 4 2 2 3 4" xfId="15674" xr:uid="{E496B931-F6F8-4F5A-9A16-AB19201E616C}"/>
    <cellStyle name="Normal 3 6 4 2 2 4" xfId="7787" xr:uid="{036F1391-78B5-43E8-AA48-876DE9D9FF9C}"/>
    <cellStyle name="Normal 3 6 4 2 2 4 2" xfId="17598" xr:uid="{9D99E98D-B2F3-48F5-BA09-A4C3C2E29DC8}"/>
    <cellStyle name="Normal 3 6 4 2 2 4 3" xfId="14107" xr:uid="{9ACC54D3-15C6-4051-8832-06131F28AB49}"/>
    <cellStyle name="Normal 3 6 4 2 2 5" xfId="7788" xr:uid="{397CE72F-5127-4F7E-8257-AC338140925C}"/>
    <cellStyle name="Normal 3 6 4 2 2 5 2" xfId="18209" xr:uid="{C2FC08D6-D57E-40CC-BF92-E2CA7583F821}"/>
    <cellStyle name="Normal 3 6 4 2 2 5 3" xfId="14056" xr:uid="{0F16E351-0D15-4FC9-985C-169FB0F81EC6}"/>
    <cellStyle name="Normal 3 6 4 2 2 6" xfId="8618" xr:uid="{FDBEEB80-FD82-4945-9113-7F1871F9318E}"/>
    <cellStyle name="Normal 3 6 4 2 2 6 2" xfId="18670" xr:uid="{F623A403-812C-4F39-A0E8-3387377CFFE8}"/>
    <cellStyle name="Normal 3 6 4 2 2 7" xfId="10084" xr:uid="{BBB2579D-6651-4BC6-A461-186124011D34}"/>
    <cellStyle name="Normal 3 6 4 2 2 8" xfId="10736" xr:uid="{C57E7A11-657C-4E7A-94EF-EF552FD6F8C7}"/>
    <cellStyle name="Normal 3 6 4 2 2 9" xfId="15882" xr:uid="{55E816D4-0C13-4A6C-81A8-25EDE9E20154}"/>
    <cellStyle name="Normal 3 6 4 2 3" xfId="4615" xr:uid="{EFCE22BE-C633-4086-942D-EC7A35F9EAF7}"/>
    <cellStyle name="Normal 3 6 4 2 3 2" xfId="7789" xr:uid="{A2461CC1-B994-41AA-A7A3-8B4DC2DE239F}"/>
    <cellStyle name="Normal 3 6 4 2 3 2 2" xfId="9047" xr:uid="{B016D135-E19D-45D2-B2DC-87A1B9E0D529}"/>
    <cellStyle name="Normal 3 6 4 2 3 2 2 2" xfId="19099" xr:uid="{1D743FA9-F380-4504-AE86-9A938708A54A}"/>
    <cellStyle name="Normal 3 6 4 2 3 2 3" xfId="16552" xr:uid="{2435DE32-520C-4E8D-B965-0A60E8626DB0}"/>
    <cellStyle name="Normal 3 6 4 2 3 2 4" xfId="15088" xr:uid="{FA5BD5BC-B325-4A71-8A92-419DA8EF78CF}"/>
    <cellStyle name="Normal 3 6 4 2 3 3" xfId="7790" xr:uid="{9E03B176-D490-4DE7-83B2-FA8CDF5F4AFD}"/>
    <cellStyle name="Normal 3 6 4 2 3 3 2" xfId="9495" xr:uid="{6A9DE9BF-50CA-40CA-BF8C-E15216CDED08}"/>
    <cellStyle name="Normal 3 6 4 2 3 3 2 2" xfId="19547" xr:uid="{486E5D78-1DD1-492A-A7DD-186E0AA2D2E1}"/>
    <cellStyle name="Normal 3 6 4 2 3 3 3" xfId="16998" xr:uid="{96EF10A4-122C-44E1-AD4B-990DF79C10B1}"/>
    <cellStyle name="Normal 3 6 4 2 3 3 4" xfId="14125" xr:uid="{FA23FED6-29F0-4EE1-BCDD-3B512DAAC1EB}"/>
    <cellStyle name="Normal 3 6 4 2 3 4" xfId="7791" xr:uid="{4E44691C-ACAD-4641-A270-2F3023A2841A}"/>
    <cellStyle name="Normal 3 6 4 2 3 4 2" xfId="17599" xr:uid="{B06E7790-8A53-4135-B9FF-F37B61D2AFAE}"/>
    <cellStyle name="Normal 3 6 4 2 3 4 3" xfId="14606" xr:uid="{D4666AB9-377F-467D-955D-AAAA30D9E19A}"/>
    <cellStyle name="Normal 3 6 4 2 3 5" xfId="7792" xr:uid="{25E008E1-A7DA-48C8-9285-596071ED76D9}"/>
    <cellStyle name="Normal 3 6 4 2 3 5 2" xfId="18210" xr:uid="{1F028C77-7E39-4E8F-B70F-37D885261B96}"/>
    <cellStyle name="Normal 3 6 4 2 3 5 3" xfId="14259" xr:uid="{6464FDC6-6B71-476D-8FB0-26D3AAB46B2F}"/>
    <cellStyle name="Normal 3 6 4 2 3 6" xfId="8619" xr:uid="{93D1EB27-49BB-41A2-BF89-F60A579386D4}"/>
    <cellStyle name="Normal 3 6 4 2 3 6 2" xfId="18671" xr:uid="{ACB31633-23ED-4885-83D8-10051AA4B3FF}"/>
    <cellStyle name="Normal 3 6 4 2 3 7" xfId="10085" xr:uid="{0F5D3DCB-6ED7-4F82-BC01-CF5D2B9F7E57}"/>
    <cellStyle name="Normal 3 6 4 2 3 8" xfId="10737" xr:uid="{22C1334E-387A-4542-A8B5-C1D2289669C1}"/>
    <cellStyle name="Normal 3 6 4 2 3 9" xfId="15881" xr:uid="{165FC18D-BD25-4991-B262-27E644974817}"/>
    <cellStyle name="Normal 3 6 4 2 4" xfId="7793" xr:uid="{1561AD5D-0C7A-45B7-9BD4-86B67CD2955A}"/>
    <cellStyle name="Normal 3 6 4 2 4 2" xfId="7794" xr:uid="{103E1267-A731-4AB4-9D75-5FDE55694B91}"/>
    <cellStyle name="Normal 3 6 4 2 4 2 2" xfId="17352" xr:uid="{DEBCBDC2-3CE2-454B-A27E-30F4BF5018F6}"/>
    <cellStyle name="Normal 3 6 4 2 4 3" xfId="7795" xr:uid="{97A69CE9-BA29-44AE-B8C5-4645E29546B8}"/>
    <cellStyle name="Normal 3 6 4 2 4 3 2" xfId="17966" xr:uid="{19FE0284-D212-4802-BCD6-31CCD554D9BE}"/>
    <cellStyle name="Normal 3 6 4 2 4 4" xfId="8795" xr:uid="{611997C0-21A5-40C3-98F4-3B31916A15AA}"/>
    <cellStyle name="Normal 3 6 4 2 4 4 2" xfId="18847" xr:uid="{B7B54AC3-1E2B-48D1-97A4-3AF5EA92FF57}"/>
    <cellStyle name="Normal 3 6 4 2 4 5" xfId="9842" xr:uid="{FA4A7859-8378-4C12-B4E2-B6F391F6DACC}"/>
    <cellStyle name="Normal 3 6 4 2 4 6" xfId="10738" xr:uid="{0EAEF855-EB9D-40DF-AFF8-430756BBAC9A}"/>
    <cellStyle name="Normal 3 6 4 2 4 7" xfId="15315" xr:uid="{C414BAEB-BE1B-4709-85F0-BF00E3BFDF1A}"/>
    <cellStyle name="Normal 3 6 4 2 5" xfId="7796" xr:uid="{E428F726-A548-4F30-9E80-AE845EC705C4}"/>
    <cellStyle name="Normal 3 6 4 2 5 2" xfId="9243" xr:uid="{1CD6B69A-0C22-4483-BF66-33FE516B76DE}"/>
    <cellStyle name="Normal 3 6 4 2 5 2 2" xfId="19295" xr:uid="{BA336DDC-D6E1-4051-B642-494529605B75}"/>
    <cellStyle name="Normal 3 6 4 2 5 3" xfId="16746" xr:uid="{537093B6-D0BB-4B58-9107-D325095EA23C}"/>
    <cellStyle name="Normal 3 6 4 2 5 4" xfId="14027" xr:uid="{8C896DF1-73DB-4CE4-A86F-592184963938}"/>
    <cellStyle name="Normal 3 6 4 2 6" xfId="7797" xr:uid="{167A41CD-EB8D-424D-8EC3-1A70A7C3951D}"/>
    <cellStyle name="Normal 3 6 4 2 6 2" xfId="17205" xr:uid="{FD37A768-C5E6-41DA-B693-A82B4EF01B37}"/>
    <cellStyle name="Normal 3 6 4 2 6 3" xfId="15516" xr:uid="{5F05A9F4-6D83-4BD2-807B-6EA0B0CC057D}"/>
    <cellStyle name="Normal 3 6 4 2 7" xfId="7798" xr:uid="{6261DDCA-430C-4A33-A8D1-073B8803F73C}"/>
    <cellStyle name="Normal 3 6 4 2 7 2" xfId="17815" xr:uid="{9991C14D-A604-47BE-B94C-F40B57E8FE66}"/>
    <cellStyle name="Normal 3 6 4 2 7 3" xfId="14460" xr:uid="{3E9CB747-0DE0-4353-A4E3-E077BA547798}"/>
    <cellStyle name="Normal 3 6 4 2 8" xfId="8367" xr:uid="{7291BD23-27D8-4167-AB89-C997D28757BC}"/>
    <cellStyle name="Normal 3 6 4 2 8 2" xfId="18419" xr:uid="{D4B15C1A-182C-4D5A-A498-034979FC8385}"/>
    <cellStyle name="Normal 3 6 4 2 9" xfId="9696" xr:uid="{4BB6BEDB-A70D-4E55-9D99-7215DFB028F4}"/>
    <cellStyle name="Normal 3 6 4 3" xfId="4616" xr:uid="{3008EAF6-098F-411F-96B5-0BB9A2EF4E51}"/>
    <cellStyle name="Normal 3 6 4 3 2" xfId="7799" xr:uid="{192B3A9B-A0A0-4EF8-ADA9-614FF07D7B93}"/>
    <cellStyle name="Normal 3 6 4 3 2 2" xfId="9048" xr:uid="{625EAFEC-9EA0-4210-91D2-21F67DE35048}"/>
    <cellStyle name="Normal 3 6 4 3 2 2 2" xfId="19100" xr:uid="{32425E76-908F-4373-A5D5-689FF06B6546}"/>
    <cellStyle name="Normal 3 6 4 3 2 3" xfId="16553" xr:uid="{47A7E552-BA86-4B1B-A92E-4A51AC4E12E4}"/>
    <cellStyle name="Normal 3 6 4 3 2 4" xfId="15087" xr:uid="{77713077-4270-4188-BE10-10B5F67F58BF}"/>
    <cellStyle name="Normal 3 6 4 3 3" xfId="7800" xr:uid="{E6247E4A-8019-4FD1-BE8A-294BCE8E8C0E}"/>
    <cellStyle name="Normal 3 6 4 3 3 2" xfId="9496" xr:uid="{67B1B619-3B81-4FAA-916E-ADCAB8631CFB}"/>
    <cellStyle name="Normal 3 6 4 3 3 2 2" xfId="19548" xr:uid="{1F08EA0E-6131-44D5-BD16-EB4FA133F6E5}"/>
    <cellStyle name="Normal 3 6 4 3 3 3" xfId="16999" xr:uid="{850BE34D-1AB8-4E70-9710-9443F204EDB2}"/>
    <cellStyle name="Normal 3 6 4 3 3 4" xfId="15673" xr:uid="{BA15656C-1B99-4B1E-AB1F-1131077D804C}"/>
    <cellStyle name="Normal 3 6 4 3 4" xfId="7801" xr:uid="{12350C00-69C4-4DD7-B6B9-ECD2B6074F78}"/>
    <cellStyle name="Normal 3 6 4 3 4 2" xfId="17600" xr:uid="{74ABFC31-3C6B-4118-ABFC-73A5F20258DA}"/>
    <cellStyle name="Normal 3 6 4 3 4 3" xfId="14605" xr:uid="{496CA8DC-DCBD-4751-A582-65321C401D08}"/>
    <cellStyle name="Normal 3 6 4 3 5" xfId="7802" xr:uid="{1F2A58E9-36C5-4C3E-9539-B1DC8EE0D30B}"/>
    <cellStyle name="Normal 3 6 4 3 5 2" xfId="18211" xr:uid="{5B301A71-4BEB-4B8E-929A-6EA41B5401CA}"/>
    <cellStyle name="Normal 3 6 4 3 5 3" xfId="14258" xr:uid="{5B9D386F-5C73-4CA5-8FAA-564B56391D61}"/>
    <cellStyle name="Normal 3 6 4 3 6" xfId="8620" xr:uid="{62778ED7-E50C-4BE8-BA78-0A62B48DB101}"/>
    <cellStyle name="Normal 3 6 4 3 6 2" xfId="18672" xr:uid="{7405DD0A-946D-4340-8FF1-E4AAC72C327D}"/>
    <cellStyle name="Normal 3 6 4 3 7" xfId="10086" xr:uid="{A85E379B-C09D-4D4B-AF19-6F7FCAF21C36}"/>
    <cellStyle name="Normal 3 6 4 3 8" xfId="10739" xr:uid="{FE084929-D0C1-44B5-A865-9752904D8EDE}"/>
    <cellStyle name="Normal 3 6 4 3 9" xfId="15880" xr:uid="{481251EB-FA08-47B3-BD45-1ACED67975F3}"/>
    <cellStyle name="Normal 3 6 4 4" xfId="4617" xr:uid="{56605AFC-087C-4259-A25A-A77D5DE4B4FC}"/>
    <cellStyle name="Normal 3 6 4 4 2" xfId="7803" xr:uid="{10DC4BEA-220E-4B2A-A82B-433394A9FCAE}"/>
    <cellStyle name="Normal 3 6 4 4 2 2" xfId="9049" xr:uid="{475BC01C-6215-4341-B7CB-FC528BCC3C43}"/>
    <cellStyle name="Normal 3 6 4 4 2 2 2" xfId="19101" xr:uid="{3DE83D33-0FD5-40A6-ABE8-10BB360B8248}"/>
    <cellStyle name="Normal 3 6 4 4 2 3" xfId="16554" xr:uid="{CF2953B1-9A75-4EDD-BE10-70425BC38C76}"/>
    <cellStyle name="Normal 3 6 4 4 2 4" xfId="15086" xr:uid="{7CC9F96E-712B-41CB-9B42-9B46A7E5FDEC}"/>
    <cellStyle name="Normal 3 6 4 4 3" xfId="7804" xr:uid="{89795BA8-6EB0-4B8E-90B6-EAF0B33731FB}"/>
    <cellStyle name="Normal 3 6 4 4 3 2" xfId="9497" xr:uid="{EA351F68-C630-427C-98CC-ACE84F9F5388}"/>
    <cellStyle name="Normal 3 6 4 4 3 2 2" xfId="19549" xr:uid="{923F69E0-888F-460F-AFBF-BE7E579C61A1}"/>
    <cellStyle name="Normal 3 6 4 4 3 3" xfId="17000" xr:uid="{0429F184-D1D9-49AE-92B2-3A0DF11EB821}"/>
    <cellStyle name="Normal 3 6 4 4 3 4" xfId="15672" xr:uid="{062866D7-CC73-4675-A936-2497B9699B1D}"/>
    <cellStyle name="Normal 3 6 4 4 4" xfId="7805" xr:uid="{200AA902-A638-4BFA-B490-DCBE59530351}"/>
    <cellStyle name="Normal 3 6 4 4 4 2" xfId="17601" xr:uid="{290C25F0-BC24-434A-90DD-DC115F38CAC2}"/>
    <cellStyle name="Normal 3 6 4 4 4 3" xfId="14604" xr:uid="{F70A3031-9EA4-4528-B718-DFBA806A829F}"/>
    <cellStyle name="Normal 3 6 4 4 5" xfId="7806" xr:uid="{1974896C-2BB4-4909-9698-12B1F8396DE0}"/>
    <cellStyle name="Normal 3 6 4 4 5 2" xfId="18212" xr:uid="{D4AF876E-E32B-4485-9012-3FBA4B97A8FF}"/>
    <cellStyle name="Normal 3 6 4 4 5 3" xfId="14257" xr:uid="{F0717BC7-A1E5-4AC1-8422-81B81030BE13}"/>
    <cellStyle name="Normal 3 6 4 4 6" xfId="8621" xr:uid="{7AA859B8-E4BA-4A39-88BB-C19158267EF2}"/>
    <cellStyle name="Normal 3 6 4 4 6 2" xfId="18673" xr:uid="{1686443C-CFC1-4245-8182-C1140B037BE4}"/>
    <cellStyle name="Normal 3 6 4 4 7" xfId="10087" xr:uid="{A9DCED59-0663-42FD-AE48-393CA71A8EE0}"/>
    <cellStyle name="Normal 3 6 4 4 8" xfId="10740" xr:uid="{7D2C1980-91F1-43BD-9F4A-D0703AF420A3}"/>
    <cellStyle name="Normal 3 6 4 4 9" xfId="15399" xr:uid="{DB534A9B-80C5-4566-AF0B-B1CC7CE68E86}"/>
    <cellStyle name="Normal 3 6 4 5" xfId="7807" xr:uid="{871CEA48-07B7-4EBF-8E87-2294744C3D5B}"/>
    <cellStyle name="Normal 3 6 4 5 2" xfId="7808" xr:uid="{E03B837B-9531-440D-AF2C-C4604D2CA4EF}"/>
    <cellStyle name="Normal 3 6 4 5 2 2" xfId="17351" xr:uid="{DBEF5D80-DD74-4821-BEFB-5C961F6EFC07}"/>
    <cellStyle name="Normal 3 6 4 5 3" xfId="7809" xr:uid="{372E1562-2E26-4FDD-9DD9-11B839747627}"/>
    <cellStyle name="Normal 3 6 4 5 3 2" xfId="17965" xr:uid="{392AB3A7-5B9A-49D5-B245-12DA32DFFE4D}"/>
    <cellStyle name="Normal 3 6 4 5 4" xfId="8794" xr:uid="{ABA409BF-6B4C-4E35-A47C-25BED297B967}"/>
    <cellStyle name="Normal 3 6 4 5 4 2" xfId="18846" xr:uid="{55B30186-23AB-4D03-90B2-17BFE066EA56}"/>
    <cellStyle name="Normal 3 6 4 5 5" xfId="9841" xr:uid="{BDA3B852-C69B-4005-9808-21CD6156FF05}"/>
    <cellStyle name="Normal 3 6 4 5 6" xfId="10741" xr:uid="{A9902860-EC77-41A0-A79B-B726794304C6}"/>
    <cellStyle name="Normal 3 6 4 5 7" xfId="15316" xr:uid="{F603099D-993D-40C3-8853-2537EEF4B86A}"/>
    <cellStyle name="Normal 3 6 4 6" xfId="7810" xr:uid="{B2D0E54B-43B7-47B0-BFE9-F72977FF5AD0}"/>
    <cellStyle name="Normal 3 6 4 6 2" xfId="9242" xr:uid="{9F78A427-B972-484C-9138-353758C4E17A}"/>
    <cellStyle name="Normal 3 6 4 6 2 2" xfId="19294" xr:uid="{73015EF5-3750-43A7-8083-98998AE31F51}"/>
    <cellStyle name="Normal 3 6 4 6 3" xfId="16745" xr:uid="{6176EA66-B3C8-4C4B-AF91-819401663525}"/>
    <cellStyle name="Normal 3 6 4 6 4" xfId="14920" xr:uid="{64661758-CDD7-4637-B909-44CFF6BBDEAE}"/>
    <cellStyle name="Normal 3 6 4 7" xfId="7811" xr:uid="{AF0EF791-342B-4AB4-BCA5-FAC9CB64CFAE}"/>
    <cellStyle name="Normal 3 6 4 7 2" xfId="17204" xr:uid="{4EF78F32-93A8-42AF-B0D8-64CDD0BEA3FF}"/>
    <cellStyle name="Normal 3 6 4 7 3" xfId="15517" xr:uid="{8C25FA35-FEAD-4194-82F4-EB3598B42CB7}"/>
    <cellStyle name="Normal 3 6 4 8" xfId="7812" xr:uid="{9D5FCC26-B16C-41AC-B5A3-036E23A4A7A4}"/>
    <cellStyle name="Normal 3 6 4 8 2" xfId="17814" xr:uid="{5D26217E-E84D-4B17-B5EA-9A5E6734BE41}"/>
    <cellStyle name="Normal 3 6 4 8 3" xfId="14461" xr:uid="{587B7618-9385-4000-8687-4222AABD7296}"/>
    <cellStyle name="Normal 3 6 4 9" xfId="8366" xr:uid="{897BB99B-7525-41E6-BDC0-D6E95307D15E}"/>
    <cellStyle name="Normal 3 6 4 9 2" xfId="18418" xr:uid="{182F5C38-A75B-4A9B-931C-A1825880B6EF}"/>
    <cellStyle name="Normal 3 6 5" xfId="2880" xr:uid="{DC7ED3BF-2CE7-4784-9088-D54C26168A48}"/>
    <cellStyle name="Normal 3 6 5 10" xfId="9697" xr:uid="{07D6F5EF-A714-4357-A997-19B3EBEB3EEA}"/>
    <cellStyle name="Normal 3 6 5 11" xfId="10351" xr:uid="{A6FEBE3A-F4F8-4CBC-844F-C9EA60221F58}"/>
    <cellStyle name="Normal 3 6 5 12" xfId="11247" xr:uid="{515763FB-C1D2-4716-8715-B4ED3C7DA127}"/>
    <cellStyle name="Normal 3 6 5 12 2" xfId="16091" xr:uid="{48762557-4BDC-42C3-8EEA-DADF3C05D06B}"/>
    <cellStyle name="Normal 3 6 5 12 3" xfId="20525" xr:uid="{3EEFED9F-D203-4A41-9376-8475276E4897}"/>
    <cellStyle name="Normal 3 6 5 2" xfId="2881" xr:uid="{8B736439-843D-4AB9-ACF0-F9D3E1690C2B}"/>
    <cellStyle name="Normal 3 6 5 2 10" xfId="10352" xr:uid="{AB2E07D0-73D8-4BEB-8BBC-C8AC2AC5F53E}"/>
    <cellStyle name="Normal 3 6 5 2 11" xfId="16090" xr:uid="{AAF27FF9-DE57-4D00-AF9A-0C3C7C513AFB}"/>
    <cellStyle name="Normal 3 6 5 2 2" xfId="4618" xr:uid="{6F17D8F3-A931-4573-99F0-B75BFF1D3279}"/>
    <cellStyle name="Normal 3 6 5 2 2 2" xfId="7813" xr:uid="{B4F7677F-F230-4DEA-8888-23E657C081DA}"/>
    <cellStyle name="Normal 3 6 5 2 2 2 2" xfId="9050" xr:uid="{1780F31B-56EB-4558-8E43-FC06086BBD31}"/>
    <cellStyle name="Normal 3 6 5 2 2 2 2 2" xfId="19102" xr:uid="{FE99179C-16D5-4B15-91F2-E7B09A24A1C5}"/>
    <cellStyle name="Normal 3 6 5 2 2 2 3" xfId="16555" xr:uid="{530AAF5E-FCA7-4D5E-8F1F-98BDD3FE96C0}"/>
    <cellStyle name="Normal 3 6 5 2 2 2 4" xfId="15085" xr:uid="{3531DFAA-4C22-46C1-B0EE-4291A48C2FAB}"/>
    <cellStyle name="Normal 3 6 5 2 2 3" xfId="7814" xr:uid="{722BF521-BE6C-4219-91F1-B2BA45E99633}"/>
    <cellStyle name="Normal 3 6 5 2 2 3 2" xfId="9498" xr:uid="{36DEB14E-EC77-4771-BFBA-868EC88A571F}"/>
    <cellStyle name="Normal 3 6 5 2 2 3 2 2" xfId="19550" xr:uid="{6563BCCB-7829-435B-B7C0-877762460A5C}"/>
    <cellStyle name="Normal 3 6 5 2 2 3 3" xfId="17001" xr:uid="{5A47160A-CA0F-45FF-B430-1D5F67A64865}"/>
    <cellStyle name="Normal 3 6 5 2 2 3 4" xfId="15671" xr:uid="{09921D1D-9776-433B-8743-35DB0902DDE6}"/>
    <cellStyle name="Normal 3 6 5 2 2 4" xfId="7815" xr:uid="{3B01ADF4-B933-436A-BB8C-87DDD89491B0}"/>
    <cellStyle name="Normal 3 6 5 2 2 4 2" xfId="17602" xr:uid="{97A7800F-EB0A-4E2F-A5EE-2FCB441800D0}"/>
    <cellStyle name="Normal 3 6 5 2 2 4 3" xfId="14603" xr:uid="{BFA2BC9D-78C9-4546-84BB-425765EEB9F2}"/>
    <cellStyle name="Normal 3 6 5 2 2 5" xfId="7816" xr:uid="{5FBC4CE2-6023-4640-84E0-6AEF1FFDFD54}"/>
    <cellStyle name="Normal 3 6 5 2 2 5 2" xfId="18213" xr:uid="{96D67C4F-1371-4415-8462-8956B77987A3}"/>
    <cellStyle name="Normal 3 6 5 2 2 5 3" xfId="14256" xr:uid="{B61790ED-3666-4F1D-8E21-4271E2DF5643}"/>
    <cellStyle name="Normal 3 6 5 2 2 6" xfId="8622" xr:uid="{4BAB5741-2BF1-4751-847F-86CCA662B054}"/>
    <cellStyle name="Normal 3 6 5 2 2 6 2" xfId="18674" xr:uid="{66C54FA0-08D1-4210-B190-14D3E4031970}"/>
    <cellStyle name="Normal 3 6 5 2 2 7" xfId="10088" xr:uid="{54609F59-F641-4F85-A663-98A6FFC52FC0}"/>
    <cellStyle name="Normal 3 6 5 2 2 8" xfId="10742" xr:uid="{BB9D3512-0372-40CE-A79E-4439F8AD0203}"/>
    <cellStyle name="Normal 3 6 5 2 2 9" xfId="15879" xr:uid="{46CDC158-5C5C-4CAB-BF6A-E71CB0B9B5BD}"/>
    <cellStyle name="Normal 3 6 5 2 3" xfId="4619" xr:uid="{BA3BD264-560C-4346-8E56-6E0FE8A63173}"/>
    <cellStyle name="Normal 3 6 5 2 3 2" xfId="7817" xr:uid="{6886567F-6EFB-445F-8614-9A64E338B2BD}"/>
    <cellStyle name="Normal 3 6 5 2 3 2 2" xfId="9051" xr:uid="{B279A44E-6675-4008-93DD-BD7809525336}"/>
    <cellStyle name="Normal 3 6 5 2 3 2 2 2" xfId="19103" xr:uid="{52DBB400-F3E0-48C1-8F52-0E9353B9085C}"/>
    <cellStyle name="Normal 3 6 5 2 3 2 3" xfId="16556" xr:uid="{772DB779-EFF7-439B-A47C-C596D9C5BAF3}"/>
    <cellStyle name="Normal 3 6 5 2 3 2 4" xfId="15084" xr:uid="{CD758798-DC2A-407A-9078-37EFE21A62F9}"/>
    <cellStyle name="Normal 3 6 5 2 3 3" xfId="7818" xr:uid="{DA60F821-88DC-49E7-8CC3-823261651C85}"/>
    <cellStyle name="Normal 3 6 5 2 3 3 2" xfId="9499" xr:uid="{8FE38FCC-9BFD-4D11-A67E-51B63E1C69B2}"/>
    <cellStyle name="Normal 3 6 5 2 3 3 2 2" xfId="19551" xr:uid="{3E4A340B-2B32-423F-B9AE-66DCB16BC28A}"/>
    <cellStyle name="Normal 3 6 5 2 3 3 3" xfId="17002" xr:uid="{AE82CA48-94ED-4FD6-A09F-943EBF1F6F36}"/>
    <cellStyle name="Normal 3 6 5 2 3 3 4" xfId="15670" xr:uid="{BBE8E825-4E0E-43D3-8326-4A04F6791C88}"/>
    <cellStyle name="Normal 3 6 5 2 3 4" xfId="7819" xr:uid="{747FFBDB-A097-4BA3-8E65-580B60EB53A7}"/>
    <cellStyle name="Normal 3 6 5 2 3 4 2" xfId="17603" xr:uid="{26AB76CF-733C-496E-A6CB-98CACFAE223B}"/>
    <cellStyle name="Normal 3 6 5 2 3 4 3" xfId="14602" xr:uid="{1F14586B-0531-4E72-B7DB-EDBCE20A1823}"/>
    <cellStyle name="Normal 3 6 5 2 3 5" xfId="7820" xr:uid="{E339F6F6-E88D-4BC1-9B72-11DA4D0E2741}"/>
    <cellStyle name="Normal 3 6 5 2 3 5 2" xfId="18214" xr:uid="{F14ED654-F075-42E1-96FC-66F3A408F019}"/>
    <cellStyle name="Normal 3 6 5 2 3 5 3" xfId="14255" xr:uid="{6E71D48B-9EFE-46B3-8534-EDE812578A51}"/>
    <cellStyle name="Normal 3 6 5 2 3 6" xfId="8623" xr:uid="{A61A47CF-D1E8-4C0C-8AFC-A24D0B46C6A4}"/>
    <cellStyle name="Normal 3 6 5 2 3 6 2" xfId="18675" xr:uid="{85A323A9-3BB5-4E6F-84DE-7D8115DEB089}"/>
    <cellStyle name="Normal 3 6 5 2 3 7" xfId="10089" xr:uid="{B1240E39-E3C0-41B6-B58E-7AB7A675F335}"/>
    <cellStyle name="Normal 3 6 5 2 3 8" xfId="10743" xr:uid="{7875CF60-B67A-4B5C-81C1-FC7A8A30EE95}"/>
    <cellStyle name="Normal 3 6 5 2 3 9" xfId="15878" xr:uid="{64D6108E-B506-4C03-BDB7-A7A28D2434E1}"/>
    <cellStyle name="Normal 3 6 5 2 4" xfId="7821" xr:uid="{C6F8B95C-1342-4DF4-9784-F80552C2DB0F}"/>
    <cellStyle name="Normal 3 6 5 2 4 2" xfId="7822" xr:uid="{A383607B-45F1-4E5C-80C6-82C38F562628}"/>
    <cellStyle name="Normal 3 6 5 2 4 2 2" xfId="17354" xr:uid="{57805AD7-5728-497C-9A8D-E3F74296C710}"/>
    <cellStyle name="Normal 3 6 5 2 4 3" xfId="7823" xr:uid="{6B07E910-0759-423D-AA27-BD920EA97177}"/>
    <cellStyle name="Normal 3 6 5 2 4 3 2" xfId="17968" xr:uid="{3662C831-4313-4DEF-99AE-74DB431AD522}"/>
    <cellStyle name="Normal 3 6 5 2 4 4" xfId="8797" xr:uid="{25DA5F44-3A0E-4B53-BF07-B24EE7448854}"/>
    <cellStyle name="Normal 3 6 5 2 4 4 2" xfId="18849" xr:uid="{C77BA3B8-5D53-4AC7-A134-31C21E4173DD}"/>
    <cellStyle name="Normal 3 6 5 2 4 5" xfId="9844" xr:uid="{816F3061-A61D-448E-AE0A-EF853BB24069}"/>
    <cellStyle name="Normal 3 6 5 2 4 6" xfId="10744" xr:uid="{FEB2306D-0B20-4F92-B98F-547CBCF6F425}"/>
    <cellStyle name="Normal 3 6 5 2 4 7" xfId="15313" xr:uid="{AB916ECE-72FE-4CAE-9F91-DA06B883D79B}"/>
    <cellStyle name="Normal 3 6 5 2 5" xfId="7824" xr:uid="{0B72F2E4-E620-43C6-97E1-E29FD6B65C21}"/>
    <cellStyle name="Normal 3 6 5 2 5 2" xfId="9245" xr:uid="{45A34413-8796-46EC-B10E-1F8452AFD43A}"/>
    <cellStyle name="Normal 3 6 5 2 5 2 2" xfId="19297" xr:uid="{521380B2-95D4-41FD-BD27-1B5AAB96BFA8}"/>
    <cellStyle name="Normal 3 6 5 2 5 3" xfId="16748" xr:uid="{BAE19E38-5C80-4314-B0D3-CC664E2AC0CE}"/>
    <cellStyle name="Normal 3 6 5 2 5 4" xfId="14918" xr:uid="{54706160-D00B-4A42-A2FE-0BCDD0492F0A}"/>
    <cellStyle name="Normal 3 6 5 2 6" xfId="7825" xr:uid="{C7EEB19A-0590-415A-AD5D-2C49FA286556}"/>
    <cellStyle name="Normal 3 6 5 2 6 2" xfId="17207" xr:uid="{DC8BC9C0-7CD0-4560-865C-67F0650FC46A}"/>
    <cellStyle name="Normal 3 6 5 2 6 3" xfId="15514" xr:uid="{1E572956-D1F4-48BE-9227-834C94B46651}"/>
    <cellStyle name="Normal 3 6 5 2 7" xfId="7826" xr:uid="{77EC0B72-B417-430E-84D5-766581F81C59}"/>
    <cellStyle name="Normal 3 6 5 2 7 2" xfId="17817" xr:uid="{7C7A7178-3FED-4C63-BD33-9F41F46406B5}"/>
    <cellStyle name="Normal 3 6 5 2 7 3" xfId="14092" xr:uid="{8F2891D2-6604-49C6-B134-5F4185385169}"/>
    <cellStyle name="Normal 3 6 5 2 8" xfId="8369" xr:uid="{8DBF06C6-1489-45B3-B12F-B85D722668FE}"/>
    <cellStyle name="Normal 3 6 5 2 8 2" xfId="18421" xr:uid="{662AC8D5-8D49-44BE-8976-09EA95413322}"/>
    <cellStyle name="Normal 3 6 5 2 9" xfId="9698" xr:uid="{1527676B-8E4D-4203-94C4-D35EF050AB8D}"/>
    <cellStyle name="Normal 3 6 5 3" xfId="4620" xr:uid="{8EAF4E7D-920C-4245-B38A-94FCD1FAD071}"/>
    <cellStyle name="Normal 3 6 5 3 2" xfId="7827" xr:uid="{026ACB4C-482D-482E-A15A-0934C482645A}"/>
    <cellStyle name="Normal 3 6 5 3 2 2" xfId="9052" xr:uid="{161B6DF9-EF65-481D-853C-319A119AA8EE}"/>
    <cellStyle name="Normal 3 6 5 3 2 2 2" xfId="19104" xr:uid="{56420AAC-B465-4BAA-86C6-F6C9522E5355}"/>
    <cellStyle name="Normal 3 6 5 3 2 3" xfId="16557" xr:uid="{6DFB263A-87CC-4AD6-9E2A-3B574BF7493D}"/>
    <cellStyle name="Normal 3 6 5 3 2 4" xfId="15083" xr:uid="{FD63AD6F-32A2-40B7-B0E4-519CF44DE2B1}"/>
    <cellStyle name="Normal 3 6 5 3 3" xfId="7828" xr:uid="{E80AD9A0-B1A1-43A2-8C42-C4CB9FEBDB1B}"/>
    <cellStyle name="Normal 3 6 5 3 3 2" xfId="9500" xr:uid="{64262382-F306-4333-B8E6-76496C9079BA}"/>
    <cellStyle name="Normal 3 6 5 3 3 2 2" xfId="19552" xr:uid="{E004A382-0E6C-4016-8899-FE16422BE157}"/>
    <cellStyle name="Normal 3 6 5 3 3 3" xfId="17003" xr:uid="{BC8147E1-C4EC-45A4-B341-12C7362385FB}"/>
    <cellStyle name="Normal 3 6 5 3 3 4" xfId="15669" xr:uid="{B39AB1A4-5E7A-4D29-890D-39868C2878BF}"/>
    <cellStyle name="Normal 3 6 5 3 4" xfId="7829" xr:uid="{A9E3A098-9C33-44D1-AC50-CBFE3049AC01}"/>
    <cellStyle name="Normal 3 6 5 3 4 2" xfId="17604" xr:uid="{9C2E9236-FCDB-4FB0-9E63-BE031B8A9AF0}"/>
    <cellStyle name="Normal 3 6 5 3 4 3" xfId="14601" xr:uid="{A524C793-5998-4CF2-9F5F-E7D019D5DBF4}"/>
    <cellStyle name="Normal 3 6 5 3 5" xfId="7830" xr:uid="{1144EBE3-30E2-494B-A4B8-AE6D4D7E5779}"/>
    <cellStyle name="Normal 3 6 5 3 5 2" xfId="18215" xr:uid="{F7E2E52F-76C3-457D-94BE-6BEA62565C39}"/>
    <cellStyle name="Normal 3 6 5 3 5 3" xfId="14254" xr:uid="{EEAC4F8A-9EAB-453A-BAEC-C42219C0FEBE}"/>
    <cellStyle name="Normal 3 6 5 3 6" xfId="8624" xr:uid="{963C38D3-0875-456D-AB0F-188F6A26D4E5}"/>
    <cellStyle name="Normal 3 6 5 3 6 2" xfId="18676" xr:uid="{0B44DE13-BE82-4C4F-97FB-5FE5B0FE4777}"/>
    <cellStyle name="Normal 3 6 5 3 7" xfId="10090" xr:uid="{BC4C4C7A-C1A8-4811-88FF-026FFA9AB2C4}"/>
    <cellStyle name="Normal 3 6 5 3 8" xfId="10745" xr:uid="{DAD6CBA4-3042-46A5-9C38-73F49C60167F}"/>
    <cellStyle name="Normal 3 6 5 3 9" xfId="15877" xr:uid="{A9AD4BA2-CD88-4D21-9218-8A3867635DEB}"/>
    <cellStyle name="Normal 3 6 5 4" xfId="4621" xr:uid="{1F520257-3BA1-4F35-83D5-124729D783C0}"/>
    <cellStyle name="Normal 3 6 5 4 2" xfId="7831" xr:uid="{A6513B67-30FD-477B-8A44-AE06CEBDC1D2}"/>
    <cellStyle name="Normal 3 6 5 4 2 2" xfId="9053" xr:uid="{628064CB-4447-42F5-9D93-D329F3B73C3E}"/>
    <cellStyle name="Normal 3 6 5 4 2 2 2" xfId="19105" xr:uid="{A5630A7E-4CA7-4B9E-8F68-96A289319976}"/>
    <cellStyle name="Normal 3 6 5 4 2 3" xfId="16558" xr:uid="{6168E0AA-D220-469D-AFC1-24C669348A94}"/>
    <cellStyle name="Normal 3 6 5 4 2 4" xfId="15082" xr:uid="{77CB981A-262B-4442-8AD9-3A9B7AC421E9}"/>
    <cellStyle name="Normal 3 6 5 4 3" xfId="7832" xr:uid="{2FF90B97-7124-40CE-ABD6-CA45D2B403FB}"/>
    <cellStyle name="Normal 3 6 5 4 3 2" xfId="9501" xr:uid="{EBC9B4D9-AF2B-4C94-8053-25905910026D}"/>
    <cellStyle name="Normal 3 6 5 4 3 2 2" xfId="19553" xr:uid="{1AA8018A-91F9-4B7B-8F55-70B4A634BF1D}"/>
    <cellStyle name="Normal 3 6 5 4 3 3" xfId="17004" xr:uid="{102599A9-67D2-40FE-A7D1-CF35F1F77F19}"/>
    <cellStyle name="Normal 3 6 5 4 3 4" xfId="15668" xr:uid="{4D74F732-F78F-4AA1-9185-319EBEFE6443}"/>
    <cellStyle name="Normal 3 6 5 4 4" xfId="7833" xr:uid="{0D0F8940-8AC2-459C-8669-A57EA01BA8DC}"/>
    <cellStyle name="Normal 3 6 5 4 4 2" xfId="17605" xr:uid="{F18DF040-9896-498E-8543-6D91E6DAFBAD}"/>
    <cellStyle name="Normal 3 6 5 4 4 3" xfId="14600" xr:uid="{8B56BC02-5893-4E30-9E3A-E2AD5163A2BD}"/>
    <cellStyle name="Normal 3 6 5 4 5" xfId="7834" xr:uid="{3C4857CF-5285-4DC9-852B-4A99BD833FCE}"/>
    <cellStyle name="Normal 3 6 5 4 5 2" xfId="18216" xr:uid="{BEFEDAC0-9DA7-4E57-B59A-4A38F2610F18}"/>
    <cellStyle name="Normal 3 6 5 4 5 3" xfId="14253" xr:uid="{006DA045-7586-42CF-9325-2AE90BC81E6F}"/>
    <cellStyle name="Normal 3 6 5 4 6" xfId="8625" xr:uid="{630104D6-13DA-4A3A-AD24-6EE711B65BFA}"/>
    <cellStyle name="Normal 3 6 5 4 6 2" xfId="18677" xr:uid="{D840B596-BF3F-4A92-9262-2E45E2AFA0E8}"/>
    <cellStyle name="Normal 3 6 5 4 7" xfId="10091" xr:uid="{8EB8D7A8-8454-4F3C-8EE7-C9BF98A6250A}"/>
    <cellStyle name="Normal 3 6 5 4 8" xfId="10746" xr:uid="{DC58877C-B9CB-4259-A8CB-F70364B2CDB5}"/>
    <cellStyle name="Normal 3 6 5 4 9" xfId="15876" xr:uid="{E3FE3931-8235-40C4-ADF8-F7794E331D09}"/>
    <cellStyle name="Normal 3 6 5 5" xfId="7835" xr:uid="{5F41687B-ABBF-4CED-8616-7BD3183C456F}"/>
    <cellStyle name="Normal 3 6 5 5 2" xfId="7836" xr:uid="{03F5F487-FBBE-43E3-84E4-A916D0E12205}"/>
    <cellStyle name="Normal 3 6 5 5 2 2" xfId="17353" xr:uid="{664B1B26-B666-44DE-A094-44797F3E01B1}"/>
    <cellStyle name="Normal 3 6 5 5 3" xfId="7837" xr:uid="{92B993F6-7DFC-4B40-9368-9A56C6EF04EC}"/>
    <cellStyle name="Normal 3 6 5 5 3 2" xfId="17967" xr:uid="{12AF5688-30FC-4ED8-B544-662707F1B3D6}"/>
    <cellStyle name="Normal 3 6 5 5 4" xfId="8796" xr:uid="{47B36058-FBA5-4D0E-9730-1F89420FB237}"/>
    <cellStyle name="Normal 3 6 5 5 4 2" xfId="18848" xr:uid="{EEEA216F-749E-435B-B2A4-C6309FDE4B5A}"/>
    <cellStyle name="Normal 3 6 5 5 5" xfId="9843" xr:uid="{244DEC80-2CBD-441D-8B97-56F5EA6944DD}"/>
    <cellStyle name="Normal 3 6 5 5 6" xfId="10747" xr:uid="{E10EB602-0BB0-412B-8004-C4F08604EA80}"/>
    <cellStyle name="Normal 3 6 5 5 7" xfId="15314" xr:uid="{AB9EE2D5-FB3B-4639-861A-B133E8A8DE81}"/>
    <cellStyle name="Normal 3 6 5 6" xfId="7838" xr:uid="{ED0E03E7-8A4C-4B2E-B942-396817DE2C96}"/>
    <cellStyle name="Normal 3 6 5 6 2" xfId="9244" xr:uid="{3E2D9747-E1A1-4F90-8B99-2810484C6A94}"/>
    <cellStyle name="Normal 3 6 5 6 2 2" xfId="19296" xr:uid="{A69CED71-D24D-4C14-91EA-35A90D04BD58}"/>
    <cellStyle name="Normal 3 6 5 6 3" xfId="16747" xr:uid="{DE84CA5C-36FB-4C71-851F-FAABB4C19C8C}"/>
    <cellStyle name="Normal 3 6 5 6 4" xfId="14919" xr:uid="{1DDB44A9-CB71-45CD-8B20-F9407C663D6C}"/>
    <cellStyle name="Normal 3 6 5 7" xfId="7839" xr:uid="{131A8110-9851-4166-A56F-3691CCC335CD}"/>
    <cellStyle name="Normal 3 6 5 7 2" xfId="17206" xr:uid="{A247D704-167F-4327-999F-FBE13139C40A}"/>
    <cellStyle name="Normal 3 6 5 7 3" xfId="15515" xr:uid="{112FD658-D094-49E1-BCE4-EF925DAF1F2C}"/>
    <cellStyle name="Normal 3 6 5 8" xfId="7840" xr:uid="{E26C4B64-A03A-4232-9B95-45ECB95D5FC4}"/>
    <cellStyle name="Normal 3 6 5 8 2" xfId="17816" xr:uid="{D5D5E142-75E2-4543-8609-6F7C156D9AEB}"/>
    <cellStyle name="Normal 3 6 5 8 3" xfId="14093" xr:uid="{0416F43F-AAAF-4D3D-AB82-DEE8F34E4AA2}"/>
    <cellStyle name="Normal 3 6 5 9" xfId="8368" xr:uid="{218EDBDE-23F5-43E5-8F44-D89EBA38D9EE}"/>
    <cellStyle name="Normal 3 6 5 9 2" xfId="18420" xr:uid="{A3031D63-0394-4ED8-8B56-31DF956BABF1}"/>
    <cellStyle name="Normal 3 6 6" xfId="2882" xr:uid="{BBD6BA21-9EF6-429B-A44E-94E4ED165F90}"/>
    <cellStyle name="Normal 3 6 6 10" xfId="9699" xr:uid="{E3615E19-7DC9-40F8-A3B6-1B06B551451E}"/>
    <cellStyle name="Normal 3 6 6 11" xfId="10353" xr:uid="{31E04E7F-E4CC-4ECA-B9AA-E3D584318834}"/>
    <cellStyle name="Normal 3 6 6 12" xfId="12987" xr:uid="{E26EF476-DF28-4D70-911B-39C0DE4F755B}"/>
    <cellStyle name="Normal 3 6 6 12 2" xfId="16089" xr:uid="{562AFB3B-141A-4C83-AAEF-14F484D48C47}"/>
    <cellStyle name="Normal 3 6 6 12 3" xfId="20760" xr:uid="{B8085E31-7625-4DA7-A84C-633165AE769D}"/>
    <cellStyle name="Normal 3 6 6 2" xfId="2883" xr:uid="{DC2B82AA-3F11-40C8-8B16-4EF4D7BF4B0D}"/>
    <cellStyle name="Normal 3 6 6 2 10" xfId="10354" xr:uid="{465597DE-3FE7-480F-9BF2-06139C6A557D}"/>
    <cellStyle name="Normal 3 6 6 2 11" xfId="16088" xr:uid="{E4FACDED-9FCB-403A-BD40-CC9F84C4E857}"/>
    <cellStyle name="Normal 3 6 6 2 2" xfId="4622" xr:uid="{9E4633A8-B8AB-489B-9206-51148C4C4ACA}"/>
    <cellStyle name="Normal 3 6 6 2 2 2" xfId="7841" xr:uid="{44AA0DF6-2198-4BF0-BECA-E1CD2BDB4BF1}"/>
    <cellStyle name="Normal 3 6 6 2 2 2 2" xfId="9054" xr:uid="{AA3831D9-6603-4429-9D24-CBB59605899E}"/>
    <cellStyle name="Normal 3 6 6 2 2 2 2 2" xfId="19106" xr:uid="{B36E66CF-EC42-4557-B97F-E99E1077B6EB}"/>
    <cellStyle name="Normal 3 6 6 2 2 2 3" xfId="16559" xr:uid="{6474108A-DE86-4CE2-B37B-D84D42756DDF}"/>
    <cellStyle name="Normal 3 6 6 2 2 2 4" xfId="15081" xr:uid="{7CA6D144-5F1A-4E29-95F4-C7D1D0B2BC11}"/>
    <cellStyle name="Normal 3 6 6 2 2 3" xfId="7842" xr:uid="{F7581E61-9CB5-4680-880A-AFEA50BBA67E}"/>
    <cellStyle name="Normal 3 6 6 2 2 3 2" xfId="9502" xr:uid="{B8E9D8CB-06AE-4F1C-A4A6-F334BF24FA2E}"/>
    <cellStyle name="Normal 3 6 6 2 2 3 2 2" xfId="19554" xr:uid="{21B786D8-C500-4509-8E3F-5A3473974E1F}"/>
    <cellStyle name="Normal 3 6 6 2 2 3 3" xfId="17005" xr:uid="{C0DB1197-6C63-4DEA-B3C5-FFCBE41F3355}"/>
    <cellStyle name="Normal 3 6 6 2 2 3 4" xfId="14825" xr:uid="{0EDA5945-FF2C-4B29-8BFD-C027250E1CE8}"/>
    <cellStyle name="Normal 3 6 6 2 2 4" xfId="7843" xr:uid="{640F9147-3E22-4A8C-B488-2CB4D4FD1DD8}"/>
    <cellStyle name="Normal 3 6 6 2 2 4 2" xfId="17606" xr:uid="{7DE6B148-436C-4B86-89FB-FD8168F91369}"/>
    <cellStyle name="Normal 3 6 6 2 2 4 3" xfId="14599" xr:uid="{EC1BD81E-55B0-4F84-8836-36F56A16255D}"/>
    <cellStyle name="Normal 3 6 6 2 2 5" xfId="7844" xr:uid="{32AD4028-E4DE-49BA-9ECE-1FEEDBBA1204}"/>
    <cellStyle name="Normal 3 6 6 2 2 5 2" xfId="18217" xr:uid="{212A16F9-0939-4C55-9865-3DC304F2E7B3}"/>
    <cellStyle name="Normal 3 6 6 2 2 5 3" xfId="14252" xr:uid="{DF9425D6-ADC8-4ECF-8D92-3233F79141EC}"/>
    <cellStyle name="Normal 3 6 6 2 2 6" xfId="8626" xr:uid="{1725F54B-2AA4-4C76-9F1F-E4258F1F7094}"/>
    <cellStyle name="Normal 3 6 6 2 2 6 2" xfId="18678" xr:uid="{8B2CB713-1021-495D-A858-8D54F6266C3C}"/>
    <cellStyle name="Normal 3 6 6 2 2 7" xfId="10092" xr:uid="{22090639-D98B-463F-8A70-5352B72940D1}"/>
    <cellStyle name="Normal 3 6 6 2 2 8" xfId="10748" xr:uid="{1C7A24A8-A920-43C6-A710-C64DD0C56847}"/>
    <cellStyle name="Normal 3 6 6 2 2 9" xfId="15875" xr:uid="{35E09457-2ADB-49BF-854F-D55E3EAF2837}"/>
    <cellStyle name="Normal 3 6 6 2 3" xfId="4623" xr:uid="{A760EEFF-EE30-4E63-BEE9-80F60D60F0DB}"/>
    <cellStyle name="Normal 3 6 6 2 3 2" xfId="7845" xr:uid="{0D75543C-BAEB-4FF9-833F-B5FDB8060E30}"/>
    <cellStyle name="Normal 3 6 6 2 3 2 2" xfId="9055" xr:uid="{4C8C0182-EF99-4D82-866F-A4FC57FD6036}"/>
    <cellStyle name="Normal 3 6 6 2 3 2 2 2" xfId="19107" xr:uid="{FA79EB2F-2F9F-450F-AD6E-763D5A0FFEE7}"/>
    <cellStyle name="Normal 3 6 6 2 3 2 3" xfId="16560" xr:uid="{05E22D0F-ADFC-4C8D-B55F-633EB41E8FFD}"/>
    <cellStyle name="Normal 3 6 6 2 3 2 4" xfId="15080" xr:uid="{E1A36314-DB44-4595-BFA1-9ABA38903361}"/>
    <cellStyle name="Normal 3 6 6 2 3 3" xfId="7846" xr:uid="{2485FDA5-165C-4B6A-84AD-75FAC99FB97B}"/>
    <cellStyle name="Normal 3 6 6 2 3 3 2" xfId="9503" xr:uid="{816F6125-A3CD-4B03-AEF5-10651595E70B}"/>
    <cellStyle name="Normal 3 6 6 2 3 3 2 2" xfId="19555" xr:uid="{C40B7C77-01F1-49FD-B791-C1B701761BD3}"/>
    <cellStyle name="Normal 3 6 6 2 3 3 3" xfId="17006" xr:uid="{1173CDBB-24D4-46EF-8E43-C430F25EA2EE}"/>
    <cellStyle name="Normal 3 6 6 2 3 3 4" xfId="15667" xr:uid="{3D8A3C80-7021-421D-9797-4082042A81B1}"/>
    <cellStyle name="Normal 3 6 6 2 3 4" xfId="7847" xr:uid="{2130E515-858A-4CB2-9496-4BF8BB3743BA}"/>
    <cellStyle name="Normal 3 6 6 2 3 4 2" xfId="17607" xr:uid="{E518F8C7-903B-4C8A-8AFC-E9AE656254EF}"/>
    <cellStyle name="Normal 3 6 6 2 3 4 3" xfId="14598" xr:uid="{0266888A-394F-455F-ACD2-E93A92988A24}"/>
    <cellStyle name="Normal 3 6 6 2 3 5" xfId="7848" xr:uid="{98236D79-AB65-4782-A2D4-B4DA09466C6C}"/>
    <cellStyle name="Normal 3 6 6 2 3 5 2" xfId="18218" xr:uid="{62CBBC9A-423C-4589-922F-EA049353984F}"/>
    <cellStyle name="Normal 3 6 6 2 3 5 3" xfId="14251" xr:uid="{660A4B20-A52D-443F-AD33-41362EA58A30}"/>
    <cellStyle name="Normal 3 6 6 2 3 6" xfId="8627" xr:uid="{2303E3F4-D68E-4B12-B5AB-2893475DC050}"/>
    <cellStyle name="Normal 3 6 6 2 3 6 2" xfId="18679" xr:uid="{6ECFC9E8-0A86-4570-9271-C6677038123E}"/>
    <cellStyle name="Normal 3 6 6 2 3 7" xfId="10093" xr:uid="{9A8C19CF-201A-479E-B048-8603994E7FF9}"/>
    <cellStyle name="Normal 3 6 6 2 3 8" xfId="10749" xr:uid="{AB376460-BBBC-4023-8212-CD8252D4E335}"/>
    <cellStyle name="Normal 3 6 6 2 3 9" xfId="15874" xr:uid="{57E81016-D4DD-41A9-88B7-1B3CD566C373}"/>
    <cellStyle name="Normal 3 6 6 2 4" xfId="7849" xr:uid="{C27FF8DA-285E-48EF-BAF3-1EE874B4AC1B}"/>
    <cellStyle name="Normal 3 6 6 2 4 2" xfId="7850" xr:uid="{195CF288-C8E0-4AC0-813A-7EC22A88359E}"/>
    <cellStyle name="Normal 3 6 6 2 4 2 2" xfId="17356" xr:uid="{933E69D9-0638-4F23-A2AF-044DE248B2DF}"/>
    <cellStyle name="Normal 3 6 6 2 4 3" xfId="7851" xr:uid="{C0A9BC1C-EE22-4704-BD6D-34D87E0927C9}"/>
    <cellStyle name="Normal 3 6 6 2 4 3 2" xfId="17970" xr:uid="{9778BD88-6F5A-4BB5-8806-9A167BD8A80C}"/>
    <cellStyle name="Normal 3 6 6 2 4 4" xfId="8799" xr:uid="{2F741FD5-542C-4109-8048-576882CCE891}"/>
    <cellStyle name="Normal 3 6 6 2 4 4 2" xfId="18851" xr:uid="{365916D1-9FBC-4222-A070-4C2A0DE3C6D3}"/>
    <cellStyle name="Normal 3 6 6 2 4 5" xfId="9846" xr:uid="{0F3421CA-E9C0-4563-B24B-D985C4553FA6}"/>
    <cellStyle name="Normal 3 6 6 2 4 6" xfId="10750" xr:uid="{60BDD420-A787-4015-9DB2-87CC5C66F44F}"/>
    <cellStyle name="Normal 3 6 6 2 4 7" xfId="14164" xr:uid="{4F72751B-BC0A-4CBD-A783-112B42AAB843}"/>
    <cellStyle name="Normal 3 6 6 2 5" xfId="7852" xr:uid="{79B6CE68-9556-4E93-9EAD-5E5BA4C3F3C5}"/>
    <cellStyle name="Normal 3 6 6 2 5 2" xfId="9247" xr:uid="{0E9F19BD-D631-4DAB-8568-66C5355EC368}"/>
    <cellStyle name="Normal 3 6 6 2 5 2 2" xfId="19299" xr:uid="{B5349533-BAF4-4827-851B-2810BA99DFAC}"/>
    <cellStyle name="Normal 3 6 6 2 5 3" xfId="16750" xr:uid="{664A2B58-AC3F-4510-8CFC-89761EB82BF8}"/>
    <cellStyle name="Normal 3 6 6 2 5 4" xfId="14916" xr:uid="{D8802129-9972-4FA3-8152-3970BC5FC195}"/>
    <cellStyle name="Normal 3 6 6 2 6" xfId="7853" xr:uid="{3942699E-A14E-4B63-9B07-04B6235EB537}"/>
    <cellStyle name="Normal 3 6 6 2 6 2" xfId="17209" xr:uid="{8459A173-3217-4DDB-A3DF-7FFCF09FC1EA}"/>
    <cellStyle name="Normal 3 6 6 2 6 3" xfId="15512" xr:uid="{B370C1AC-6FFD-416A-A4E7-B80FDDAF4F0E}"/>
    <cellStyle name="Normal 3 6 6 2 7" xfId="7854" xr:uid="{122F2D1E-A476-4D0F-8F13-5BA60EABB6E9}"/>
    <cellStyle name="Normal 3 6 6 2 7 2" xfId="17819" xr:uid="{F6AC13E8-0A56-49B8-8E63-A4AF384BE56B}"/>
    <cellStyle name="Normal 3 6 6 2 7 3" xfId="14458" xr:uid="{9F3820A8-D143-4E0D-911B-ADE9481FD478}"/>
    <cellStyle name="Normal 3 6 6 2 8" xfId="8371" xr:uid="{0721733B-2E75-4642-A99A-FF0842B6AD03}"/>
    <cellStyle name="Normal 3 6 6 2 8 2" xfId="18423" xr:uid="{85518B05-AC26-4D92-A9C1-E539F6616621}"/>
    <cellStyle name="Normal 3 6 6 2 9" xfId="9700" xr:uid="{D03DA286-ECFD-47F7-A2E3-41AB453D47B1}"/>
    <cellStyle name="Normal 3 6 6 3" xfId="4624" xr:uid="{B772DFDE-F689-40F9-957C-8AA7DFDC5F1A}"/>
    <cellStyle name="Normal 3 6 6 3 2" xfId="7855" xr:uid="{82101E6D-E784-45C5-809B-DEFD3574568A}"/>
    <cellStyle name="Normal 3 6 6 3 2 2" xfId="9056" xr:uid="{665E9CB5-23C9-4A0B-9396-211582C4531D}"/>
    <cellStyle name="Normal 3 6 6 3 2 2 2" xfId="19108" xr:uid="{8826F470-325A-4154-9877-DC85D256B3C2}"/>
    <cellStyle name="Normal 3 6 6 3 2 3" xfId="16561" xr:uid="{5628C34F-497C-4D2F-9A8A-1BDFD6FFEB19}"/>
    <cellStyle name="Normal 3 6 6 3 2 4" xfId="15079" xr:uid="{ABDA8F5D-4ED9-40A0-98E2-52EDF5C7A986}"/>
    <cellStyle name="Normal 3 6 6 3 3" xfId="7856" xr:uid="{B5E23A4A-86D5-4F9D-B4C6-0A24C46799B3}"/>
    <cellStyle name="Normal 3 6 6 3 3 2" xfId="9504" xr:uid="{57B851E7-8373-4556-8B20-0B28C3F16539}"/>
    <cellStyle name="Normal 3 6 6 3 3 2 2" xfId="19556" xr:uid="{5BDA3FC7-AFBF-4EA8-933B-75CC0BB2C7B7}"/>
    <cellStyle name="Normal 3 6 6 3 3 3" xfId="17007" xr:uid="{39113E25-1C7B-47D1-9BBE-A90A5C6CE3A4}"/>
    <cellStyle name="Normal 3 6 6 3 3 4" xfId="15666" xr:uid="{F0E96868-4C3B-40C4-90C3-874BE863D11A}"/>
    <cellStyle name="Normal 3 6 6 3 4" xfId="7857" xr:uid="{F9D140FD-352E-4E37-B48B-197CBCE39D25}"/>
    <cellStyle name="Normal 3 6 6 3 4 2" xfId="17608" xr:uid="{24DDA83C-6CE3-4E2B-B206-DCA3C9A1D0EB}"/>
    <cellStyle name="Normal 3 6 6 3 4 3" xfId="14597" xr:uid="{F81433A5-A416-4EE7-9DCA-86284D07E97E}"/>
    <cellStyle name="Normal 3 6 6 3 5" xfId="7858" xr:uid="{7608EC8B-7948-42CF-A516-9C887B9AF358}"/>
    <cellStyle name="Normal 3 6 6 3 5 2" xfId="18219" xr:uid="{8467AAB7-0BEB-484D-90BD-9DCC690B1E28}"/>
    <cellStyle name="Normal 3 6 6 3 5 3" xfId="14250" xr:uid="{ECF18049-16FC-4E62-B6B6-05385FCFA8D0}"/>
    <cellStyle name="Normal 3 6 6 3 6" xfId="8628" xr:uid="{BD37A599-CE50-4630-9A1A-7982150051AD}"/>
    <cellStyle name="Normal 3 6 6 3 6 2" xfId="18680" xr:uid="{D487003E-B56C-4EC8-9CA7-C91BD782EE9C}"/>
    <cellStyle name="Normal 3 6 6 3 7" xfId="10094" xr:uid="{918B6405-BF0A-4FB6-A792-490DD0225DD6}"/>
    <cellStyle name="Normal 3 6 6 3 8" xfId="10751" xr:uid="{C989123C-20EB-4641-8C7F-CD2A3EA11CB9}"/>
    <cellStyle name="Normal 3 6 6 3 9" xfId="15398" xr:uid="{A52232AD-B55D-47DB-98EC-25BA8A80E352}"/>
    <cellStyle name="Normal 3 6 6 4" xfId="4625" xr:uid="{CC4246D7-4A05-4109-AE2E-3F8A3124022A}"/>
    <cellStyle name="Normal 3 6 6 4 2" xfId="7859" xr:uid="{75E01B38-6F35-41CC-AB35-40034651C410}"/>
    <cellStyle name="Normal 3 6 6 4 2 2" xfId="9057" xr:uid="{994C4ECC-ACDE-4F92-B472-253801BBF2D2}"/>
    <cellStyle name="Normal 3 6 6 4 2 2 2" xfId="19109" xr:uid="{4CA73524-9C8E-4C09-9ED1-7FB087D84046}"/>
    <cellStyle name="Normal 3 6 6 4 2 3" xfId="16562" xr:uid="{9D4A2F2F-CD9F-4B37-B95E-854153254A76}"/>
    <cellStyle name="Normal 3 6 6 4 2 4" xfId="15078" xr:uid="{E6C0EA9C-FA8F-40D1-9EA6-B5A55516778D}"/>
    <cellStyle name="Normal 3 6 6 4 3" xfId="7860" xr:uid="{6695177D-6A42-4C9A-AC8C-DBA3F437890B}"/>
    <cellStyle name="Normal 3 6 6 4 3 2" xfId="9505" xr:uid="{DCA98B9C-B333-4D45-ADE0-A219C05AE823}"/>
    <cellStyle name="Normal 3 6 6 4 3 2 2" xfId="19557" xr:uid="{10E06192-9EC1-4FDF-BAA9-07E1F98E0010}"/>
    <cellStyle name="Normal 3 6 6 4 3 3" xfId="17008" xr:uid="{5C4ABAAF-636C-45F4-BF34-3958122F0991}"/>
    <cellStyle name="Normal 3 6 6 4 3 4" xfId="15665" xr:uid="{8F91BDFD-BAC8-42EB-A5EB-9AB3B124FB94}"/>
    <cellStyle name="Normal 3 6 6 4 4" xfId="7861" xr:uid="{4A7C6259-DEED-4487-9D51-D28CD52BCC7B}"/>
    <cellStyle name="Normal 3 6 6 4 4 2" xfId="17609" xr:uid="{F1E0BF24-1CA4-46C6-9E4F-4355C4CA223E}"/>
    <cellStyle name="Normal 3 6 6 4 4 3" xfId="14106" xr:uid="{F0D191D9-10BE-4B0B-9C1E-D103F477FBD1}"/>
    <cellStyle name="Normal 3 6 6 4 5" xfId="7862" xr:uid="{BE534325-6B8B-4FC6-B827-4297BE247281}"/>
    <cellStyle name="Normal 3 6 6 4 5 2" xfId="18220" xr:uid="{D19624CD-47B7-4D8B-8C98-EDD214F785B8}"/>
    <cellStyle name="Normal 3 6 6 4 5 3" xfId="14249" xr:uid="{9F11BEFC-45C0-45E3-AE41-6ED2B363C89F}"/>
    <cellStyle name="Normal 3 6 6 4 6" xfId="8629" xr:uid="{1ECE66A0-5FAC-4553-986D-228B746BB1AE}"/>
    <cellStyle name="Normal 3 6 6 4 6 2" xfId="18681" xr:uid="{BBA850A3-FAA6-4572-9C7F-74E2F0474563}"/>
    <cellStyle name="Normal 3 6 6 4 7" xfId="10095" xr:uid="{40727014-8E36-45B6-B192-AD27C4E77F60}"/>
    <cellStyle name="Normal 3 6 6 4 8" xfId="10752" xr:uid="{B48386A0-E086-4829-8C72-0483C24E2043}"/>
    <cellStyle name="Normal 3 6 6 4 9" xfId="15873" xr:uid="{13D291AD-601B-4007-8C94-71808B3F6772}"/>
    <cellStyle name="Normal 3 6 6 5" xfId="7863" xr:uid="{8B8813D2-507C-4552-A301-64CB5CC0C435}"/>
    <cellStyle name="Normal 3 6 6 5 2" xfId="7864" xr:uid="{D419B74D-CB1B-4363-A8BD-EAC590823A6D}"/>
    <cellStyle name="Normal 3 6 6 5 2 2" xfId="17355" xr:uid="{E13EC24D-38B3-49CC-AB54-8354C109C184}"/>
    <cellStyle name="Normal 3 6 6 5 3" xfId="7865" xr:uid="{8889F790-3024-4BD0-BFC0-4141ADDBB5D3}"/>
    <cellStyle name="Normal 3 6 6 5 3 2" xfId="17969" xr:uid="{1C6DF753-E3C5-4FF8-A032-9B4B9917B161}"/>
    <cellStyle name="Normal 3 6 6 5 4" xfId="8798" xr:uid="{CFCA1C38-ACB8-4FB1-BCE6-5D4729269687}"/>
    <cellStyle name="Normal 3 6 6 5 4 2" xfId="18850" xr:uid="{42EC72B2-4F55-4B06-B687-EB494D96FA15}"/>
    <cellStyle name="Normal 3 6 6 5 5" xfId="9845" xr:uid="{3EB3115B-5A90-482A-9871-2E65A705E188}"/>
    <cellStyle name="Normal 3 6 6 5 6" xfId="10753" xr:uid="{77DD79DF-A149-4B20-960C-C0AA48EE71DF}"/>
    <cellStyle name="Normal 3 6 6 5 7" xfId="15312" xr:uid="{27C5AB5A-EE07-4D24-8683-E5B0EDA99A78}"/>
    <cellStyle name="Normal 3 6 6 6" xfId="7866" xr:uid="{17E49F67-8A8C-4E8B-BDA3-EBF7A40BAC47}"/>
    <cellStyle name="Normal 3 6 6 6 2" xfId="9246" xr:uid="{95DEB494-5B7A-4CC6-91EC-A605EBEE3F89}"/>
    <cellStyle name="Normal 3 6 6 6 2 2" xfId="19298" xr:uid="{09A770FE-09F1-4191-BD32-7661403FF5AE}"/>
    <cellStyle name="Normal 3 6 6 6 3" xfId="16749" xr:uid="{C640712F-AACF-43DB-AE7A-9137774E5AC7}"/>
    <cellStyle name="Normal 3 6 6 6 4" xfId="14917" xr:uid="{5D182BBE-167E-4A95-B5FC-60D70B80C789}"/>
    <cellStyle name="Normal 3 6 6 7" xfId="7867" xr:uid="{44E07267-AD10-4F40-A9B3-94F10A61B11E}"/>
    <cellStyle name="Normal 3 6 6 7 2" xfId="17208" xr:uid="{7BAA7903-97E0-4289-A263-96EA81C35288}"/>
    <cellStyle name="Normal 3 6 6 7 3" xfId="15513" xr:uid="{AEFBD530-989D-40F8-88C6-73A0AC338371}"/>
    <cellStyle name="Normal 3 6 6 8" xfId="7868" xr:uid="{B3884E57-2FBD-4C90-AF6B-E9FB8040DF14}"/>
    <cellStyle name="Normal 3 6 6 8 2" xfId="17818" xr:uid="{79C360EF-FBE1-4BAC-93A4-6CAD030CB41E}"/>
    <cellStyle name="Normal 3 6 6 8 3" xfId="14459" xr:uid="{33C9AE6A-892E-477B-A730-1930134AAF51}"/>
    <cellStyle name="Normal 3 6 6 9" xfId="8370" xr:uid="{91B30E63-C4F9-43DE-80B0-34B05956F3CE}"/>
    <cellStyle name="Normal 3 6 6 9 2" xfId="18422" xr:uid="{3635E347-3D7D-4978-8A39-E2A81C18F94F}"/>
    <cellStyle name="Normal 3 6 7" xfId="2884" xr:uid="{BB6E3A63-7D31-4588-945B-F5FEB0065730}"/>
    <cellStyle name="Normal 3 6 7 10" xfId="9701" xr:uid="{2C59C6A5-6836-4E58-A686-7D39A542014D}"/>
    <cellStyle name="Normal 3 6 7 11" xfId="10355" xr:uid="{89791EFB-5210-4ECA-813D-AAC7BB3B0B5C}"/>
    <cellStyle name="Normal 3 6 7 12" xfId="12730" xr:uid="{F53CDBC0-8DB2-4BF4-BC19-83C38E0E7B99}"/>
    <cellStyle name="Normal 3 6 7 12 2" xfId="15431" xr:uid="{1AE32373-6504-444E-B40E-E94155C18037}"/>
    <cellStyle name="Normal 3 6 7 12 3" xfId="20713" xr:uid="{AC223005-5FFE-43FA-9EB1-33C36224617A}"/>
    <cellStyle name="Normal 3 6 7 2" xfId="2885" xr:uid="{C63CEE2B-B1E9-409C-A393-970DAFEF77D5}"/>
    <cellStyle name="Normal 3 6 7 2 10" xfId="10356" xr:uid="{FC4A8FF9-A266-4E9C-9380-2780D1DA235A}"/>
    <cellStyle name="Normal 3 6 7 2 11" xfId="16156" xr:uid="{0E6C3C0B-5C55-45AE-8CC3-E57656612CD5}"/>
    <cellStyle name="Normal 3 6 7 2 2" xfId="4626" xr:uid="{CD66BF7E-05AB-4F75-9E4A-8DB8772B59AF}"/>
    <cellStyle name="Normal 3 6 7 2 2 2" xfId="7869" xr:uid="{90547EC2-8C7B-4FE1-9EFC-69F55D06C8C8}"/>
    <cellStyle name="Normal 3 6 7 2 2 2 2" xfId="9058" xr:uid="{838E08A1-50EC-4C12-BF5E-933C88B8CBF2}"/>
    <cellStyle name="Normal 3 6 7 2 2 2 2 2" xfId="19110" xr:uid="{69E252A5-5D77-402D-88C6-E0030366DF5A}"/>
    <cellStyle name="Normal 3 6 7 2 2 2 3" xfId="16563" xr:uid="{923DCB74-A7AF-4936-A615-65D2AD2B50EC}"/>
    <cellStyle name="Normal 3 6 7 2 2 2 4" xfId="15077" xr:uid="{B1903EE8-8E2C-46BD-8955-608A34276894}"/>
    <cellStyle name="Normal 3 6 7 2 2 3" xfId="7870" xr:uid="{0D96C5BE-385E-429D-A9D7-406B6BCC6A12}"/>
    <cellStyle name="Normal 3 6 7 2 2 3 2" xfId="9506" xr:uid="{1DFF594F-4C6C-47A6-8EB7-00F1E3683588}"/>
    <cellStyle name="Normal 3 6 7 2 2 3 2 2" xfId="19558" xr:uid="{C918A5D8-E8A7-4C44-9C3A-121164C42A98}"/>
    <cellStyle name="Normal 3 6 7 2 2 3 3" xfId="17009" xr:uid="{B0E2865D-AAA8-41BC-836C-7A6E0CB61BF8}"/>
    <cellStyle name="Normal 3 6 7 2 2 3 4" xfId="15664" xr:uid="{73D79461-F8BE-4898-A2B7-DA2677A15890}"/>
    <cellStyle name="Normal 3 6 7 2 2 4" xfId="7871" xr:uid="{B9A18149-D621-4A85-ACFC-FCA6CF4BC95D}"/>
    <cellStyle name="Normal 3 6 7 2 2 4 2" xfId="17610" xr:uid="{23426BBB-5A7C-4523-BDB4-62A6E233633A}"/>
    <cellStyle name="Normal 3 6 7 2 2 4 3" xfId="14596" xr:uid="{0CF9B6D0-AEB6-49D7-9E9D-BDAD2B9CDC73}"/>
    <cellStyle name="Normal 3 6 7 2 2 5" xfId="7872" xr:uid="{656CD970-428C-464E-ABFF-40FA34FC2E36}"/>
    <cellStyle name="Normal 3 6 7 2 2 5 2" xfId="18221" xr:uid="{337BB0D7-C85D-4A45-B8C0-A7A4CC3DDA79}"/>
    <cellStyle name="Normal 3 6 7 2 2 5 3" xfId="14248" xr:uid="{2BD8176D-AE46-4ECD-967B-F919FBF0690B}"/>
    <cellStyle name="Normal 3 6 7 2 2 6" xfId="8630" xr:uid="{6F811373-3AC3-48C9-93C7-B1F9AD57D33A}"/>
    <cellStyle name="Normal 3 6 7 2 2 6 2" xfId="18682" xr:uid="{79E59503-0BAE-43BC-BD67-7E6B6595CCEE}"/>
    <cellStyle name="Normal 3 6 7 2 2 7" xfId="10096" xr:uid="{6247D410-BCFE-49C1-8D6B-81F45F01A35E}"/>
    <cellStyle name="Normal 3 6 7 2 2 8" xfId="10754" xr:uid="{143AA19A-98BC-4E3C-9A42-0DEB007CAC01}"/>
    <cellStyle name="Normal 3 6 7 2 2 9" xfId="15872" xr:uid="{87549A0B-63C1-44FF-98A0-E98CA3AC6CBF}"/>
    <cellStyle name="Normal 3 6 7 2 3" xfId="4627" xr:uid="{17227770-5E69-4674-A089-57C263AD880E}"/>
    <cellStyle name="Normal 3 6 7 2 3 2" xfId="7873" xr:uid="{C87B5D2C-AC27-4268-A351-79C316EF75FE}"/>
    <cellStyle name="Normal 3 6 7 2 3 2 2" xfId="9059" xr:uid="{64D36E0D-0A0B-4C00-85C6-919D8FB29A6E}"/>
    <cellStyle name="Normal 3 6 7 2 3 2 2 2" xfId="19111" xr:uid="{EA3D749D-5305-4EA6-88D9-F629382F5471}"/>
    <cellStyle name="Normal 3 6 7 2 3 2 3" xfId="16564" xr:uid="{E777A29E-129C-40F7-BF8E-58FDED23AABB}"/>
    <cellStyle name="Normal 3 6 7 2 3 2 4" xfId="15076" xr:uid="{AC4D7EEE-9F78-49E3-846B-550EADC5584D}"/>
    <cellStyle name="Normal 3 6 7 2 3 3" xfId="7874" xr:uid="{761FFEB8-382D-4B0D-A5E6-8951CF05E141}"/>
    <cellStyle name="Normal 3 6 7 2 3 3 2" xfId="9507" xr:uid="{45E36700-71A3-4B77-BD0F-1B2693DF5E68}"/>
    <cellStyle name="Normal 3 6 7 2 3 3 2 2" xfId="19559" xr:uid="{7C1AF732-F2E3-4B56-A370-9D0B1384830C}"/>
    <cellStyle name="Normal 3 6 7 2 3 3 3" xfId="17010" xr:uid="{133F7206-7598-47D3-A7A2-10B28668300B}"/>
    <cellStyle name="Normal 3 6 7 2 3 3 4" xfId="15663" xr:uid="{86F47E72-D5DB-406C-9EAD-5872D22F604C}"/>
    <cellStyle name="Normal 3 6 7 2 3 4" xfId="7875" xr:uid="{8CE902B6-C78D-4380-A325-13249AD312F9}"/>
    <cellStyle name="Normal 3 6 7 2 3 4 2" xfId="17611" xr:uid="{E0858681-3284-4E2E-A599-F08D1CDC9AB0}"/>
    <cellStyle name="Normal 3 6 7 2 3 4 3" xfId="14595" xr:uid="{58C0DD00-5000-47C9-A8F9-2DB9FD0AEB05}"/>
    <cellStyle name="Normal 3 6 7 2 3 5" xfId="7876" xr:uid="{04A97227-6E9A-45CD-8211-70B2F3D7CAFC}"/>
    <cellStyle name="Normal 3 6 7 2 3 5 2" xfId="18222" xr:uid="{F6A11A9C-B600-4B02-8283-5F3AAB7A7674}"/>
    <cellStyle name="Normal 3 6 7 2 3 5 3" xfId="14247" xr:uid="{A2ADC11E-F44B-401C-A5A8-241FECD24F27}"/>
    <cellStyle name="Normal 3 6 7 2 3 6" xfId="8631" xr:uid="{FB20F4FD-0BC0-4137-A34C-3B0A7EFC0886}"/>
    <cellStyle name="Normal 3 6 7 2 3 6 2" xfId="18683" xr:uid="{FBEFB05A-43A7-4F66-8B11-DBE2666D358F}"/>
    <cellStyle name="Normal 3 6 7 2 3 7" xfId="10097" xr:uid="{F46FA74C-FF9E-49A5-A9FE-7A274C511FAE}"/>
    <cellStyle name="Normal 3 6 7 2 3 8" xfId="10755" xr:uid="{4057FE1F-7B22-42D1-AFA4-8532E4CED19A}"/>
    <cellStyle name="Normal 3 6 7 2 3 9" xfId="15871" xr:uid="{537A313F-20D2-43FE-9BE6-2F6FAF6EE4ED}"/>
    <cellStyle name="Normal 3 6 7 2 4" xfId="7877" xr:uid="{9989D04A-DCA9-4AB3-8B0E-331D6F0B9501}"/>
    <cellStyle name="Normal 3 6 7 2 4 2" xfId="7878" xr:uid="{E63E662B-36C9-4204-9810-0BD3C17C4E18}"/>
    <cellStyle name="Normal 3 6 7 2 4 2 2" xfId="17358" xr:uid="{7AD67E0A-1D66-43A7-B69C-0052202E597C}"/>
    <cellStyle name="Normal 3 6 7 2 4 3" xfId="7879" xr:uid="{E3DB3935-B959-4777-B48C-67A11B9467A6}"/>
    <cellStyle name="Normal 3 6 7 2 4 3 2" xfId="17972" xr:uid="{C9A56028-F944-42FE-8C85-E91866F8580E}"/>
    <cellStyle name="Normal 3 6 7 2 4 4" xfId="8801" xr:uid="{487AC4A6-7882-4D4F-B427-ECDFCEF55AF6}"/>
    <cellStyle name="Normal 3 6 7 2 4 4 2" xfId="18853" xr:uid="{5F9E9701-7247-4D11-8940-EC5E81BDB37D}"/>
    <cellStyle name="Normal 3 6 7 2 4 5" xfId="9848" xr:uid="{985D0779-1891-4FA1-9786-C9FFDED73575}"/>
    <cellStyle name="Normal 3 6 7 2 4 6" xfId="10756" xr:uid="{C35B37C6-6612-494A-9EFF-87AF68EEC039}"/>
    <cellStyle name="Normal 3 6 7 2 4 7" xfId="15310" xr:uid="{4109AFA9-3171-405F-9047-00D2FB6C5B04}"/>
    <cellStyle name="Normal 3 6 7 2 5" xfId="7880" xr:uid="{9D564971-6A11-47DE-8698-9DF84983C834}"/>
    <cellStyle name="Normal 3 6 7 2 5 2" xfId="9249" xr:uid="{610D7CF0-C5FB-4549-92D9-D1FE0A465C85}"/>
    <cellStyle name="Normal 3 6 7 2 5 2 2" xfId="19301" xr:uid="{E8C76EF2-CBEB-4E9C-822B-D7C2C4564539}"/>
    <cellStyle name="Normal 3 6 7 2 5 3" xfId="16752" xr:uid="{B544EE9D-B17E-45E2-BD03-A7A520767AB8}"/>
    <cellStyle name="Normal 3 6 7 2 5 4" xfId="14914" xr:uid="{60D85D70-D684-43AB-B489-4DB2FCC99DFD}"/>
    <cellStyle name="Normal 3 6 7 2 6" xfId="7881" xr:uid="{235E6AA5-871F-4DCF-B464-68889153DAB5}"/>
    <cellStyle name="Normal 3 6 7 2 6 2" xfId="17211" xr:uid="{B1F8710A-05EE-455B-A80B-CF5D5E36DAB6}"/>
    <cellStyle name="Normal 3 6 7 2 6 3" xfId="15510" xr:uid="{6CFB34FA-AE68-4691-83B0-D7518EC031D3}"/>
    <cellStyle name="Normal 3 6 7 2 7" xfId="7882" xr:uid="{532ADBA3-64BD-463A-92B2-62309BE10A19}"/>
    <cellStyle name="Normal 3 6 7 2 7 2" xfId="17821" xr:uid="{8C977F74-D9B5-42A9-AA45-7F0348C361EF}"/>
    <cellStyle name="Normal 3 6 7 2 7 3" xfId="14456" xr:uid="{D0673B49-284B-47F5-AD2B-FC6C22A1B17F}"/>
    <cellStyle name="Normal 3 6 7 2 8" xfId="8373" xr:uid="{038B712D-67A6-4AA7-98C9-9B1F8EC9FAF3}"/>
    <cellStyle name="Normal 3 6 7 2 8 2" xfId="18425" xr:uid="{695221D5-2D0C-4D8B-9081-64CE1ADB517B}"/>
    <cellStyle name="Normal 3 6 7 2 9" xfId="9702" xr:uid="{72CEB520-6010-4F59-8B32-A4691543B45F}"/>
    <cellStyle name="Normal 3 6 7 3" xfId="4628" xr:uid="{96CFA64B-15BC-4A32-BF93-E01B9B1F6D97}"/>
    <cellStyle name="Normal 3 6 7 3 2" xfId="7883" xr:uid="{880BAB4D-00FF-49C3-AAB5-E872E5E4A735}"/>
    <cellStyle name="Normal 3 6 7 3 2 2" xfId="9060" xr:uid="{5576D3D9-E299-413E-AE51-3E370E2CE40F}"/>
    <cellStyle name="Normal 3 6 7 3 2 2 2" xfId="19112" xr:uid="{03C269C6-30E6-43C1-9BAA-D2DCB9D968EF}"/>
    <cellStyle name="Normal 3 6 7 3 2 3" xfId="16565" xr:uid="{E79FF82A-B9E4-402A-B5C3-66C020C29848}"/>
    <cellStyle name="Normal 3 6 7 3 2 4" xfId="14030" xr:uid="{99BA8B01-333F-43E4-A7B1-2A6880B4B820}"/>
    <cellStyle name="Normal 3 6 7 3 3" xfId="7884" xr:uid="{3A46C63A-DDA7-402A-8D1C-BE6B52E78DEB}"/>
    <cellStyle name="Normal 3 6 7 3 3 2" xfId="9508" xr:uid="{F74783EA-DBBC-47CC-83E0-49B8B6A89553}"/>
    <cellStyle name="Normal 3 6 7 3 3 2 2" xfId="19560" xr:uid="{44BB8151-B0F4-4AE2-9C09-AF21B10E5169}"/>
    <cellStyle name="Normal 3 6 7 3 3 3" xfId="17011" xr:uid="{A2C0E16B-2244-40C1-9382-E4C7C510F2D3}"/>
    <cellStyle name="Normal 3 6 7 3 3 4" xfId="15662" xr:uid="{3A094C46-9C0A-4271-8B0B-E1D1D6CB786E}"/>
    <cellStyle name="Normal 3 6 7 3 4" xfId="7885" xr:uid="{9590DFFC-DCAB-499A-8FD4-AB6D33BC9081}"/>
    <cellStyle name="Normal 3 6 7 3 4 2" xfId="17612" xr:uid="{0B8DD299-AAF4-46F2-85C0-5F932B8F75AA}"/>
    <cellStyle name="Normal 3 6 7 3 4 3" xfId="14594" xr:uid="{031371E1-94A9-416C-A1DF-FCE724F92C44}"/>
    <cellStyle name="Normal 3 6 7 3 5" xfId="7886" xr:uid="{680015FA-BEF3-444C-94E8-0CDEE56AA57D}"/>
    <cellStyle name="Normal 3 6 7 3 5 2" xfId="18223" xr:uid="{1E618788-B958-40CE-B9F1-1014D3149512}"/>
    <cellStyle name="Normal 3 6 7 3 5 3" xfId="14055" xr:uid="{B268AC02-E99A-4494-8531-34BBD29D622C}"/>
    <cellStyle name="Normal 3 6 7 3 6" xfId="8632" xr:uid="{71ED6BE0-FA1F-4CE4-A204-7A569734C737}"/>
    <cellStyle name="Normal 3 6 7 3 6 2" xfId="18684" xr:uid="{C6CF7B36-7316-4234-A033-D81009AF8C50}"/>
    <cellStyle name="Normal 3 6 7 3 7" xfId="10098" xr:uid="{CC4325CB-2FF8-44D9-B8E2-D59E13D26045}"/>
    <cellStyle name="Normal 3 6 7 3 8" xfId="10757" xr:uid="{7933D93E-35E1-4A7B-84BB-16331E6CB3C3}"/>
    <cellStyle name="Normal 3 6 7 3 9" xfId="15870" xr:uid="{C7F29BA4-0055-43A5-A40C-E97DF11F0815}"/>
    <cellStyle name="Normal 3 6 7 4" xfId="4629" xr:uid="{D799721E-E866-4B59-86CC-4D32B05773C3}"/>
    <cellStyle name="Normal 3 6 7 4 2" xfId="7887" xr:uid="{FE97146B-C0F9-4C92-AB1B-AAA62859EFD1}"/>
    <cellStyle name="Normal 3 6 7 4 2 2" xfId="9061" xr:uid="{0AD86A48-695B-4BB1-B84E-3105E6B63E6E}"/>
    <cellStyle name="Normal 3 6 7 4 2 2 2" xfId="19113" xr:uid="{0C2619A0-FE36-4171-A35D-98204E7D9366}"/>
    <cellStyle name="Normal 3 6 7 4 2 3" xfId="16566" xr:uid="{FBBD7BE4-5295-42AC-867A-975E59873CC9}"/>
    <cellStyle name="Normal 3 6 7 4 2 4" xfId="15075" xr:uid="{51D5FAB5-EB06-49A4-9BB5-B540E070933D}"/>
    <cellStyle name="Normal 3 6 7 4 3" xfId="7888" xr:uid="{62ECD99C-209D-4DA8-951D-931AA264CD3C}"/>
    <cellStyle name="Normal 3 6 7 4 3 2" xfId="9509" xr:uid="{79CE2B3B-B51D-4874-9239-CCA52856FD47}"/>
    <cellStyle name="Normal 3 6 7 4 3 2 2" xfId="19561" xr:uid="{C8A9FED0-7153-40CC-BDEA-7421570B460F}"/>
    <cellStyle name="Normal 3 6 7 4 3 3" xfId="17012" xr:uid="{9D2FF639-1325-4DAB-9487-42B17E9A1609}"/>
    <cellStyle name="Normal 3 6 7 4 3 4" xfId="14824" xr:uid="{7C42F299-C859-4F04-B241-920AE239F9DB}"/>
    <cellStyle name="Normal 3 6 7 4 4" xfId="7889" xr:uid="{DC01E569-7F9F-4CAD-AE66-96541AF0DC8A}"/>
    <cellStyle name="Normal 3 6 7 4 4 2" xfId="17613" xr:uid="{E329A86D-DD70-4C46-A1D0-BE920386B1B1}"/>
    <cellStyle name="Normal 3 6 7 4 4 3" xfId="14593" xr:uid="{F74908CE-5153-419F-BC5E-468E72352407}"/>
    <cellStyle name="Normal 3 6 7 4 5" xfId="7890" xr:uid="{3B9D1E3B-3E2D-4DF2-967A-1C6F9FA2593D}"/>
    <cellStyle name="Normal 3 6 7 4 5 2" xfId="18224" xr:uid="{96A999E1-73F7-4AA3-9C2E-8F3FC831E6BA}"/>
    <cellStyle name="Normal 3 6 7 4 5 3" xfId="14015" xr:uid="{0B3F8B7F-27A1-4557-9CC7-AA9F101FD554}"/>
    <cellStyle name="Normal 3 6 7 4 6" xfId="8633" xr:uid="{60103885-0741-44CD-94E9-A65BC163DD84}"/>
    <cellStyle name="Normal 3 6 7 4 6 2" xfId="18685" xr:uid="{E83B0B2E-513D-4152-BC6E-383726328C79}"/>
    <cellStyle name="Normal 3 6 7 4 7" xfId="10099" xr:uid="{4F38C391-83BF-443F-A3BF-EACAC50DD4B3}"/>
    <cellStyle name="Normal 3 6 7 4 8" xfId="10758" xr:uid="{DA7470AB-7E49-4329-8EF1-855CE0E4B6DE}"/>
    <cellStyle name="Normal 3 6 7 4 9" xfId="15869" xr:uid="{4CEA98E8-90E1-49D8-A494-AC692218BF7D}"/>
    <cellStyle name="Normal 3 6 7 5" xfId="7891" xr:uid="{3D55A9AD-041F-485D-93AD-53AAF4E206C1}"/>
    <cellStyle name="Normal 3 6 7 5 2" xfId="7892" xr:uid="{85AC5710-5EA2-42B2-8E22-0E6F4B364A86}"/>
    <cellStyle name="Normal 3 6 7 5 2 2" xfId="17357" xr:uid="{3E67FE05-54B4-426C-8BEF-CDBD662ACB37}"/>
    <cellStyle name="Normal 3 6 7 5 3" xfId="7893" xr:uid="{9B37F667-6890-42F2-A31C-E378076BA652}"/>
    <cellStyle name="Normal 3 6 7 5 3 2" xfId="17971" xr:uid="{CF642B70-D9A3-42A1-B04F-3F971870D173}"/>
    <cellStyle name="Normal 3 6 7 5 4" xfId="8800" xr:uid="{9AF3EE00-C4E8-4166-BFE2-56FDB8F6D8D6}"/>
    <cellStyle name="Normal 3 6 7 5 4 2" xfId="18852" xr:uid="{6EFF6D87-513E-407B-9277-339101518D4E}"/>
    <cellStyle name="Normal 3 6 7 5 5" xfId="9847" xr:uid="{7CAD3FED-44D9-4D37-9EB7-0841CCBF850A}"/>
    <cellStyle name="Normal 3 6 7 5 6" xfId="10759" xr:uid="{E0E22218-940E-44DF-B16E-7A3E5F1C5731}"/>
    <cellStyle name="Normal 3 6 7 5 7" xfId="15311" xr:uid="{6866608B-77B9-426B-B8A5-FE116654F635}"/>
    <cellStyle name="Normal 3 6 7 6" xfId="7894" xr:uid="{0F91CAA4-CE61-4350-8AA9-4AD8532E4A6E}"/>
    <cellStyle name="Normal 3 6 7 6 2" xfId="9248" xr:uid="{90EE312E-2F85-4D0F-9CE6-C709D8A6138D}"/>
    <cellStyle name="Normal 3 6 7 6 2 2" xfId="19300" xr:uid="{3B826E7D-F0D8-470F-88B3-435540252EF8}"/>
    <cellStyle name="Normal 3 6 7 6 3" xfId="16751" xr:uid="{8EDA99A6-25A0-48ED-97F0-ECA24FE5F418}"/>
    <cellStyle name="Normal 3 6 7 6 4" xfId="14915" xr:uid="{12A9CD49-0A1E-45E0-BDCE-7176B56E5B26}"/>
    <cellStyle name="Normal 3 6 7 7" xfId="7895" xr:uid="{01EB68F7-1127-4D13-A1FB-9C2EEF475FC1}"/>
    <cellStyle name="Normal 3 6 7 7 2" xfId="17210" xr:uid="{91062542-5989-45EA-B725-3A30776E946C}"/>
    <cellStyle name="Normal 3 6 7 7 3" xfId="15511" xr:uid="{9B178171-057A-4F47-B193-0EE709FAE425}"/>
    <cellStyle name="Normal 3 6 7 8" xfId="7896" xr:uid="{C63AAD95-C290-4BE4-99BF-BC330DE50B49}"/>
    <cellStyle name="Normal 3 6 7 8 2" xfId="17820" xr:uid="{3E9E65B3-CD5B-428E-A2B2-F321FDDAF9A6}"/>
    <cellStyle name="Normal 3 6 7 8 3" xfId="14457" xr:uid="{078FC4DA-C538-4CE5-9495-9EB2A7DCE282}"/>
    <cellStyle name="Normal 3 6 7 9" xfId="8372" xr:uid="{3D0DC21B-1C24-489C-9545-94CD255D3BD4}"/>
    <cellStyle name="Normal 3 6 7 9 2" xfId="18424" xr:uid="{85CCCFF3-4AF2-4BFD-A3AE-BA0502CA7F9E}"/>
    <cellStyle name="Normal 3 6 8" xfId="2886" xr:uid="{CBB07F52-6F50-4C5B-B355-0EA706D04590}"/>
    <cellStyle name="Normal 3 6 8 10" xfId="9703" xr:uid="{1F215EC8-9B12-43BA-9372-57DA1DC06CEA}"/>
    <cellStyle name="Normal 3 6 8 11" xfId="10357" xr:uid="{18B8947A-1359-4B4B-9879-EB9F440EDF0F}"/>
    <cellStyle name="Normal 3 6 8 12" xfId="12701" xr:uid="{59A32F71-CD70-4C7F-9680-D68208045FF0}"/>
    <cellStyle name="Normal 3 6 8 12 2" xfId="16087" xr:uid="{804011F1-8394-4B95-8F33-B8B58E946DF6}"/>
    <cellStyle name="Normal 3 6 8 12 3" xfId="20711" xr:uid="{5437A0E1-3659-4803-BA49-53063E013076}"/>
    <cellStyle name="Normal 3 6 8 2" xfId="2887" xr:uid="{0BB5EC85-40EF-433C-A743-7FC6360E4BAE}"/>
    <cellStyle name="Normal 3 6 8 2 10" xfId="10358" xr:uid="{44689615-924C-4CE6-AFB1-1F21CD9D867B}"/>
    <cellStyle name="Normal 3 6 8 2 11" xfId="16086" xr:uid="{F2F9E75C-D427-477B-B154-EAA4ACC963D0}"/>
    <cellStyle name="Normal 3 6 8 2 2" xfId="4630" xr:uid="{B6BFAEE9-E9BD-455E-BDB0-5DFD7E111622}"/>
    <cellStyle name="Normal 3 6 8 2 2 2" xfId="7897" xr:uid="{D9635B48-AEF5-46FE-85AA-B3FE653A3C78}"/>
    <cellStyle name="Normal 3 6 8 2 2 2 2" xfId="9062" xr:uid="{81BC2AC5-0864-4887-86A1-38FBEF5B53E9}"/>
    <cellStyle name="Normal 3 6 8 2 2 2 2 2" xfId="19114" xr:uid="{CEEBA49E-F5D7-43CF-A2B2-5967AA3B782B}"/>
    <cellStyle name="Normal 3 6 8 2 2 2 3" xfId="16567" xr:uid="{53B1051D-0A5F-4CA2-BE1E-457806983700}"/>
    <cellStyle name="Normal 3 6 8 2 2 2 4" xfId="15074" xr:uid="{09FE6BBB-33B1-4AB1-A4EC-9F58A3B23F91}"/>
    <cellStyle name="Normal 3 6 8 2 2 3" xfId="7898" xr:uid="{58A1C673-D7BA-4CAD-8E1F-66DF40C182F3}"/>
    <cellStyle name="Normal 3 6 8 2 2 3 2" xfId="9510" xr:uid="{36C82458-89ED-4BC4-BA1A-BED19026F95C}"/>
    <cellStyle name="Normal 3 6 8 2 2 3 2 2" xfId="19562" xr:uid="{BC5BC373-BDBE-4E88-ABC8-EEA15CDE22FE}"/>
    <cellStyle name="Normal 3 6 8 2 2 3 3" xfId="17013" xr:uid="{04A50A71-6FD1-442F-B7A3-E0F11A7D5AEC}"/>
    <cellStyle name="Normal 3 6 8 2 2 3 4" xfId="15661" xr:uid="{39EC407E-BC28-4DFE-BD32-BAE37073CA16}"/>
    <cellStyle name="Normal 3 6 8 2 2 4" xfId="7899" xr:uid="{CC6514FF-8CA3-47F4-AD85-616C97302E77}"/>
    <cellStyle name="Normal 3 6 8 2 2 4 2" xfId="17614" xr:uid="{4459D740-866E-4C48-8E04-9F628C4DE553}"/>
    <cellStyle name="Normal 3 6 8 2 2 4 3" xfId="14592" xr:uid="{77B18E5B-209F-4A4F-9774-8C09E567F5F1}"/>
    <cellStyle name="Normal 3 6 8 2 2 5" xfId="7900" xr:uid="{A6CE0A47-47A5-44F2-B47A-1F1A2859687A}"/>
    <cellStyle name="Normal 3 6 8 2 2 5 2" xfId="18225" xr:uid="{DA9CE556-FBD1-4DC6-8B8B-374EF282B485}"/>
    <cellStyle name="Normal 3 6 8 2 2 5 3" xfId="14246" xr:uid="{0BF3BC27-E5D0-4B92-BC36-88E0F36466BE}"/>
    <cellStyle name="Normal 3 6 8 2 2 6" xfId="8634" xr:uid="{8607CBAC-C43A-451D-AA6D-94A804193C48}"/>
    <cellStyle name="Normal 3 6 8 2 2 6 2" xfId="18686" xr:uid="{D03AE0EA-5C3A-4EBB-A6F9-99388B648A9F}"/>
    <cellStyle name="Normal 3 6 8 2 2 7" xfId="10100" xr:uid="{18334762-00F5-4EB5-BDF7-9558371F500B}"/>
    <cellStyle name="Normal 3 6 8 2 2 8" xfId="10760" xr:uid="{77904DA2-57EF-4417-B821-E64EBF018018}"/>
    <cellStyle name="Normal 3 6 8 2 2 9" xfId="15868" xr:uid="{123D93EB-85C4-4B72-AD41-F67E39762FC9}"/>
    <cellStyle name="Normal 3 6 8 2 3" xfId="4631" xr:uid="{7E769256-7AB6-44A6-956A-64EAFD666841}"/>
    <cellStyle name="Normal 3 6 8 2 3 2" xfId="7901" xr:uid="{36590BBF-CBFA-4AF8-BF89-D1972F07D91D}"/>
    <cellStyle name="Normal 3 6 8 2 3 2 2" xfId="9063" xr:uid="{429E9818-43E0-4BDA-BF25-A6D7180E5B1E}"/>
    <cellStyle name="Normal 3 6 8 2 3 2 2 2" xfId="19115" xr:uid="{EEF8AF5B-1B7D-46FE-80E3-9DF3E0B8F9E0}"/>
    <cellStyle name="Normal 3 6 8 2 3 2 3" xfId="16568" xr:uid="{A44155FD-767A-461D-9EC0-66B9CAFCFE30}"/>
    <cellStyle name="Normal 3 6 8 2 3 2 4" xfId="15073" xr:uid="{B16AB930-7AE2-4AC5-97C8-610A294FDA0F}"/>
    <cellStyle name="Normal 3 6 8 2 3 3" xfId="7902" xr:uid="{E9C65FCC-E952-4D56-BC95-A1BDC8043A6F}"/>
    <cellStyle name="Normal 3 6 8 2 3 3 2" xfId="9511" xr:uid="{36711207-A218-4FE9-8F0F-A9DEA589EB36}"/>
    <cellStyle name="Normal 3 6 8 2 3 3 2 2" xfId="19563" xr:uid="{70B65752-D8C4-4D3D-9CC6-FFED1E1B0D78}"/>
    <cellStyle name="Normal 3 6 8 2 3 3 3" xfId="17014" xr:uid="{BE8266D1-8BB7-470C-AE6A-8253D21A12DE}"/>
    <cellStyle name="Normal 3 6 8 2 3 3 4" xfId="15660" xr:uid="{7AEEFBAD-ED14-42E2-A7FA-56334CA122F5}"/>
    <cellStyle name="Normal 3 6 8 2 3 4" xfId="7903" xr:uid="{D5BCF12F-B0CD-46FB-B40D-B2C04A7F3B9F}"/>
    <cellStyle name="Normal 3 6 8 2 3 4 2" xfId="17615" xr:uid="{4D5AB3C0-D02B-4932-AFD9-629A1BBBACE0}"/>
    <cellStyle name="Normal 3 6 8 2 3 4 3" xfId="14591" xr:uid="{C8D3CF84-D528-4C4D-B364-9B3AB3C3C21C}"/>
    <cellStyle name="Normal 3 6 8 2 3 5" xfId="7904" xr:uid="{31CD0B97-DCE6-4033-9B7A-30EBCE776EC5}"/>
    <cellStyle name="Normal 3 6 8 2 3 5 2" xfId="18226" xr:uid="{C04BC1F1-81C9-462A-BC49-DE29F6D3D53C}"/>
    <cellStyle name="Normal 3 6 8 2 3 5 3" xfId="14245" xr:uid="{3BD81E5A-27F4-41FF-9BBA-B92811836AA4}"/>
    <cellStyle name="Normal 3 6 8 2 3 6" xfId="8635" xr:uid="{92A442FC-AD31-4908-AB73-C1992E9C184A}"/>
    <cellStyle name="Normal 3 6 8 2 3 6 2" xfId="18687" xr:uid="{939ABA5F-81B5-4AC6-8E7F-59ED839A1FCB}"/>
    <cellStyle name="Normal 3 6 8 2 3 7" xfId="10101" xr:uid="{0359E0DD-A781-4A6D-BD42-710F5654638B}"/>
    <cellStyle name="Normal 3 6 8 2 3 8" xfId="10761" xr:uid="{051C28F2-CFA1-4C76-AC3C-52CB7B7EB031}"/>
    <cellStyle name="Normal 3 6 8 2 3 9" xfId="15397" xr:uid="{228A8EF6-E3CF-49C6-90B1-C28B0498661B}"/>
    <cellStyle name="Normal 3 6 8 2 4" xfId="7905" xr:uid="{38360B0C-8C35-463C-90A5-0A8186C7678E}"/>
    <cellStyle name="Normal 3 6 8 2 4 2" xfId="7906" xr:uid="{0EE72C92-E498-4A16-8CD2-80EAD65D8B3F}"/>
    <cellStyle name="Normal 3 6 8 2 4 2 2" xfId="17360" xr:uid="{B1A2F8F8-275E-402F-A8BB-367099543A71}"/>
    <cellStyle name="Normal 3 6 8 2 4 3" xfId="7907" xr:uid="{30E26C4D-B093-438E-9DD5-9A1025C5EAE6}"/>
    <cellStyle name="Normal 3 6 8 2 4 3 2" xfId="17974" xr:uid="{A15E547C-ECB5-4444-9277-BDAAC3EB81D6}"/>
    <cellStyle name="Normal 3 6 8 2 4 4" xfId="8803" xr:uid="{58D33E33-AC35-4C57-A73C-ACF49813675B}"/>
    <cellStyle name="Normal 3 6 8 2 4 4 2" xfId="18855" xr:uid="{D579DF5D-B6C4-4925-BDBA-78571A185A4C}"/>
    <cellStyle name="Normal 3 6 8 2 4 5" xfId="9850" xr:uid="{F8415523-5DEF-476B-8AEB-F504EAC5A841}"/>
    <cellStyle name="Normal 3 6 8 2 4 6" xfId="10762" xr:uid="{594DA124-F3C6-424A-AA03-9CA26F7D9313}"/>
    <cellStyle name="Normal 3 6 8 2 4 7" xfId="15308" xr:uid="{8417C7B3-2669-420A-8621-BD23BBA3E662}"/>
    <cellStyle name="Normal 3 6 8 2 5" xfId="7908" xr:uid="{72C1B1DC-11FE-49E3-86DE-3283D4A7D8CF}"/>
    <cellStyle name="Normal 3 6 8 2 5 2" xfId="9251" xr:uid="{A1FB3A46-7DCA-4440-9416-812AAB4852D6}"/>
    <cellStyle name="Normal 3 6 8 2 5 2 2" xfId="19303" xr:uid="{1AC36A57-E3DD-415D-ABEB-A716029398D6}"/>
    <cellStyle name="Normal 3 6 8 2 5 3" xfId="16754" xr:uid="{0868F81B-F57D-4B47-867B-7317BD31D71C}"/>
    <cellStyle name="Normal 3 6 8 2 5 4" xfId="14912" xr:uid="{415A7FEB-00C6-466F-AA0A-F1E0F7B76B16}"/>
    <cellStyle name="Normal 3 6 8 2 6" xfId="7909" xr:uid="{3742F6AB-F6D0-47ED-BD6F-6C53C7CE289B}"/>
    <cellStyle name="Normal 3 6 8 2 6 2" xfId="17213" xr:uid="{7505179D-3BF3-4F18-9792-9306DAE6AB24}"/>
    <cellStyle name="Normal 3 6 8 2 6 3" xfId="15508" xr:uid="{B438AF1B-D90F-48CE-AA19-8FFAA00250AD}"/>
    <cellStyle name="Normal 3 6 8 2 7" xfId="7910" xr:uid="{C2955558-3078-42BD-AEC8-FA6AD9FE363D}"/>
    <cellStyle name="Normal 3 6 8 2 7 2" xfId="17823" xr:uid="{E61F37D1-C9E5-476F-93B1-629E9A156184}"/>
    <cellStyle name="Normal 3 6 8 2 7 3" xfId="14454" xr:uid="{83B25007-565C-4AB5-9C9A-66A27AAAD6A1}"/>
    <cellStyle name="Normal 3 6 8 2 8" xfId="8375" xr:uid="{BB4F13EC-63FB-432B-BF29-FDFD44FD9CE9}"/>
    <cellStyle name="Normal 3 6 8 2 8 2" xfId="18427" xr:uid="{9F829CCB-CC7F-41AC-8F96-FFF0145728B8}"/>
    <cellStyle name="Normal 3 6 8 2 9" xfId="9704" xr:uid="{4E225645-B984-4A58-8DC2-BC6C98DB82D9}"/>
    <cellStyle name="Normal 3 6 8 3" xfId="4632" xr:uid="{E2832D52-7CCE-4394-8E42-96B3D0BB83E5}"/>
    <cellStyle name="Normal 3 6 8 3 2" xfId="7911" xr:uid="{5A85268B-9740-4F12-BE71-706C64B124C7}"/>
    <cellStyle name="Normal 3 6 8 3 2 2" xfId="9064" xr:uid="{075259A3-818D-4624-9346-5868C7E075BA}"/>
    <cellStyle name="Normal 3 6 8 3 2 2 2" xfId="19116" xr:uid="{FF165858-091C-49EC-BF4E-2ECC797CA9C5}"/>
    <cellStyle name="Normal 3 6 8 3 2 3" xfId="16569" xr:uid="{F95FFE30-0430-446A-90D3-F56D7A5A33CE}"/>
    <cellStyle name="Normal 3 6 8 3 2 4" xfId="15072" xr:uid="{4BF3D741-4094-4553-AF54-1C7DEFC6FCB6}"/>
    <cellStyle name="Normal 3 6 8 3 3" xfId="7912" xr:uid="{CC15F0C0-CDBF-4250-BB7B-AA387A1C6BD0}"/>
    <cellStyle name="Normal 3 6 8 3 3 2" xfId="9512" xr:uid="{02C53BE6-881B-4834-9461-94DFA00E9B65}"/>
    <cellStyle name="Normal 3 6 8 3 3 2 2" xfId="19564" xr:uid="{B31EB4E1-FFE7-4FA1-9700-5E61861F8AB0}"/>
    <cellStyle name="Normal 3 6 8 3 3 3" xfId="17015" xr:uid="{1C85D2DF-DA37-4CCA-9365-B37139AE298C}"/>
    <cellStyle name="Normal 3 6 8 3 3 4" xfId="15659" xr:uid="{5459D652-C6E5-4D06-AF71-688CEFE1A8F3}"/>
    <cellStyle name="Normal 3 6 8 3 4" xfId="7913" xr:uid="{9F417A91-E3F9-4468-B72E-1781AF4B5370}"/>
    <cellStyle name="Normal 3 6 8 3 4 2" xfId="17616" xr:uid="{50E20E78-6605-4CB6-812A-F36E288E0979}"/>
    <cellStyle name="Normal 3 6 8 3 4 3" xfId="14590" xr:uid="{10D344CF-DA1D-4F3A-AF6A-BA9907A68719}"/>
    <cellStyle name="Normal 3 6 8 3 5" xfId="7914" xr:uid="{BC2F837D-E51A-496A-9ADB-B39CF914558E}"/>
    <cellStyle name="Normal 3 6 8 3 5 2" xfId="18227" xr:uid="{1C744CDD-57DB-4A90-B2F5-3028BAC6EF56}"/>
    <cellStyle name="Normal 3 6 8 3 5 3" xfId="14244" xr:uid="{3E684123-63F2-41FE-B5D8-730E3076B9B2}"/>
    <cellStyle name="Normal 3 6 8 3 6" xfId="8636" xr:uid="{6C65AA3D-8EBB-4ADC-8DA3-BBA399C9AACD}"/>
    <cellStyle name="Normal 3 6 8 3 6 2" xfId="18688" xr:uid="{EBC2255B-00C4-4F02-9B85-12EA7AFDBA25}"/>
    <cellStyle name="Normal 3 6 8 3 7" xfId="10102" xr:uid="{2805B131-A842-4718-A324-87375248FCF4}"/>
    <cellStyle name="Normal 3 6 8 3 8" xfId="10763" xr:uid="{5757D656-B5E0-4803-970A-59ABD91838D9}"/>
    <cellStyle name="Normal 3 6 8 3 9" xfId="15867" xr:uid="{64CC693D-8E94-4B0A-8C45-D4C6F65EF3DA}"/>
    <cellStyle name="Normal 3 6 8 4" xfId="4633" xr:uid="{DDBFE661-E679-4BFA-8748-117878658D9E}"/>
    <cellStyle name="Normal 3 6 8 4 2" xfId="7915" xr:uid="{39EA9C6B-BF21-4014-8D60-AE2B176E689D}"/>
    <cellStyle name="Normal 3 6 8 4 2 2" xfId="9065" xr:uid="{7411F123-21CE-484F-B879-FA653994607C}"/>
    <cellStyle name="Normal 3 6 8 4 2 2 2" xfId="19117" xr:uid="{FD8077B0-EC6A-48D1-8D5B-288FB61513C7}"/>
    <cellStyle name="Normal 3 6 8 4 2 3" xfId="16570" xr:uid="{6ED921E9-D758-4F8A-8A1A-7864FE4A019B}"/>
    <cellStyle name="Normal 3 6 8 4 2 4" xfId="15071" xr:uid="{99528195-170C-4D9C-A32A-CAF40DBA9394}"/>
    <cellStyle name="Normal 3 6 8 4 3" xfId="7916" xr:uid="{DEC73BE4-3F8C-4398-8D08-B28D0C350D7C}"/>
    <cellStyle name="Normal 3 6 8 4 3 2" xfId="9513" xr:uid="{382BACAF-7410-4A56-B9CD-FE4A074CE242}"/>
    <cellStyle name="Normal 3 6 8 4 3 2 2" xfId="19565" xr:uid="{DBF35B8E-BB5F-4F10-9626-2C6BDED6A467}"/>
    <cellStyle name="Normal 3 6 8 4 3 3" xfId="17016" xr:uid="{86B91D60-53A6-4033-A59F-10BBCCFFCF19}"/>
    <cellStyle name="Normal 3 6 8 4 3 4" xfId="15658" xr:uid="{A9BD73B5-CDA7-4524-9011-7832B009A67C}"/>
    <cellStyle name="Normal 3 6 8 4 4" xfId="7917" xr:uid="{469ECFD0-0D4E-4C3B-9F35-B3BEED22DB4D}"/>
    <cellStyle name="Normal 3 6 8 4 4 2" xfId="17617" xr:uid="{1645A6E7-125C-4304-87D8-57E29E486138}"/>
    <cellStyle name="Normal 3 6 8 4 4 3" xfId="14589" xr:uid="{BAFFC907-E03F-49DC-8B89-8096C5B9F43A}"/>
    <cellStyle name="Normal 3 6 8 4 5" xfId="7918" xr:uid="{15DC6E44-04DA-45A2-8AF9-6FAFAD505978}"/>
    <cellStyle name="Normal 3 6 8 4 5 2" xfId="18228" xr:uid="{E20A1600-2BDD-4026-80AE-E13CA08289C7}"/>
    <cellStyle name="Normal 3 6 8 4 5 3" xfId="14243" xr:uid="{9E38FB1A-2CF1-4F45-8F5D-64B38748F193}"/>
    <cellStyle name="Normal 3 6 8 4 6" xfId="8637" xr:uid="{8CF6175D-5285-4520-8B71-76296148D84F}"/>
    <cellStyle name="Normal 3 6 8 4 6 2" xfId="18689" xr:uid="{E97643A7-81E8-442B-9EF1-3F2C074DAA1E}"/>
    <cellStyle name="Normal 3 6 8 4 7" xfId="10103" xr:uid="{FB6C4A81-65A0-4B2F-A01D-561F7DD55DE0}"/>
    <cellStyle name="Normal 3 6 8 4 8" xfId="10764" xr:uid="{BAF4F3D1-C720-40BB-B140-68821A817FBB}"/>
    <cellStyle name="Normal 3 6 8 4 9" xfId="15866" xr:uid="{B6EAA536-30F4-4DF8-9BF6-6C370948BAE8}"/>
    <cellStyle name="Normal 3 6 8 5" xfId="7919" xr:uid="{0420B442-B728-4B80-9726-64285877C25B}"/>
    <cellStyle name="Normal 3 6 8 5 2" xfId="7920" xr:uid="{98BE48CF-5036-4061-9B52-C505BEFD1493}"/>
    <cellStyle name="Normal 3 6 8 5 2 2" xfId="17359" xr:uid="{05F1D293-C943-47D8-97E0-9EC36315ED49}"/>
    <cellStyle name="Normal 3 6 8 5 3" xfId="7921" xr:uid="{45A15D52-1729-4D2F-B4C0-6CA937670ABE}"/>
    <cellStyle name="Normal 3 6 8 5 3 2" xfId="17973" xr:uid="{71707F55-6A9A-4277-AB6C-56E0ACFA3FF3}"/>
    <cellStyle name="Normal 3 6 8 5 4" xfId="8802" xr:uid="{4FB85747-BCD5-4736-B426-BB2347072524}"/>
    <cellStyle name="Normal 3 6 8 5 4 2" xfId="18854" xr:uid="{B50F7D3B-A85C-46D7-A713-C1B5D0038AD7}"/>
    <cellStyle name="Normal 3 6 8 5 5" xfId="9849" xr:uid="{9D2648FA-3CA1-4517-802C-CC68F5641B4D}"/>
    <cellStyle name="Normal 3 6 8 5 6" xfId="10765" xr:uid="{4669E7F3-8981-4F84-9E8C-42B180F57267}"/>
    <cellStyle name="Normal 3 6 8 5 7" xfId="15309" xr:uid="{77EA82C5-A6D7-48F4-A591-8C24C916C6CD}"/>
    <cellStyle name="Normal 3 6 8 6" xfId="7922" xr:uid="{F6D18BD4-0B2F-4C5F-871E-5231DA648BAF}"/>
    <cellStyle name="Normal 3 6 8 6 2" xfId="9250" xr:uid="{8AB3D1E9-DED1-431B-B524-E623A6BCC59D}"/>
    <cellStyle name="Normal 3 6 8 6 2 2" xfId="19302" xr:uid="{865B3F3D-D47E-4EF3-83EA-9D15F8C78FB7}"/>
    <cellStyle name="Normal 3 6 8 6 3" xfId="16753" xr:uid="{B2EE9C38-B59F-4267-975D-A7E707C7B42F}"/>
    <cellStyle name="Normal 3 6 8 6 4" xfId="14913" xr:uid="{95CC3914-D6CE-4922-949D-9FFA63661956}"/>
    <cellStyle name="Normal 3 6 8 7" xfId="7923" xr:uid="{1342DB9B-B639-4B2B-90EF-73CB75AE7505}"/>
    <cellStyle name="Normal 3 6 8 7 2" xfId="17212" xr:uid="{9E544758-B3F5-498A-A5FB-E97DB3598915}"/>
    <cellStyle name="Normal 3 6 8 7 3" xfId="15509" xr:uid="{86F5EE13-5169-42DE-B8CF-FD7AE64EDD38}"/>
    <cellStyle name="Normal 3 6 8 8" xfId="7924" xr:uid="{87BF4F3C-FE1E-4C4E-BBD2-E94141FC32A2}"/>
    <cellStyle name="Normal 3 6 8 8 2" xfId="17822" xr:uid="{92F16883-A454-419F-9485-AA7B3CEF5C4E}"/>
    <cellStyle name="Normal 3 6 8 8 3" xfId="14455" xr:uid="{0F8C38E9-D6B3-4E1F-AE1C-A2BA481B190A}"/>
    <cellStyle name="Normal 3 6 8 9" xfId="8374" xr:uid="{0780D371-8E9F-4E05-AB01-86E8EDD69095}"/>
    <cellStyle name="Normal 3 6 8 9 2" xfId="18426" xr:uid="{D2508E6D-03B7-424E-BAEA-BBA4BE6EC767}"/>
    <cellStyle name="Normal 3 6 9" xfId="2888" xr:uid="{EF648C6D-0A6C-4689-8B3B-C2B1F7F25B71}"/>
    <cellStyle name="Normal 3 6 9 10" xfId="10359" xr:uid="{D4089F91-319C-4A87-B0E6-4AB4B8487FEF}"/>
    <cellStyle name="Normal 3 6 9 11" xfId="11755" xr:uid="{BCBD9685-0A98-4529-846D-2D2ED11C1549}"/>
    <cellStyle name="Normal 3 6 9 11 2" xfId="16085" xr:uid="{2E8653C6-3A79-436F-BCD6-6CA0462A1FC8}"/>
    <cellStyle name="Normal 3 6 9 11 3" xfId="20602" xr:uid="{3D58DF05-CDD0-4CF8-8A29-B86037C8A772}"/>
    <cellStyle name="Normal 3 6 9 2" xfId="4634" xr:uid="{838C7398-88A4-4CC5-B34E-F0E51594BA05}"/>
    <cellStyle name="Normal 3 6 9 2 2" xfId="7925" xr:uid="{C1E712E9-25C9-48B0-A2F4-37DB9CD36045}"/>
    <cellStyle name="Normal 3 6 9 2 2 2" xfId="9066" xr:uid="{27916206-78D5-4D10-AD46-4561C25E7A22}"/>
    <cellStyle name="Normal 3 6 9 2 2 2 2" xfId="19118" xr:uid="{5201AF92-3A0A-4D41-BC04-9DD7416CA0D0}"/>
    <cellStyle name="Normal 3 6 9 2 2 3" xfId="16571" xr:uid="{12BEED12-3366-410F-A124-FF86C6C54E3B}"/>
    <cellStyle name="Normal 3 6 9 2 2 4" xfId="15070" xr:uid="{0C8C950F-88A4-45C2-A919-A94E8C5ACF88}"/>
    <cellStyle name="Normal 3 6 9 2 3" xfId="7926" xr:uid="{F1F09D1B-66AF-4207-9487-FE0FC318306C}"/>
    <cellStyle name="Normal 3 6 9 2 3 2" xfId="9514" xr:uid="{AAEADA6F-946B-4294-BE42-4C295F9334AC}"/>
    <cellStyle name="Normal 3 6 9 2 3 2 2" xfId="19566" xr:uid="{420102F9-618D-42C1-BD5F-B30ACF3CB965}"/>
    <cellStyle name="Normal 3 6 9 2 3 3" xfId="17017" xr:uid="{72D3C333-4446-40CA-BF09-B07DA3892E9E}"/>
    <cellStyle name="Normal 3 6 9 2 3 4" xfId="15657" xr:uid="{94756189-5B3C-4821-BDF0-8B350DBB2A47}"/>
    <cellStyle name="Normal 3 6 9 2 4" xfId="7927" xr:uid="{6121198D-676B-468E-B689-9EF0E282012E}"/>
    <cellStyle name="Normal 3 6 9 2 4 2" xfId="17618" xr:uid="{4E7B4A41-E79F-4A21-AC4A-83E93ECCD4F0}"/>
    <cellStyle name="Normal 3 6 9 2 4 3" xfId="14588" xr:uid="{FDEEB8FD-626F-44F2-9EDC-8C042FB8600C}"/>
    <cellStyle name="Normal 3 6 9 2 5" xfId="7928" xr:uid="{F8565004-EE1C-461A-8804-3E309A8763E6}"/>
    <cellStyle name="Normal 3 6 9 2 5 2" xfId="18229" xr:uid="{44ADAAA8-326B-49A8-A5DB-A4A39E2A97E5}"/>
    <cellStyle name="Normal 3 6 9 2 5 3" xfId="14242" xr:uid="{A8DEC9B2-5B99-4915-827D-B3FDEAD3CDDB}"/>
    <cellStyle name="Normal 3 6 9 2 6" xfId="8638" xr:uid="{2683F088-7E7B-411C-ABD0-D7B72298A15C}"/>
    <cellStyle name="Normal 3 6 9 2 6 2" xfId="18690" xr:uid="{458E2247-B689-41D5-9E28-4B34C68CB245}"/>
    <cellStyle name="Normal 3 6 9 2 7" xfId="10104" xr:uid="{C4451A31-1E86-436D-B6C5-83AB3A6A119D}"/>
    <cellStyle name="Normal 3 6 9 2 8" xfId="10766" xr:uid="{D1F5C13D-0591-4D76-89F8-48C7F7054BBC}"/>
    <cellStyle name="Normal 3 6 9 2 9" xfId="15865" xr:uid="{EF5148AE-0477-41BF-A105-BC8A85B808EB}"/>
    <cellStyle name="Normal 3 6 9 3" xfId="4635" xr:uid="{30F31274-8E15-4457-851F-5C234454B155}"/>
    <cellStyle name="Normal 3 6 9 3 2" xfId="7929" xr:uid="{77B53F7A-6F64-4C73-BCE0-8264F857D244}"/>
    <cellStyle name="Normal 3 6 9 3 2 2" xfId="9067" xr:uid="{F297480E-4263-4733-86FF-CEEFD75E148A}"/>
    <cellStyle name="Normal 3 6 9 3 2 2 2" xfId="19119" xr:uid="{90523D12-DDB5-4C08-B08D-CC3F68E0D163}"/>
    <cellStyle name="Normal 3 6 9 3 2 3" xfId="16572" xr:uid="{ABBA62FA-8517-4260-8C1A-63E98B65A2F8}"/>
    <cellStyle name="Normal 3 6 9 3 2 4" xfId="15069" xr:uid="{95771481-7424-40FA-A6F3-18B0E9860F2D}"/>
    <cellStyle name="Normal 3 6 9 3 3" xfId="7930" xr:uid="{ACDFD5E7-17E4-4351-BEF4-DD66EB5FA538}"/>
    <cellStyle name="Normal 3 6 9 3 3 2" xfId="9515" xr:uid="{7EB3E1C7-83E0-444E-A45C-516292B9FCD7}"/>
    <cellStyle name="Normal 3 6 9 3 3 2 2" xfId="19567" xr:uid="{F81A0C6B-05E0-4801-B388-E4DBBDF8EFB7}"/>
    <cellStyle name="Normal 3 6 9 3 3 3" xfId="17018" xr:uid="{00D05D82-F111-4EDD-A822-1F6BA72DF7AB}"/>
    <cellStyle name="Normal 3 6 9 3 3 4" xfId="15656" xr:uid="{BD1F9C56-F2BF-4040-8029-A369E921008A}"/>
    <cellStyle name="Normal 3 6 9 3 4" xfId="7931" xr:uid="{F96F3406-2360-46D3-9E17-191BF6BA8D8A}"/>
    <cellStyle name="Normal 3 6 9 3 4 2" xfId="17619" xr:uid="{C7583BCF-E453-4F23-90DF-14CDD31A8E46}"/>
    <cellStyle name="Normal 3 6 9 3 4 3" xfId="14587" xr:uid="{FF4072B6-6980-4841-A2E3-160C4F519848}"/>
    <cellStyle name="Normal 3 6 9 3 5" xfId="7932" xr:uid="{785D918A-B58E-4758-8F31-8CE785EACA19}"/>
    <cellStyle name="Normal 3 6 9 3 5 2" xfId="18230" xr:uid="{69D94A2D-5337-472C-B73D-4D21EE448FAE}"/>
    <cellStyle name="Normal 3 6 9 3 5 3" xfId="14241" xr:uid="{DB4C4471-4EAF-4C1B-A890-3422D6F5088A}"/>
    <cellStyle name="Normal 3 6 9 3 6" xfId="8639" xr:uid="{3A55BC70-F8CD-4822-961D-4A2D605694B5}"/>
    <cellStyle name="Normal 3 6 9 3 6 2" xfId="18691" xr:uid="{CDD41EBE-645E-46DC-9F6D-3940BE4D659E}"/>
    <cellStyle name="Normal 3 6 9 3 7" xfId="10105" xr:uid="{CD05CDC0-286C-450C-B882-18D2894A32BF}"/>
    <cellStyle name="Normal 3 6 9 3 8" xfId="10767" xr:uid="{98F7DCE9-3BD1-4649-A98B-65DE17A90D64}"/>
    <cellStyle name="Normal 3 6 9 3 9" xfId="15864" xr:uid="{29EFA708-9FE6-4589-B190-775987425500}"/>
    <cellStyle name="Normal 3 6 9 4" xfId="7933" xr:uid="{B89CFB10-4D33-4AC8-B5F4-9066EDA74428}"/>
    <cellStyle name="Normal 3 6 9 4 2" xfId="7934" xr:uid="{84A538B3-1537-4DF4-9D5C-52279211874D}"/>
    <cellStyle name="Normal 3 6 9 4 2 2" xfId="17361" xr:uid="{FC579F5A-CA44-4B6E-9EB8-ACC4D602524D}"/>
    <cellStyle name="Normal 3 6 9 4 3" xfId="7935" xr:uid="{39F51461-A4F3-4EC2-BDDF-C6D05399291B}"/>
    <cellStyle name="Normal 3 6 9 4 3 2" xfId="17975" xr:uid="{3D5CE454-8C71-4A10-A6B7-49EFF893F778}"/>
    <cellStyle name="Normal 3 6 9 4 4" xfId="8804" xr:uid="{ACF1E66D-4328-4921-966D-8519B6992532}"/>
    <cellStyle name="Normal 3 6 9 4 4 2" xfId="18856" xr:uid="{A891DD51-2A49-4C6A-AB61-CAAED660E040}"/>
    <cellStyle name="Normal 3 6 9 4 5" xfId="9851" xr:uid="{2266E366-BA6B-4895-8740-B655BDA4126E}"/>
    <cellStyle name="Normal 3 6 9 4 6" xfId="10768" xr:uid="{B571A4DC-3299-4628-901D-9AEA651D084C}"/>
    <cellStyle name="Normal 3 6 9 4 7" xfId="15307" xr:uid="{3F7F15F5-3D59-4DEE-8A95-4538C1B841E7}"/>
    <cellStyle name="Normal 3 6 9 5" xfId="7936" xr:uid="{3266E1EF-9FF0-4BA8-99BF-0E191A5EDA3F}"/>
    <cellStyle name="Normal 3 6 9 5 2" xfId="9252" xr:uid="{AAF8F765-6141-4741-A48D-BE50B829A28D}"/>
    <cellStyle name="Normal 3 6 9 5 2 2" xfId="19304" xr:uid="{E393EE7D-FD7A-4534-A4E6-A5DE99C62F89}"/>
    <cellStyle name="Normal 3 6 9 5 3" xfId="16755" xr:uid="{5530911F-C842-4009-A1B4-DA721759C757}"/>
    <cellStyle name="Normal 3 6 9 5 4" xfId="14911" xr:uid="{DF0A173A-9F2F-4437-9B0A-92ED721896FD}"/>
    <cellStyle name="Normal 3 6 9 6" xfId="7937" xr:uid="{3B3D531F-9893-400F-A2F9-EDE32E6282A4}"/>
    <cellStyle name="Normal 3 6 9 6 2" xfId="17214" xr:uid="{4F62AB57-01B6-4D50-9A98-70DB38482917}"/>
    <cellStyle name="Normal 3 6 9 6 3" xfId="14800" xr:uid="{C4B30A05-6A36-46D6-9093-EF044E482DFA}"/>
    <cellStyle name="Normal 3 6 9 7" xfId="7938" xr:uid="{AAA206D5-F35A-4ACA-8080-75EC70FA455A}"/>
    <cellStyle name="Normal 3 6 9 7 2" xfId="17824" xr:uid="{98E3F61E-706F-4185-817B-C9A10384B127}"/>
    <cellStyle name="Normal 3 6 9 7 3" xfId="14453" xr:uid="{D079CEF3-8D3A-464F-A120-95ACA2EEB932}"/>
    <cellStyle name="Normal 3 6 9 8" xfId="8376" xr:uid="{4C60B77F-0DE8-4938-8BF1-DA8C985C1837}"/>
    <cellStyle name="Normal 3 6 9 8 2" xfId="18428" xr:uid="{FB6A4627-D04F-4CC3-8D86-96755BCCECC5}"/>
    <cellStyle name="Normal 3 6 9 9" xfId="9705" xr:uid="{156E5FA0-1D2B-49C2-8BA2-5EE500193DE6}"/>
    <cellStyle name="Normal 3 60" xfId="11754" xr:uid="{3DD30384-32DB-4A04-A338-12552B470527}"/>
    <cellStyle name="Normal 3 61" xfId="11894" xr:uid="{E6F6422E-AA1A-4258-B2F3-B3B779540CC1}"/>
    <cellStyle name="Normal 3 62" xfId="11913" xr:uid="{9C35AA19-CE01-420B-A461-2C40E92E203E}"/>
    <cellStyle name="Normal 3 63" xfId="11290" xr:uid="{D85DBED2-B27D-4E32-8F0A-9CE8CAF11261}"/>
    <cellStyle name="Normal 3 64" xfId="10968" xr:uid="{17898585-E9C8-4554-AC1A-5A1B1E26943C}"/>
    <cellStyle name="Normal 3 65" xfId="12988" xr:uid="{2A1D2435-1246-4AB1-A115-5F5521720A54}"/>
    <cellStyle name="Normal 3 66" xfId="11653" xr:uid="{F5712B10-4284-4BC5-A9E1-D30EF549508B}"/>
    <cellStyle name="Normal 3 67" xfId="10961" xr:uid="{C1D20E3F-D66E-4D89-BD88-7FDB6D5EB98F}"/>
    <cellStyle name="Normal 3 68" xfId="12479" xr:uid="{756C23F2-8732-4644-A677-ED67616BC652}"/>
    <cellStyle name="Normal 3 69" xfId="12484" xr:uid="{44CCF76C-DC8A-411A-8A1E-E30A65FB7365}"/>
    <cellStyle name="Normal 3 7" xfId="2889" xr:uid="{1D9A67E3-4C1A-451F-B06F-B749C3102B6B}"/>
    <cellStyle name="Normal 3 7 10" xfId="9706" xr:uid="{DB5FB089-B912-4156-A861-0B1DD8CDD3E8}"/>
    <cellStyle name="Normal 3 7 10 2" xfId="11799" xr:uid="{DEC43D0A-3D51-4B5D-87FB-B3FEFBB02CE7}"/>
    <cellStyle name="Normal 3 7 11" xfId="10360" xr:uid="{7F01C953-3AAF-4418-9785-E5300F463511}"/>
    <cellStyle name="Normal 3 7 11 2" xfId="12390" xr:uid="{5CC390DE-2EBE-4863-86D2-003BBD930F9B}"/>
    <cellStyle name="Normal 3 7 12" xfId="11386" xr:uid="{2425028E-B5D3-4A4E-A2DF-E3F50710D540}"/>
    <cellStyle name="Normal 3 7 12 2" xfId="16084" xr:uid="{12AB9DF5-ADA5-4FBD-ABC4-67F99C96D7E6}"/>
    <cellStyle name="Normal 3 7 12 3" xfId="20559" xr:uid="{B4216DD6-14C0-4713-A186-895D59AFC482}"/>
    <cellStyle name="Normal 3 7 13" xfId="12569" xr:uid="{0137F3DD-4E6C-451E-91B0-369998EC7F81}"/>
    <cellStyle name="Normal 3 7 14" xfId="11800" xr:uid="{2F56AC01-A05A-4437-A037-99FEC8CCF337}"/>
    <cellStyle name="Normal 3 7 15" xfId="11801" xr:uid="{E147BD31-C749-4560-8B23-72A37AF4B5EE}"/>
    <cellStyle name="Normal 3 7 16" xfId="12699" xr:uid="{1AE357F9-C25D-4F36-B589-E47279C8DE65}"/>
    <cellStyle name="Normal 3 7 17" xfId="12763" xr:uid="{F7B29894-DA97-42BA-83C8-97B6FDBEFDD5}"/>
    <cellStyle name="Normal 3 7 18" xfId="12000" xr:uid="{F68F70BB-EAB9-4401-9CC1-24A094B5D644}"/>
    <cellStyle name="Normal 3 7 19" xfId="11057" xr:uid="{B25961ED-A292-4EEA-9A52-E4706E603BD7}"/>
    <cellStyle name="Normal 3 7 2" xfId="2890" xr:uid="{AB81DA1E-372B-4844-8C56-251766A2A311}"/>
    <cellStyle name="Normal 3 7 2 10" xfId="10361" xr:uid="{A0779685-E10F-4DA9-BF42-EA24B96AFE3D}"/>
    <cellStyle name="Normal 3 7 2 11" xfId="11118" xr:uid="{4B02E6F8-CFB6-4D74-9ABA-8C72002D129E}"/>
    <cellStyle name="Normal 3 7 2 11 2" xfId="16083" xr:uid="{7C8A6EEC-3CDD-4689-9D9B-CDCCA2C4527F}"/>
    <cellStyle name="Normal 3 7 2 11 3" xfId="20519" xr:uid="{9A2C77E2-8E7D-42F6-8C0F-F4BB409D97C2}"/>
    <cellStyle name="Normal 3 7 2 2" xfId="4636" xr:uid="{4B9F0692-8AA3-4022-9BA2-3A7C31CD46F9}"/>
    <cellStyle name="Normal 3 7 2 2 2" xfId="7939" xr:uid="{992129F4-9D2E-4C78-9A21-EBD7123DF558}"/>
    <cellStyle name="Normal 3 7 2 2 2 2" xfId="9068" xr:uid="{568FD17E-CBBC-466D-903A-5F2B9C4819C7}"/>
    <cellStyle name="Normal 3 7 2 2 2 2 2" xfId="19120" xr:uid="{C85DE794-DDB7-4B5C-80C9-771B6EB0FC20}"/>
    <cellStyle name="Normal 3 7 2 2 2 3" xfId="16573" xr:uid="{0072645C-A46F-4241-84DE-0053BB2F2D3F}"/>
    <cellStyle name="Normal 3 7 2 2 2 4" xfId="15068" xr:uid="{C492BBF4-7FB8-48AC-BFCB-F32C1F76DE14}"/>
    <cellStyle name="Normal 3 7 2 2 3" xfId="7940" xr:uid="{0CD2A88C-11DF-403C-B5B8-84E308A2C0B8}"/>
    <cellStyle name="Normal 3 7 2 2 3 2" xfId="9516" xr:uid="{8BA3DD98-2A21-47FF-BBB7-19275DE1859D}"/>
    <cellStyle name="Normal 3 7 2 2 3 2 2" xfId="19568" xr:uid="{4B831A2C-3A1C-42D5-BDAB-61FF17958808}"/>
    <cellStyle name="Normal 3 7 2 2 3 3" xfId="17019" xr:uid="{03872A06-B7DC-47E5-87B4-C61EE45B6997}"/>
    <cellStyle name="Normal 3 7 2 2 3 4" xfId="14823" xr:uid="{5F6F75B2-EF99-4A44-95FE-B5BB00BAB91A}"/>
    <cellStyle name="Normal 3 7 2 2 4" xfId="7941" xr:uid="{5CD506E5-E8E5-4F0A-B7DB-70FC09380DF7}"/>
    <cellStyle name="Normal 3 7 2 2 4 2" xfId="17620" xr:uid="{8C23D8FE-AE2F-4487-9BC9-91759622A3B6}"/>
    <cellStyle name="Normal 3 7 2 2 4 3" xfId="14105" xr:uid="{D25E5E9F-AF92-4EB4-9B0A-F2657CECBAEC}"/>
    <cellStyle name="Normal 3 7 2 2 5" xfId="7942" xr:uid="{D53C15CA-8570-41E7-9D0D-A5A627C8E580}"/>
    <cellStyle name="Normal 3 7 2 2 5 2" xfId="18231" xr:uid="{89A454FF-4698-45E0-9FC4-41F11646C799}"/>
    <cellStyle name="Normal 3 7 2 2 5 3" xfId="14240" xr:uid="{528D11DA-8AF5-4380-AAB5-9FCA44AB3DCB}"/>
    <cellStyle name="Normal 3 7 2 2 6" xfId="8640" xr:uid="{45BACBEA-066C-45F7-B315-78B65DBC0E0E}"/>
    <cellStyle name="Normal 3 7 2 2 6 2" xfId="18692" xr:uid="{759B0A00-E351-4199-98FA-408B57A50602}"/>
    <cellStyle name="Normal 3 7 2 2 7" xfId="10106" xr:uid="{163487CF-48FC-4368-AA83-8147DEDB37F8}"/>
    <cellStyle name="Normal 3 7 2 2 8" xfId="10769" xr:uid="{A3465D53-A608-496F-8AA9-3947FBF3FF5F}"/>
    <cellStyle name="Normal 3 7 2 2 9" xfId="15863" xr:uid="{3854FCB8-AD68-40D6-B751-C14E02EDF9A5}"/>
    <cellStyle name="Normal 3 7 2 3" xfId="4637" xr:uid="{48607C6D-9EA7-4CF7-B0C0-C73DD766D25E}"/>
    <cellStyle name="Normal 3 7 2 3 2" xfId="7943" xr:uid="{C007BC7E-52FB-420D-87B7-A6930DBB4E72}"/>
    <cellStyle name="Normal 3 7 2 3 2 2" xfId="9069" xr:uid="{F9B7CA93-770C-4AB5-9351-C4E587CF99BF}"/>
    <cellStyle name="Normal 3 7 2 3 2 2 2" xfId="19121" xr:uid="{DE3611EF-8BE9-43B6-ACB2-F102A927D1BC}"/>
    <cellStyle name="Normal 3 7 2 3 2 3" xfId="16574" xr:uid="{780A9F14-D00A-4A51-A849-992200632D88}"/>
    <cellStyle name="Normal 3 7 2 3 2 4" xfId="15067" xr:uid="{5ED5A004-2346-4BF7-9E20-3E0AEE796CCE}"/>
    <cellStyle name="Normal 3 7 2 3 3" xfId="7944" xr:uid="{1C865807-E788-4433-94FE-26A259CA2C43}"/>
    <cellStyle name="Normal 3 7 2 3 3 2" xfId="9517" xr:uid="{B0BB8CE4-F8D5-4E31-8749-5863A93E7185}"/>
    <cellStyle name="Normal 3 7 2 3 3 2 2" xfId="19569" xr:uid="{5CA31BC7-7CEF-4BAB-8EC0-08FC581BD31D}"/>
    <cellStyle name="Normal 3 7 2 3 3 3" xfId="17020" xr:uid="{B1200710-BF64-4779-964E-1D79C2BA02DE}"/>
    <cellStyle name="Normal 3 7 2 3 3 4" xfId="15655" xr:uid="{B992BA68-C423-42FF-9C42-FA2E88A97722}"/>
    <cellStyle name="Normal 3 7 2 3 4" xfId="7945" xr:uid="{0C02B39D-A364-421F-AC34-BC52D251C878}"/>
    <cellStyle name="Normal 3 7 2 3 4 2" xfId="17621" xr:uid="{08D8B896-25D6-4414-AAC9-0EEAFC8DAC9C}"/>
    <cellStyle name="Normal 3 7 2 3 4 3" xfId="14586" xr:uid="{EA5B2D9D-665D-4944-9F3B-C488B96A2026}"/>
    <cellStyle name="Normal 3 7 2 3 5" xfId="7946" xr:uid="{8F2CD72E-A841-41FD-92A1-0AF2D51C4528}"/>
    <cellStyle name="Normal 3 7 2 3 5 2" xfId="18232" xr:uid="{3A631568-4940-4F9E-A05D-7FBD8944803F}"/>
    <cellStyle name="Normal 3 7 2 3 5 3" xfId="14239" xr:uid="{5EFCF025-BDFB-41F4-9CEB-C695A73FC5D1}"/>
    <cellStyle name="Normal 3 7 2 3 6" xfId="8641" xr:uid="{C4AF8992-8BA2-407C-A780-F66C42877758}"/>
    <cellStyle name="Normal 3 7 2 3 6 2" xfId="18693" xr:uid="{B936EBE6-F10C-4C97-99B2-F66DFA3D25D3}"/>
    <cellStyle name="Normal 3 7 2 3 7" xfId="10107" xr:uid="{A82BBA0F-EDE8-425B-8636-7C02593E64A5}"/>
    <cellStyle name="Normal 3 7 2 3 8" xfId="10770" xr:uid="{83A53793-B7ED-4BAE-84CC-1E7595500CAB}"/>
    <cellStyle name="Normal 3 7 2 3 9" xfId="15862" xr:uid="{F9F48FF3-C6D9-4608-BDC4-9D381A10F4B0}"/>
    <cellStyle name="Normal 3 7 2 4" xfId="7947" xr:uid="{830B8AB0-5522-4888-98A8-71DA4449291F}"/>
    <cellStyle name="Normal 3 7 2 4 2" xfId="7948" xr:uid="{6D9E5E82-A120-407C-A1C4-839B0D59C1B2}"/>
    <cellStyle name="Normal 3 7 2 4 2 2" xfId="17363" xr:uid="{77B02EB1-FF1F-45DC-AE67-3EFB0F08F140}"/>
    <cellStyle name="Normal 3 7 2 4 3" xfId="7949" xr:uid="{5A038706-1659-4D4A-88E1-8AC77E09A50D}"/>
    <cellStyle name="Normal 3 7 2 4 3 2" xfId="17977" xr:uid="{F950C132-97F9-4B87-B715-90E8F7F795DC}"/>
    <cellStyle name="Normal 3 7 2 4 4" xfId="8806" xr:uid="{2F6B14A5-E95C-4212-ACA5-56C88C2F9407}"/>
    <cellStyle name="Normal 3 7 2 4 4 2" xfId="18858" xr:uid="{D1732157-F05B-4A0B-93A0-3065379C43CA}"/>
    <cellStyle name="Normal 3 7 2 4 5" xfId="9853" xr:uid="{32C99D40-6C2C-4CFB-A214-D790DF75F0F2}"/>
    <cellStyle name="Normal 3 7 2 4 6" xfId="10771" xr:uid="{56B1C9C6-87EB-46F2-A1A0-3C4E8662401D}"/>
    <cellStyle name="Normal 3 7 2 4 7" xfId="15305" xr:uid="{5170DA24-9FDC-4117-B3C6-647DF040378B}"/>
    <cellStyle name="Normal 3 7 2 5" xfId="7950" xr:uid="{82D3E325-79A9-4DA1-B2A7-0271D7797C10}"/>
    <cellStyle name="Normal 3 7 2 5 2" xfId="9254" xr:uid="{B1EE8AC1-2F6B-4CAD-9320-11E8B55674F7}"/>
    <cellStyle name="Normal 3 7 2 5 2 2" xfId="19306" xr:uid="{B1CBCD21-0876-4BBE-926E-0A31AF4A180F}"/>
    <cellStyle name="Normal 3 7 2 5 3" xfId="16757" xr:uid="{139E32C9-6DB5-4670-83FC-522AE3C0C4E6}"/>
    <cellStyle name="Normal 3 7 2 5 4" xfId="14909" xr:uid="{111FE7E3-E3D5-4D03-B5E1-0A3B7581397B}"/>
    <cellStyle name="Normal 3 7 2 6" xfId="7951" xr:uid="{F922CDC5-BF3D-4201-BC17-B816D69E8A47}"/>
    <cellStyle name="Normal 3 7 2 6 2" xfId="17216" xr:uid="{7E603768-E371-49F7-BC34-FE1A895E13D3}"/>
    <cellStyle name="Normal 3 7 2 6 3" xfId="15506" xr:uid="{2C19E649-EDF0-4CC0-928E-FB8401CB7443}"/>
    <cellStyle name="Normal 3 7 2 7" xfId="7952" xr:uid="{18D0E012-9AC9-4293-92B2-20BEA3A5AF18}"/>
    <cellStyle name="Normal 3 7 2 7 2" xfId="17826" xr:uid="{5E82D5D1-8731-4369-9C30-7C71C484A402}"/>
    <cellStyle name="Normal 3 7 2 7 3" xfId="14451" xr:uid="{DEB3E4F1-2BF7-483B-8238-CA2D6B795E83}"/>
    <cellStyle name="Normal 3 7 2 8" xfId="8378" xr:uid="{EECB7579-1815-4050-89F6-84EA1254E399}"/>
    <cellStyle name="Normal 3 7 2 8 2" xfId="18430" xr:uid="{6B22AF2B-9E44-4302-AB6A-C0109E946A1A}"/>
    <cellStyle name="Normal 3 7 2 9" xfId="9707" xr:uid="{2D7980DD-9679-4B4D-8797-10E4B2A3D4D8}"/>
    <cellStyle name="Normal 3 7 20" xfId="11802" xr:uid="{90D73355-8BFD-42BB-9243-D6A229DA1D07}"/>
    <cellStyle name="Normal 3 7 21" xfId="11875" xr:uid="{B901B896-366B-45DA-B14D-8C8CB7CD9C13}"/>
    <cellStyle name="Normal 3 7 22" xfId="11803" xr:uid="{7E4F4E23-195E-47CF-921D-E71AA77BA467}"/>
    <cellStyle name="Normal 3 7 23" xfId="11733" xr:uid="{A0B236BA-9942-4E92-9BE7-9D82B979F0E8}"/>
    <cellStyle name="Normal 3 7 24" xfId="11435" xr:uid="{9A6FED38-B27C-49D7-8FF6-FC97DDB2BAE6}"/>
    <cellStyle name="Normal 3 7 3" xfId="4638" xr:uid="{17403D40-D8E8-4667-B49B-9A98A5161FBE}"/>
    <cellStyle name="Normal 3 7 3 2" xfId="7953" xr:uid="{41AF3258-BCAD-4650-BDF5-800E55C63C62}"/>
    <cellStyle name="Normal 3 7 3 2 2" xfId="9070" xr:uid="{BEA5A55D-D3E2-4400-AB5A-5ACF6C0DC28F}"/>
    <cellStyle name="Normal 3 7 3 2 2 2" xfId="19122" xr:uid="{57E5FE32-51A2-4CCD-9506-2A03780B8664}"/>
    <cellStyle name="Normal 3 7 3 2 3" xfId="16575" xr:uid="{1373EC9D-72B8-45C8-AE86-8198ADD21364}"/>
    <cellStyle name="Normal 3 7 3 2 4" xfId="15066" xr:uid="{F99F8C54-5478-421C-9B95-4EC3336460D6}"/>
    <cellStyle name="Normal 3 7 3 3" xfId="7954" xr:uid="{1010FA0F-3B13-4009-916D-AFE475DA14AF}"/>
    <cellStyle name="Normal 3 7 3 3 2" xfId="9518" xr:uid="{7C458A27-7364-4426-868B-D7FAB5F30A91}"/>
    <cellStyle name="Normal 3 7 3 3 2 2" xfId="19570" xr:uid="{683FC87C-37FC-4D7E-B641-10FDA9C03374}"/>
    <cellStyle name="Normal 3 7 3 3 3" xfId="17021" xr:uid="{CE177D1A-BBE6-4F42-9E31-1A76F8088475}"/>
    <cellStyle name="Normal 3 7 3 3 4" xfId="15654" xr:uid="{3FF8B2E5-1F79-4A9E-8031-F1CC00803AE9}"/>
    <cellStyle name="Normal 3 7 3 4" xfId="7955" xr:uid="{456186D6-87EA-40EA-B490-C3CC9499D190}"/>
    <cellStyle name="Normal 3 7 3 4 2" xfId="17622" xr:uid="{00D9CEDB-EBFD-4C72-AF40-CBB0ED453090}"/>
    <cellStyle name="Normal 3 7 3 4 3" xfId="14585" xr:uid="{D275620E-B379-44A7-A024-E205B2C2A346}"/>
    <cellStyle name="Normal 3 7 3 5" xfId="7956" xr:uid="{DBEE4555-2B2F-4652-B686-1FD5989D6F63}"/>
    <cellStyle name="Normal 3 7 3 5 2" xfId="18233" xr:uid="{E310B39C-23BC-4B06-B159-14436787106A}"/>
    <cellStyle name="Normal 3 7 3 5 3" xfId="14238" xr:uid="{ECF09F18-0B50-47A2-89D2-C7DC4F9897A5}"/>
    <cellStyle name="Normal 3 7 3 6" xfId="8642" xr:uid="{673AD7ED-5B69-4B2B-9526-587C60062117}"/>
    <cellStyle name="Normal 3 7 3 6 2" xfId="18694" xr:uid="{71035AC5-1A8B-460C-88D0-2620073610F5}"/>
    <cellStyle name="Normal 3 7 3 7" xfId="10108" xr:uid="{C485EEE5-2AA3-4851-87BD-DD20229AE93B}"/>
    <cellStyle name="Normal 3 7 3 8" xfId="10772" xr:uid="{E3ACDA26-32A3-4BAF-AD9E-1BC0DDFB158D}"/>
    <cellStyle name="Normal 3 7 3 9" xfId="11804" xr:uid="{F50A1C30-27C2-48C8-8B1C-2B445D024D2C}"/>
    <cellStyle name="Normal 3 7 3 9 2" xfId="15396" xr:uid="{EC98BF15-EE2F-4C64-BF0A-D36AAB296E77}"/>
    <cellStyle name="Normal 3 7 3 9 3" xfId="20619" xr:uid="{9223E83D-A41A-4930-9DB2-4BB4458FBDED}"/>
    <cellStyle name="Normal 3 7 4" xfId="4639" xr:uid="{6CD48929-5D85-48FA-A418-3D58CBB1F56E}"/>
    <cellStyle name="Normal 3 7 4 2" xfId="7957" xr:uid="{70041C53-4ACA-4576-B832-9106502AB359}"/>
    <cellStyle name="Normal 3 7 4 2 2" xfId="9071" xr:uid="{5E7FA2D8-163E-4A71-9260-17252615CEF0}"/>
    <cellStyle name="Normal 3 7 4 2 2 2" xfId="19123" xr:uid="{B7873388-13AA-4AE9-BF9C-B5AC8453D111}"/>
    <cellStyle name="Normal 3 7 4 2 3" xfId="16576" xr:uid="{69277B17-5118-403C-919D-FF99484E1955}"/>
    <cellStyle name="Normal 3 7 4 2 4" xfId="15065" xr:uid="{E1DBC0FD-B49A-4378-87D9-6759CB9D4CDA}"/>
    <cellStyle name="Normal 3 7 4 3" xfId="7958" xr:uid="{7051170A-B620-4E80-9694-364486940614}"/>
    <cellStyle name="Normal 3 7 4 3 2" xfId="9519" xr:uid="{9ACEE559-6E41-450B-8797-BCCA0CED1FDD}"/>
    <cellStyle name="Normal 3 7 4 3 2 2" xfId="19571" xr:uid="{BC872437-DF16-4CF1-9267-8C8E980F17C6}"/>
    <cellStyle name="Normal 3 7 4 3 3" xfId="17022" xr:uid="{65E85A56-6459-419E-A873-D940B92BE11C}"/>
    <cellStyle name="Normal 3 7 4 3 4" xfId="15653" xr:uid="{3F6B47AC-2E57-45E6-ABCA-4039E43CE07A}"/>
    <cellStyle name="Normal 3 7 4 4" xfId="7959" xr:uid="{55A27C82-A3F2-4A12-AD16-7BF9D72D79FE}"/>
    <cellStyle name="Normal 3 7 4 4 2" xfId="17623" xr:uid="{B5B98CB2-412D-44D2-B559-DC546DF6FA00}"/>
    <cellStyle name="Normal 3 7 4 4 3" xfId="14584" xr:uid="{CFA23A34-2E5F-48AD-9401-27726A081E6D}"/>
    <cellStyle name="Normal 3 7 4 5" xfId="7960" xr:uid="{9F35920E-4E64-436E-9E6C-F3A52037886E}"/>
    <cellStyle name="Normal 3 7 4 5 2" xfId="18234" xr:uid="{7FBC74D8-BD1E-47FD-85DA-1E70CA94D216}"/>
    <cellStyle name="Normal 3 7 4 5 3" xfId="14237" xr:uid="{736CA889-15F2-4426-95A1-24C7FAA8A7F9}"/>
    <cellStyle name="Normal 3 7 4 6" xfId="8643" xr:uid="{0F056D19-26AC-43C6-AA08-1AF007CE12AA}"/>
    <cellStyle name="Normal 3 7 4 6 2" xfId="18695" xr:uid="{99E6AA3A-D9CA-4DA4-8361-825208787FA9}"/>
    <cellStyle name="Normal 3 7 4 7" xfId="10109" xr:uid="{C07055F7-6FEB-43F6-A679-5CF97944B21F}"/>
    <cellStyle name="Normal 3 7 4 8" xfId="10773" xr:uid="{1492CF7D-95A0-4571-A7FA-2F2843647E5A}"/>
    <cellStyle name="Normal 3 7 4 9" xfId="13417" xr:uid="{39C6B416-25CD-47CB-951C-526653482A9A}"/>
    <cellStyle name="Normal 3 7 4 9 2" xfId="15861" xr:uid="{D7A38874-5A84-4731-8879-9624C093A745}"/>
    <cellStyle name="Normal 3 7 4 9 3" xfId="20792" xr:uid="{907CCEE5-F000-4C9E-9B87-2400595714C1}"/>
    <cellStyle name="Normal 3 7 5" xfId="7961" xr:uid="{C4C8F1A1-4B89-4581-983C-BDD31347A086}"/>
    <cellStyle name="Normal 3 7 5 2" xfId="7962" xr:uid="{6F88EF48-5B6B-48A2-BD25-626EB9C31DB8}"/>
    <cellStyle name="Normal 3 7 5 2 2" xfId="17362" xr:uid="{604138EC-372F-4452-8C58-2C2324926F2D}"/>
    <cellStyle name="Normal 3 7 5 3" xfId="7963" xr:uid="{C7FE3412-C1FC-48D3-B8C0-61AFB37C946A}"/>
    <cellStyle name="Normal 3 7 5 3 2" xfId="17976" xr:uid="{203A6C65-FE6F-4690-90C4-E1B9C08F4737}"/>
    <cellStyle name="Normal 3 7 5 4" xfId="8805" xr:uid="{C3D62FA4-33CD-4587-9CFD-5DBC3FAB379E}"/>
    <cellStyle name="Normal 3 7 5 4 2" xfId="18857" xr:uid="{91D0B57E-0497-49F1-96FE-EDCECF294EA2}"/>
    <cellStyle name="Normal 3 7 5 5" xfId="9852" xr:uid="{060426C6-24E0-4E9E-9CC1-9A626A80D308}"/>
    <cellStyle name="Normal 3 7 5 6" xfId="10774" xr:uid="{FBC412C1-B324-40F4-A60E-6E8651D2EFE7}"/>
    <cellStyle name="Normal 3 7 5 7" xfId="11995" xr:uid="{3DB133C7-4547-405D-B37B-7EB1090AD630}"/>
    <cellStyle name="Normal 3 7 5 7 2" xfId="15306" xr:uid="{99AED958-8E3D-413F-B99B-6FEB4A82A6FD}"/>
    <cellStyle name="Normal 3 7 5 7 3" xfId="20644" xr:uid="{7137108A-7DBC-413B-99AD-A3384FA4DFEF}"/>
    <cellStyle name="Normal 3 7 6" xfId="7964" xr:uid="{AA8DA5D1-EDDC-4077-9684-FBC77C09003B}"/>
    <cellStyle name="Normal 3 7 6 2" xfId="9253" xr:uid="{88F4A6B9-4DA1-4510-8C6B-C348A16ACF82}"/>
    <cellStyle name="Normal 3 7 6 2 2" xfId="19305" xr:uid="{9CB05B30-EC02-4261-B75A-015E93D7BCAD}"/>
    <cellStyle name="Normal 3 7 6 3" xfId="11374" xr:uid="{D939D44A-2BB3-4C8F-9319-3F7BE5EDA4B1}"/>
    <cellStyle name="Normal 3 7 6 3 2" xfId="16756" xr:uid="{841BABBF-CCD0-4B00-B99A-6B265AE5347E}"/>
    <cellStyle name="Normal 3 7 6 3 3" xfId="20555" xr:uid="{5A3751E2-2673-41A7-8F47-D434B7F168B2}"/>
    <cellStyle name="Normal 3 7 6 4" xfId="14910" xr:uid="{B10C9991-AF08-4FF6-B11C-EA30D82C6C30}"/>
    <cellStyle name="Normal 3 7 7" xfId="7965" xr:uid="{90291161-318E-4BE2-8FC4-075FDD184DB3}"/>
    <cellStyle name="Normal 3 7 7 2" xfId="11058" xr:uid="{B958DEFD-ACBB-4145-ACDE-FC75EE509B70}"/>
    <cellStyle name="Normal 3 7 7 2 2" xfId="17215" xr:uid="{8A6F0BA3-7A20-43CF-A7FB-FD28B9388FFD}"/>
    <cellStyle name="Normal 3 7 7 2 3" xfId="20507" xr:uid="{F98633D0-984E-4263-870B-9A4BA14A79EC}"/>
    <cellStyle name="Normal 3 7 7 3" xfId="15507" xr:uid="{3C655E55-1568-4E7B-A3D2-AC9542E41A98}"/>
    <cellStyle name="Normal 3 7 8" xfId="7966" xr:uid="{400C15BF-51CC-4D85-8ED0-FED00FBA2B4F}"/>
    <cellStyle name="Normal 3 7 8 2" xfId="11299" xr:uid="{BDC1E292-F17B-4265-8DA7-F4A79FE3FC64}"/>
    <cellStyle name="Normal 3 7 8 2 2" xfId="17825" xr:uid="{36E7F022-700B-4BF0-8912-0E5D661235CF}"/>
    <cellStyle name="Normal 3 7 8 2 3" xfId="20534" xr:uid="{9594F5FE-7B76-4FC9-8BE8-583AB2C54E10}"/>
    <cellStyle name="Normal 3 7 8 3" xfId="14452" xr:uid="{826A5C0B-F8FF-4F0D-9CB8-2CA74DA271F9}"/>
    <cellStyle name="Normal 3 7 9" xfId="8377" xr:uid="{AA5D070F-FAD0-4529-86D1-387267F41335}"/>
    <cellStyle name="Normal 3 7 9 2" xfId="11248" xr:uid="{2D8793E3-E692-46E1-84C9-81A51ED79D8F}"/>
    <cellStyle name="Normal 3 7 9 2 2" xfId="18429" xr:uid="{5B41F4FB-0CEC-49B9-B201-0A7EA1440E62}"/>
    <cellStyle name="Normal 3 7 9 2 3" xfId="20526" xr:uid="{AA695047-A0F9-4EBD-BB65-1E361CADAB58}"/>
    <cellStyle name="Normal 3 70" xfId="11414" xr:uid="{AA859ACD-7FC3-4248-BF3C-AE661E8ECC92}"/>
    <cellStyle name="Normal 3 71" xfId="11805" xr:uid="{381679CF-7B03-4B3C-ADA5-219795DEEF39}"/>
    <cellStyle name="Normal 3 72" xfId="11734" xr:uid="{9AF33AD0-8BF8-4C29-984A-39871BE2909B}"/>
    <cellStyle name="Normal 3 73" xfId="11886" xr:uid="{924FFFD7-B838-404F-850A-CCC397B46A77}"/>
    <cellStyle name="Normal 3 74" xfId="12321" xr:uid="{0B3D7F72-7710-42CB-ACC1-B8E6E340F3A7}"/>
    <cellStyle name="Normal 3 8" xfId="2891" xr:uid="{2878D8AA-7C27-49BE-A25A-3A37B6E3C3E9}"/>
    <cellStyle name="Normal 3 8 10" xfId="9708" xr:uid="{EC52A1BE-27CF-432B-A61E-7277D1DEE4D5}"/>
    <cellStyle name="Normal 3 8 11" xfId="10362" xr:uid="{E55EE401-B1D8-4894-929A-642F599ECDE9}"/>
    <cellStyle name="Normal 3 8 12" xfId="12540" xr:uid="{D2774EC4-4238-442C-B5D7-DEEC560556B1}"/>
    <cellStyle name="Normal 3 8 12 2" xfId="15430" xr:uid="{1A590568-46A7-4978-AABC-6BF1313676BE}"/>
    <cellStyle name="Normal 3 8 12 3" xfId="20704" xr:uid="{350B0D00-A7AB-4BAD-9CBB-B4D446553284}"/>
    <cellStyle name="Normal 3 8 2" xfId="2892" xr:uid="{DC31F208-5F31-422B-8592-0323C6EE803A}"/>
    <cellStyle name="Normal 3 8 2 10" xfId="10363" xr:uid="{219F21BD-10DA-4A4F-8098-E02095A23FC7}"/>
    <cellStyle name="Normal 3 8 2 11" xfId="16082" xr:uid="{0BF1DBFB-E189-43E0-8AA3-FA5597504327}"/>
    <cellStyle name="Normal 3 8 2 2" xfId="4640" xr:uid="{B1A83BC6-9C24-42C6-8F3A-7713590B2C20}"/>
    <cellStyle name="Normal 3 8 2 2 2" xfId="7967" xr:uid="{3806B8E2-06E1-4F6B-9638-F31790D7948D}"/>
    <cellStyle name="Normal 3 8 2 2 2 2" xfId="9072" xr:uid="{6B24F3D2-B7AB-4513-9BBA-C7D447F6D876}"/>
    <cellStyle name="Normal 3 8 2 2 2 2 2" xfId="19124" xr:uid="{028F0E06-2CB8-4DFD-8854-E81722BA4814}"/>
    <cellStyle name="Normal 3 8 2 2 2 3" xfId="16577" xr:uid="{1F4CBEE8-356A-4F22-AA93-84A782490D20}"/>
    <cellStyle name="Normal 3 8 2 2 2 4" xfId="15064" xr:uid="{00CA175D-9CEF-4016-9E3B-37D1899E604D}"/>
    <cellStyle name="Normal 3 8 2 2 3" xfId="7968" xr:uid="{6C2929A1-E42D-4067-8F26-CB74A4EC0E3C}"/>
    <cellStyle name="Normal 3 8 2 2 3 2" xfId="9520" xr:uid="{B38E0254-CE42-4CAB-99CE-EC12EF899D3E}"/>
    <cellStyle name="Normal 3 8 2 2 3 2 2" xfId="19572" xr:uid="{69BD5B00-53E4-4B5D-91AF-266BD713A399}"/>
    <cellStyle name="Normal 3 8 2 2 3 3" xfId="17023" xr:uid="{668AFFDE-D4E0-4574-9240-F092C662BBF8}"/>
    <cellStyle name="Normal 3 8 2 2 3 4" xfId="15652" xr:uid="{46DFEEBB-AAEC-4D85-8399-C11565707B07}"/>
    <cellStyle name="Normal 3 8 2 2 4" xfId="7969" xr:uid="{C2595B85-07E7-4461-B8C5-F6128B5C58F8}"/>
    <cellStyle name="Normal 3 8 2 2 4 2" xfId="17624" xr:uid="{16ACB383-54FC-4EDD-830C-15880040C2CC}"/>
    <cellStyle name="Normal 3 8 2 2 4 3" xfId="14583" xr:uid="{FAD0B89A-4816-4FA8-BB03-AA9A98E198BB}"/>
    <cellStyle name="Normal 3 8 2 2 5" xfId="7970" xr:uid="{9B1E17DC-E567-4B56-8A26-3E0B2AD490B7}"/>
    <cellStyle name="Normal 3 8 2 2 5 2" xfId="18235" xr:uid="{67B5AD47-9F05-43B2-BC06-9D169667A9F6}"/>
    <cellStyle name="Normal 3 8 2 2 5 3" xfId="14236" xr:uid="{14521B11-4D41-4F7A-9286-4270DC8B1D94}"/>
    <cellStyle name="Normal 3 8 2 2 6" xfId="8644" xr:uid="{4CDB464E-D2E9-4344-A62B-C703FF0BAFC6}"/>
    <cellStyle name="Normal 3 8 2 2 6 2" xfId="18696" xr:uid="{ACA680E7-3FF0-43D3-AFA0-2759094F2541}"/>
    <cellStyle name="Normal 3 8 2 2 7" xfId="10110" xr:uid="{926CA580-AB2D-4D0C-8CBE-1C132022FE1E}"/>
    <cellStyle name="Normal 3 8 2 2 8" xfId="10775" xr:uid="{89B3BA55-3765-442A-A6FB-3806F31085AD}"/>
    <cellStyle name="Normal 3 8 2 2 9" xfId="15860" xr:uid="{6FD31AC3-AA66-45F7-987E-4EC29D54A320}"/>
    <cellStyle name="Normal 3 8 2 3" xfId="4641" xr:uid="{8CDA5A2C-E3C5-457A-9CC1-20CEB0B88932}"/>
    <cellStyle name="Normal 3 8 2 3 2" xfId="7971" xr:uid="{93E2FFD9-EFDC-41E8-89B8-63FD9A24FFD3}"/>
    <cellStyle name="Normal 3 8 2 3 2 2" xfId="9073" xr:uid="{09303484-4730-445A-BB5A-967D5D441762}"/>
    <cellStyle name="Normal 3 8 2 3 2 2 2" xfId="19125" xr:uid="{4D62405F-ED93-4570-B84E-7E9408AF053F}"/>
    <cellStyle name="Normal 3 8 2 3 2 3" xfId="16578" xr:uid="{04487FF3-00A3-4070-BA40-89108E8CC354}"/>
    <cellStyle name="Normal 3 8 2 3 2 4" xfId="14145" xr:uid="{681CB99F-6DD2-4C83-B930-C88886D4584D}"/>
    <cellStyle name="Normal 3 8 2 3 3" xfId="7972" xr:uid="{19AA58B9-9752-4EAA-8BD0-345DFE53492F}"/>
    <cellStyle name="Normal 3 8 2 3 3 2" xfId="9521" xr:uid="{58FE83D3-3254-43C0-AE14-B8573293FFD5}"/>
    <cellStyle name="Normal 3 8 2 3 3 2 2" xfId="19573" xr:uid="{109E2DD2-E27B-45DB-96C8-41D62EEC1AA2}"/>
    <cellStyle name="Normal 3 8 2 3 3 3" xfId="17024" xr:uid="{CDA812B7-5954-420E-AF7A-D54177C37FCE}"/>
    <cellStyle name="Normal 3 8 2 3 3 4" xfId="15651" xr:uid="{F0B3BA8A-8537-48FE-99F3-81DECE19DBBB}"/>
    <cellStyle name="Normal 3 8 2 3 4" xfId="7973" xr:uid="{D86EE839-4AA4-4D8E-8AD7-508C64BC6B26}"/>
    <cellStyle name="Normal 3 8 2 3 4 2" xfId="17625" xr:uid="{244232D8-012C-4632-BAFA-056563887C3A}"/>
    <cellStyle name="Normal 3 8 2 3 4 3" xfId="14582" xr:uid="{BFE0F3C7-D165-4972-B5F3-F628955A64E8}"/>
    <cellStyle name="Normal 3 8 2 3 5" xfId="7974" xr:uid="{60D04C65-6D9F-4967-A38C-57E588727797}"/>
    <cellStyle name="Normal 3 8 2 3 5 2" xfId="18236" xr:uid="{491F3DBD-911B-45FF-9C6F-CB314C4DCCE3}"/>
    <cellStyle name="Normal 3 8 2 3 5 3" xfId="14054" xr:uid="{613599CC-93A6-4EFD-919C-ED9225A935AF}"/>
    <cellStyle name="Normal 3 8 2 3 6" xfId="8645" xr:uid="{08915ADC-541F-42FF-BE39-9E47CB0EECD0}"/>
    <cellStyle name="Normal 3 8 2 3 6 2" xfId="18697" xr:uid="{73CCC9E0-B3D4-4C0D-92F9-2CADA3DD41C0}"/>
    <cellStyle name="Normal 3 8 2 3 7" xfId="10111" xr:uid="{A83AFF94-14E0-4F9A-A79D-58990273F73D}"/>
    <cellStyle name="Normal 3 8 2 3 8" xfId="10776" xr:uid="{DE542026-ACF2-4AC6-9243-E28800CCE2EC}"/>
    <cellStyle name="Normal 3 8 2 3 9" xfId="14035" xr:uid="{C5F1FFE2-646E-48EF-936F-92F38046464C}"/>
    <cellStyle name="Normal 3 8 2 4" xfId="7975" xr:uid="{4F9F9E74-A3FE-4D5A-A6B5-93CA1871BE4F}"/>
    <cellStyle name="Normal 3 8 2 4 2" xfId="7976" xr:uid="{9F5F1AE2-51E3-4DC9-AEF3-3D26BF7DDAC1}"/>
    <cellStyle name="Normal 3 8 2 4 2 2" xfId="17365" xr:uid="{8AAFA26E-5DF2-4360-8E1D-787FAC8CA9B3}"/>
    <cellStyle name="Normal 3 8 2 4 3" xfId="7977" xr:uid="{66FC2E07-0500-419C-B79C-C4FE71948E93}"/>
    <cellStyle name="Normal 3 8 2 4 3 2" xfId="17979" xr:uid="{9FC61839-AECC-4426-A662-8F13BF0880E3}"/>
    <cellStyle name="Normal 3 8 2 4 4" xfId="8808" xr:uid="{07C0BF64-66CC-43C2-8DFC-0348CA79144E}"/>
    <cellStyle name="Normal 3 8 2 4 4 2" xfId="18860" xr:uid="{96856F92-3240-417A-93C2-DBEB3E378C5F}"/>
    <cellStyle name="Normal 3 8 2 4 5" xfId="9855" xr:uid="{D0FB2D78-8439-414F-9F76-B45CB26D8012}"/>
    <cellStyle name="Normal 3 8 2 4 6" xfId="10777" xr:uid="{0A40D8BC-6EFD-4F84-B62D-32737530D58F}"/>
    <cellStyle name="Normal 3 8 2 4 7" xfId="15303" xr:uid="{0DE12CE1-CF2F-4D79-8144-F162ED9FF495}"/>
    <cellStyle name="Normal 3 8 2 5" xfId="7978" xr:uid="{4A97803A-4C6F-4C74-8683-C76CDF8F1DD4}"/>
    <cellStyle name="Normal 3 8 2 5 2" xfId="9256" xr:uid="{ECD29C20-E79F-48DB-A82A-CF18D934517A}"/>
    <cellStyle name="Normal 3 8 2 5 2 2" xfId="19308" xr:uid="{AC7D4C74-8F46-4374-8CA8-B51A8A962A6C}"/>
    <cellStyle name="Normal 3 8 2 5 3" xfId="16759" xr:uid="{A1B4943F-9F84-4BC6-8050-7E3EFB32D778}"/>
    <cellStyle name="Normal 3 8 2 5 4" xfId="14132" xr:uid="{35A0422B-6BCA-4472-96E3-927482D058C2}"/>
    <cellStyle name="Normal 3 8 2 6" xfId="7979" xr:uid="{53AEF9B6-225F-4745-8481-AA77C51C0718}"/>
    <cellStyle name="Normal 3 8 2 6 2" xfId="17218" xr:uid="{AF4ED33A-9BC9-4AF9-8813-9AA0854F6204}"/>
    <cellStyle name="Normal 3 8 2 6 3" xfId="15504" xr:uid="{B709EAD8-8854-49E5-A41D-CFF4403B8D02}"/>
    <cellStyle name="Normal 3 8 2 7" xfId="7980" xr:uid="{4FC73E66-DEBB-4A68-AD82-0F91569C481B}"/>
    <cellStyle name="Normal 3 8 2 7 2" xfId="17828" xr:uid="{9376E992-8E8E-4884-9A2D-1DFA9A2EC0C9}"/>
    <cellStyle name="Normal 3 8 2 7 3" xfId="14091" xr:uid="{CA1506DA-E603-4AEA-BAF2-EB57402AD988}"/>
    <cellStyle name="Normal 3 8 2 8" xfId="8380" xr:uid="{C72495A8-6E02-4B76-A5DE-BC88BA53EE34}"/>
    <cellStyle name="Normal 3 8 2 8 2" xfId="18432" xr:uid="{7434E9AD-EA5A-45B6-ABB4-5A1205C96FA3}"/>
    <cellStyle name="Normal 3 8 2 9" xfId="9709" xr:uid="{DB188BA4-6470-4224-A47E-1CAF4C0D731F}"/>
    <cellStyle name="Normal 3 8 3" xfId="4642" xr:uid="{065A01C8-7104-4549-AC9F-781D60895A99}"/>
    <cellStyle name="Normal 3 8 3 2" xfId="7981" xr:uid="{4026D63B-6865-46DF-8B31-1B40EBE04DB3}"/>
    <cellStyle name="Normal 3 8 3 2 2" xfId="9074" xr:uid="{FCBE28EB-B5A3-4488-9BDA-E18137F7AB64}"/>
    <cellStyle name="Normal 3 8 3 2 2 2" xfId="19126" xr:uid="{28D05560-C7B3-4E74-A999-64B755415B18}"/>
    <cellStyle name="Normal 3 8 3 2 3" xfId="16579" xr:uid="{AF31562D-C2DF-4C61-9B56-E57DAF63AA83}"/>
    <cellStyle name="Normal 3 8 3 2 4" xfId="14193" xr:uid="{6CB98430-1539-4111-97FF-CCD1DBDE9204}"/>
    <cellStyle name="Normal 3 8 3 3" xfId="7982" xr:uid="{2011B992-18B5-4783-ABFD-D1807C15A7B1}"/>
    <cellStyle name="Normal 3 8 3 3 2" xfId="9522" xr:uid="{82B0C97D-2FFC-4FF3-BA8F-48BAB6BAE708}"/>
    <cellStyle name="Normal 3 8 3 3 2 2" xfId="19574" xr:uid="{6205AE85-9FB7-4616-8B18-BF3B8D35E7AE}"/>
    <cellStyle name="Normal 3 8 3 3 3" xfId="17025" xr:uid="{AFB0FD2D-0C1C-427F-AB22-11C4B6E0BFA3}"/>
    <cellStyle name="Normal 3 8 3 3 4" xfId="15650" xr:uid="{19ED2FCF-FEFD-4057-A50A-58B7E0155EF0}"/>
    <cellStyle name="Normal 3 8 3 4" xfId="7983" xr:uid="{570BBE8F-39A9-4EBD-BCCC-5CF3CD8223B0}"/>
    <cellStyle name="Normal 3 8 3 4 2" xfId="17626" xr:uid="{530752DE-1998-47AC-9B9C-161910DC49D9}"/>
    <cellStyle name="Normal 3 8 3 4 3" xfId="14581" xr:uid="{B55EBCB0-3B36-4985-8D3F-BCAC3153BE85}"/>
    <cellStyle name="Normal 3 8 3 5" xfId="7984" xr:uid="{6DE9EE05-16B0-41B0-85A6-3581D64A234E}"/>
    <cellStyle name="Normal 3 8 3 5 2" xfId="18237" xr:uid="{B3BD1AF9-D032-467E-B7A6-8C5DDD539491}"/>
    <cellStyle name="Normal 3 8 3 5 3" xfId="14053" xr:uid="{6FC4983C-3300-413A-AD85-1E6A37ACBC8F}"/>
    <cellStyle name="Normal 3 8 3 6" xfId="8646" xr:uid="{98ABCE10-884E-4816-8330-1218ADFFB21A}"/>
    <cellStyle name="Normal 3 8 3 6 2" xfId="18698" xr:uid="{568127E0-D730-44CE-BFB9-4CE0ED14D890}"/>
    <cellStyle name="Normal 3 8 3 7" xfId="10112" xr:uid="{8F0B797A-27DA-489D-807E-3380FF9C1417}"/>
    <cellStyle name="Normal 3 8 3 8" xfId="10778" xr:uid="{EACD482F-7FBA-40B1-AE55-3DB26D797D3B}"/>
    <cellStyle name="Normal 3 8 3 9" xfId="15859" xr:uid="{5ED410BD-B405-4199-BB79-F834A89940CF}"/>
    <cellStyle name="Normal 3 8 4" xfId="4643" xr:uid="{F24D7F27-273A-43C5-A1F9-A52C51DDE1A9}"/>
    <cellStyle name="Normal 3 8 4 2" xfId="7985" xr:uid="{52F144A1-099A-4E2D-A256-F9B4AFF11CB4}"/>
    <cellStyle name="Normal 3 8 4 2 2" xfId="9075" xr:uid="{F896A83B-7FF0-4EC7-BFC8-D34C781FEBFE}"/>
    <cellStyle name="Normal 3 8 4 2 2 2" xfId="19127" xr:uid="{692CF7A1-629C-4F86-BA75-77247B8A5C48}"/>
    <cellStyle name="Normal 3 8 4 2 3" xfId="16580" xr:uid="{B1C1F0A1-ED25-4C3D-82D9-920AFBB026CF}"/>
    <cellStyle name="Normal 3 8 4 2 4" xfId="15063" xr:uid="{B937E821-0687-4BB3-AE52-A2A6472E9BA0}"/>
    <cellStyle name="Normal 3 8 4 3" xfId="7986" xr:uid="{24664750-6EE3-4970-A134-9DF669E4865A}"/>
    <cellStyle name="Normal 3 8 4 3 2" xfId="9523" xr:uid="{DA208B08-4DEE-4BC9-BD16-67D1E95685F8}"/>
    <cellStyle name="Normal 3 8 4 3 2 2" xfId="19575" xr:uid="{9B87F0BC-BEC6-4042-86B7-1CF7E118A9B7}"/>
    <cellStyle name="Normal 3 8 4 3 3" xfId="17026" xr:uid="{2C3D533B-F5F1-42C9-98F1-4904DC563A47}"/>
    <cellStyle name="Normal 3 8 4 3 4" xfId="14822" xr:uid="{AAD7AB8D-2134-4D10-8CE4-0F84DFE35F35}"/>
    <cellStyle name="Normal 3 8 4 4" xfId="7987" xr:uid="{634D985D-0840-4123-A00B-52B55EB98E1C}"/>
    <cellStyle name="Normal 3 8 4 4 2" xfId="17627" xr:uid="{9B2C5860-0D62-442F-AE4F-C7E1764A731E}"/>
    <cellStyle name="Normal 3 8 4 4 3" xfId="14580" xr:uid="{16F685A8-4397-4E8D-949C-946446AEC3A9}"/>
    <cellStyle name="Normal 3 8 4 5" xfId="7988" xr:uid="{B043DC5E-A122-401E-ADDD-43683ADF6E26}"/>
    <cellStyle name="Normal 3 8 4 5 2" xfId="18238" xr:uid="{2C59DC0A-83C6-41EC-857C-C7D71337A13C}"/>
    <cellStyle name="Normal 3 8 4 5 3" xfId="14052" xr:uid="{FEF0A3D8-425A-40DD-93C1-E564771F3FCB}"/>
    <cellStyle name="Normal 3 8 4 6" xfId="8647" xr:uid="{82A13414-5A3C-4556-B76A-5BC1AC36EC1A}"/>
    <cellStyle name="Normal 3 8 4 6 2" xfId="18699" xr:uid="{020CB907-931F-4703-82DD-74F25C6D7F77}"/>
    <cellStyle name="Normal 3 8 4 7" xfId="10113" xr:uid="{0FAAED31-4D46-46DA-AB22-16CDD04AEB42}"/>
    <cellStyle name="Normal 3 8 4 8" xfId="10779" xr:uid="{776DEC27-2A66-4D2B-B9F5-2AD5FE1CC520}"/>
    <cellStyle name="Normal 3 8 4 9" xfId="15858" xr:uid="{808A4DE7-5641-4C33-AC66-37DAE3D3216D}"/>
    <cellStyle name="Normal 3 8 5" xfId="7989" xr:uid="{63F07198-A01E-4B96-A2AC-029F866C73BC}"/>
    <cellStyle name="Normal 3 8 5 2" xfId="7990" xr:uid="{9388FF12-5F00-43E6-9989-61902FBB4599}"/>
    <cellStyle name="Normal 3 8 5 2 2" xfId="17364" xr:uid="{1B043A06-22D6-4B30-BD31-F0DDB2AEE7AE}"/>
    <cellStyle name="Normal 3 8 5 3" xfId="7991" xr:uid="{4F8030C5-78BF-4C3F-9D98-89022B1BFB95}"/>
    <cellStyle name="Normal 3 8 5 3 2" xfId="17978" xr:uid="{057ABEC0-2F65-4708-8B26-09D46C1F6965}"/>
    <cellStyle name="Normal 3 8 5 4" xfId="8807" xr:uid="{BC124697-2958-49DF-BEC9-12B18AF4F949}"/>
    <cellStyle name="Normal 3 8 5 4 2" xfId="18859" xr:uid="{7BC81C2A-DFC2-4DE8-823B-EB9DB4CF331E}"/>
    <cellStyle name="Normal 3 8 5 5" xfId="9854" xr:uid="{3406928C-EEF4-4BE5-8867-24806EFBD421}"/>
    <cellStyle name="Normal 3 8 5 6" xfId="10780" xr:uid="{CFBE63F8-3CAE-49C4-819B-0976A4F10090}"/>
    <cellStyle name="Normal 3 8 5 7" xfId="15304" xr:uid="{818B5208-D061-4D48-91CB-9D1F92EBC322}"/>
    <cellStyle name="Normal 3 8 6" xfId="7992" xr:uid="{161BE6A5-60FC-4889-A0A9-31254FC5C3D4}"/>
    <cellStyle name="Normal 3 8 6 2" xfId="9255" xr:uid="{5E20C534-00A4-4554-B914-194C18BBAEE5}"/>
    <cellStyle name="Normal 3 8 6 2 2" xfId="19307" xr:uid="{A15D149F-784C-4603-93B5-ECAFF0FDE15B}"/>
    <cellStyle name="Normal 3 8 6 3" xfId="16758" xr:uid="{3E78006A-46CC-4221-9A26-F99274F88B4C}"/>
    <cellStyle name="Normal 3 8 6 4" xfId="14908" xr:uid="{3E27E6AD-687E-4873-B698-7A853BFA132D}"/>
    <cellStyle name="Normal 3 8 7" xfId="7993" xr:uid="{27605BB0-6AFA-4685-8D4F-ED6F4791DA29}"/>
    <cellStyle name="Normal 3 8 7 2" xfId="17217" xr:uid="{42ACAA52-BF08-4199-B4E8-34EDD80B3C8D}"/>
    <cellStyle name="Normal 3 8 7 3" xfId="15505" xr:uid="{B64D4BC1-4AEF-42BA-BEAD-1B01EF7E30F3}"/>
    <cellStyle name="Normal 3 8 8" xfId="7994" xr:uid="{ED6342CF-0ACE-4C61-8CEA-6C8A64CA2FAA}"/>
    <cellStyle name="Normal 3 8 8 2" xfId="17827" xr:uid="{AE8CE190-FC0B-4255-94CC-B7196BCDA9E7}"/>
    <cellStyle name="Normal 3 8 8 3" xfId="14450" xr:uid="{9CA4663D-156D-40A2-9CCF-82F92B9B9C05}"/>
    <cellStyle name="Normal 3 8 9" xfId="8379" xr:uid="{62574105-F5D1-450C-B197-93024AA37B65}"/>
    <cellStyle name="Normal 3 8 9 2" xfId="18431" xr:uid="{313D5E22-E1F5-459C-A6E3-69B15EF83665}"/>
    <cellStyle name="Normal 3 9" xfId="2893" xr:uid="{DD38C62F-28DB-47ED-8865-501B017B8422}"/>
    <cellStyle name="Normal 3 9 10" xfId="9710" xr:uid="{5D6B042B-5647-44E4-B40A-3E299B99CCF5}"/>
    <cellStyle name="Normal 3 9 11" xfId="10364" xr:uid="{0A0A0A99-61C2-4E02-B3B3-B905318B8AF5}"/>
    <cellStyle name="Normal 3 9 12" xfId="11090" xr:uid="{5539486E-BCB1-4C68-BBC5-28117BE7585B}"/>
    <cellStyle name="Normal 3 9 12 2" xfId="16081" xr:uid="{CC370D2F-F2FE-4F2D-9CA1-C36705575659}"/>
    <cellStyle name="Normal 3 9 12 3" xfId="20512" xr:uid="{D055294D-4EC5-4B8A-8070-EB864F6C0801}"/>
    <cellStyle name="Normal 3 9 2" xfId="2894" xr:uid="{D34C7186-0AD0-43DB-BFC2-790EF3A7D541}"/>
    <cellStyle name="Normal 3 9 2 10" xfId="10365" xr:uid="{8C418767-E06F-4E66-9BD8-036446D1B326}"/>
    <cellStyle name="Normal 3 9 2 11" xfId="16080" xr:uid="{EF596A1B-54B3-4EF7-8A7F-D75512D89A2C}"/>
    <cellStyle name="Normal 3 9 2 2" xfId="4644" xr:uid="{C8C56686-7A4E-4BF5-977F-32834BCA543C}"/>
    <cellStyle name="Normal 3 9 2 2 2" xfId="7995" xr:uid="{EFA0553A-30A5-4513-9F1A-5C0F390F0464}"/>
    <cellStyle name="Normal 3 9 2 2 2 2" xfId="9076" xr:uid="{FA1C58C2-F673-4AD5-BCA5-3C7B98794685}"/>
    <cellStyle name="Normal 3 9 2 2 2 2 2" xfId="19128" xr:uid="{E5F3BA66-EF4B-4B52-A499-9996594491D4}"/>
    <cellStyle name="Normal 3 9 2 2 2 3" xfId="16581" xr:uid="{3763A78F-40D3-482F-8B3B-1356B66B5964}"/>
    <cellStyle name="Normal 3 9 2 2 2 4" xfId="15062" xr:uid="{B01A76D8-3825-4B50-9BA4-84696A285677}"/>
    <cellStyle name="Normal 3 9 2 2 3" xfId="7996" xr:uid="{4FCD76BA-DA12-455D-A47F-040289144D7F}"/>
    <cellStyle name="Normal 3 9 2 2 3 2" xfId="9524" xr:uid="{E7531D28-8DB3-4B7F-A4DF-2051F0212130}"/>
    <cellStyle name="Normal 3 9 2 2 3 2 2" xfId="19576" xr:uid="{665CC607-DB62-4C6A-83F0-1BAFE3B76D09}"/>
    <cellStyle name="Normal 3 9 2 2 3 3" xfId="17027" xr:uid="{06879A7E-B776-41DD-B74E-24898C43455C}"/>
    <cellStyle name="Normal 3 9 2 2 3 4" xfId="15649" xr:uid="{62A50E05-1851-41C9-A829-5911C521B8B6}"/>
    <cellStyle name="Normal 3 9 2 2 4" xfId="7997" xr:uid="{7F924720-3101-4CD7-94E0-225CC12A3DC2}"/>
    <cellStyle name="Normal 3 9 2 2 4 2" xfId="17628" xr:uid="{59FDFEF5-5D7B-478E-A853-C34B3D42CD84}"/>
    <cellStyle name="Normal 3 9 2 2 4 3" xfId="14579" xr:uid="{24D8E951-AE3E-4BC9-B7A8-177B5E293AFD}"/>
    <cellStyle name="Normal 3 9 2 2 5" xfId="7998" xr:uid="{102B218A-6BBF-4F91-8490-B32F1AA36A5C}"/>
    <cellStyle name="Normal 3 9 2 2 5 2" xfId="18239" xr:uid="{54BE78FB-4ADB-4BF4-9810-27E5273B56CA}"/>
    <cellStyle name="Normal 3 9 2 2 5 3" xfId="14177" xr:uid="{A7F1879D-5503-4730-AED9-476F7A52B4F2}"/>
    <cellStyle name="Normal 3 9 2 2 6" xfId="8648" xr:uid="{49419E92-FB0D-4315-8267-DAE449B30D85}"/>
    <cellStyle name="Normal 3 9 2 2 6 2" xfId="18700" xr:uid="{DF003DB5-39F3-45A9-901F-686A9E5DB49A}"/>
    <cellStyle name="Normal 3 9 2 2 7" xfId="10114" xr:uid="{CCBAB96B-A915-4C3D-80DB-EBD926F09E70}"/>
    <cellStyle name="Normal 3 9 2 2 8" xfId="10781" xr:uid="{ED796608-07DF-4813-A7A3-2ACCB8C51EE1}"/>
    <cellStyle name="Normal 3 9 2 2 9" xfId="15857" xr:uid="{2742F57B-7C36-4197-B234-3FDBBD642C13}"/>
    <cellStyle name="Normal 3 9 2 3" xfId="4645" xr:uid="{1739CE70-0CFB-43B4-A2FD-112AD2DDED1E}"/>
    <cellStyle name="Normal 3 9 2 3 2" xfId="7999" xr:uid="{FE72A799-A10F-4456-9784-F20709ED2409}"/>
    <cellStyle name="Normal 3 9 2 3 2 2" xfId="9077" xr:uid="{B837526E-97BE-4CDA-870D-9475A3D4CAA7}"/>
    <cellStyle name="Normal 3 9 2 3 2 2 2" xfId="19129" xr:uid="{B8D27DFE-63C3-4804-BC68-BD0A034D3B05}"/>
    <cellStyle name="Normal 3 9 2 3 2 3" xfId="16582" xr:uid="{A8BD4A4A-9898-4EAA-B201-4DFAD36E288B}"/>
    <cellStyle name="Normal 3 9 2 3 2 4" xfId="15061" xr:uid="{0D32B276-CC94-4AD6-99E1-60607BFFD02E}"/>
    <cellStyle name="Normal 3 9 2 3 3" xfId="8000" xr:uid="{D82C14E8-3152-4C66-901D-795953099877}"/>
    <cellStyle name="Normal 3 9 2 3 3 2" xfId="9525" xr:uid="{D40FB14C-BA6D-4346-B2A5-30C51D5B5128}"/>
    <cellStyle name="Normal 3 9 2 3 3 2 2" xfId="19577" xr:uid="{36C61911-2561-4F8C-9FD0-7BE18528B606}"/>
    <cellStyle name="Normal 3 9 2 3 3 3" xfId="17028" xr:uid="{711D0919-B487-4765-B526-DAD37E0D0A71}"/>
    <cellStyle name="Normal 3 9 2 3 3 4" xfId="15648" xr:uid="{6E64C846-CFC5-4F11-BF16-C8127904C07C}"/>
    <cellStyle name="Normal 3 9 2 3 4" xfId="8001" xr:uid="{0FA666D8-709F-4B35-93BB-9B9C2E634723}"/>
    <cellStyle name="Normal 3 9 2 3 4 2" xfId="17629" xr:uid="{FEDF161E-F1DC-421C-AA5B-D21C1870DD6E}"/>
    <cellStyle name="Normal 3 9 2 3 4 3" xfId="14578" xr:uid="{20BB633F-93E7-4861-B74F-376BCD1249DC}"/>
    <cellStyle name="Normal 3 9 2 3 5" xfId="8002" xr:uid="{62F29716-7A1F-47F3-B7F1-783B2650A8C2}"/>
    <cellStyle name="Normal 3 9 2 3 5 2" xfId="18240" xr:uid="{63ADC2B2-438F-4686-856F-1363C719D342}"/>
    <cellStyle name="Normal 3 9 2 3 5 3" xfId="14235" xr:uid="{F1569B60-86D2-4568-8CE3-4BB1D365B0D2}"/>
    <cellStyle name="Normal 3 9 2 3 6" xfId="8649" xr:uid="{A367B029-C2F5-439D-930D-C49B60ECECDF}"/>
    <cellStyle name="Normal 3 9 2 3 6 2" xfId="18701" xr:uid="{0A336845-82EF-41C1-B7A8-64935BBC443B}"/>
    <cellStyle name="Normal 3 9 2 3 7" xfId="10115" xr:uid="{F02E1156-259C-48E5-A625-24FD7F5D1592}"/>
    <cellStyle name="Normal 3 9 2 3 8" xfId="10782" xr:uid="{544824CC-AB03-4D86-97FF-AB5CE24BBAD6}"/>
    <cellStyle name="Normal 3 9 2 3 9" xfId="15479" xr:uid="{C93AEDC4-4F33-4B2F-AC80-FA9F61CB28F2}"/>
    <cellStyle name="Normal 3 9 2 4" xfId="8003" xr:uid="{EA455424-4EDD-41DC-84F2-33EF4017E77B}"/>
    <cellStyle name="Normal 3 9 2 4 2" xfId="8004" xr:uid="{7A3DA803-FC6B-4D9E-A5D4-4BA4F4391666}"/>
    <cellStyle name="Normal 3 9 2 4 2 2" xfId="17367" xr:uid="{CCDA9C0E-C83A-4496-9188-34DEC8416BC2}"/>
    <cellStyle name="Normal 3 9 2 4 3" xfId="8005" xr:uid="{5028CD2C-4A92-4992-86A4-F3F7A3C9825D}"/>
    <cellStyle name="Normal 3 9 2 4 3 2" xfId="17981" xr:uid="{94407C85-6322-4CEE-80AA-95DAE8E54573}"/>
    <cellStyle name="Normal 3 9 2 4 4" xfId="8810" xr:uid="{11A3DEF8-4B23-4B77-8F7F-F0EC2557A47F}"/>
    <cellStyle name="Normal 3 9 2 4 4 2" xfId="18862" xr:uid="{1291DF29-D185-4722-A544-A414A7DB4FCA}"/>
    <cellStyle name="Normal 3 9 2 4 5" xfId="9857" xr:uid="{8700E9B4-AB50-457C-ADBA-AA17BD0C9167}"/>
    <cellStyle name="Normal 3 9 2 4 6" xfId="10783" xr:uid="{32CC14CD-1C57-4670-B666-CCA28202088F}"/>
    <cellStyle name="Normal 3 9 2 4 7" xfId="14163" xr:uid="{6B6068EA-9D97-4D82-8EAA-1FCDF447FEC8}"/>
    <cellStyle name="Normal 3 9 2 5" xfId="8006" xr:uid="{D164FB46-80AF-420F-AF3F-282EC0404841}"/>
    <cellStyle name="Normal 3 9 2 5 2" xfId="9258" xr:uid="{26C325B4-1517-4D29-A246-350F6BD5C335}"/>
    <cellStyle name="Normal 3 9 2 5 2 2" xfId="19310" xr:uid="{9DB7AF6E-7B17-44FC-B62C-E0AE83498534}"/>
    <cellStyle name="Normal 3 9 2 5 3" xfId="16761" xr:uid="{32C94967-ABE0-4641-96C4-70B7514F0ABB}"/>
    <cellStyle name="Normal 3 9 2 5 4" xfId="14907" xr:uid="{432CAA56-2B9B-4155-A310-E10D0DD80165}"/>
    <cellStyle name="Normal 3 9 2 6" xfId="8007" xr:uid="{0A514FDB-8608-4563-8FDF-E3151FC7B51A}"/>
    <cellStyle name="Normal 3 9 2 6 2" xfId="17220" xr:uid="{3ED0624D-CF29-42EF-B319-D2765C43E0CA}"/>
    <cellStyle name="Normal 3 9 2 6 3" xfId="15502" xr:uid="{E6EDF620-F4CA-4367-BDB6-8C5F4F2D670C}"/>
    <cellStyle name="Normal 3 9 2 7" xfId="8008" xr:uid="{027A35A7-24B3-48A0-98CB-EFE764C016CA}"/>
    <cellStyle name="Normal 3 9 2 7 2" xfId="17830" xr:uid="{1C4CABC6-D9DB-451C-8959-10ECF04B25CA}"/>
    <cellStyle name="Normal 3 9 2 7 3" xfId="14449" xr:uid="{082F325D-561B-4791-B8A2-EA7F3EAABEE1}"/>
    <cellStyle name="Normal 3 9 2 8" xfId="8382" xr:uid="{ACD3B610-493B-4F38-926A-4B28073FD6A4}"/>
    <cellStyle name="Normal 3 9 2 8 2" xfId="18434" xr:uid="{CEA6591A-0DF3-4088-B96D-F579652E67FD}"/>
    <cellStyle name="Normal 3 9 2 9" xfId="9711" xr:uid="{AF3C7A9E-1BEE-40B7-BD74-BEC18A1EB2E0}"/>
    <cellStyle name="Normal 3 9 3" xfId="4646" xr:uid="{347DF002-CD01-4039-B3BA-0DC607D21E40}"/>
    <cellStyle name="Normal 3 9 3 2" xfId="8009" xr:uid="{D889F6CC-A975-471E-9627-925B979EC749}"/>
    <cellStyle name="Normal 3 9 3 2 2" xfId="9078" xr:uid="{A3D7D3D6-E26F-457C-935F-BA48ABAB5596}"/>
    <cellStyle name="Normal 3 9 3 2 2 2" xfId="19130" xr:uid="{5FD1B2B8-11A7-4639-AC2F-6DD06E2FC077}"/>
    <cellStyle name="Normal 3 9 3 2 3" xfId="16583" xr:uid="{F5FA085F-DFC8-4C25-AF7A-9EEBF8BA9EFF}"/>
    <cellStyle name="Normal 3 9 3 2 4" xfId="15060" xr:uid="{3ACAAFB4-2184-45C7-8DD6-DF098B461DD9}"/>
    <cellStyle name="Normal 3 9 3 3" xfId="8010" xr:uid="{61ED5D04-C547-49EE-8250-D10D103A5838}"/>
    <cellStyle name="Normal 3 9 3 3 2" xfId="9526" xr:uid="{A0F9CC14-8490-4CAC-B904-435BFA3CF2BC}"/>
    <cellStyle name="Normal 3 9 3 3 2 2" xfId="19578" xr:uid="{7429AF5F-44F1-49C5-9CE7-DEFC17EC609D}"/>
    <cellStyle name="Normal 3 9 3 3 3" xfId="17029" xr:uid="{26BEC9C6-EBA5-4063-8620-23206E608D0E}"/>
    <cellStyle name="Normal 3 9 3 3 4" xfId="15647" xr:uid="{778F4676-DD2A-43E9-BE60-67AB40ECC24F}"/>
    <cellStyle name="Normal 3 9 3 4" xfId="8011" xr:uid="{60280707-5A46-4A30-AE75-3694D1562CA0}"/>
    <cellStyle name="Normal 3 9 3 4 2" xfId="17630" xr:uid="{AD7881DC-791B-4E1E-8636-86C2375DB631}"/>
    <cellStyle name="Normal 3 9 3 4 3" xfId="14577" xr:uid="{967B3229-59DE-4A58-BA11-817E2F24D44E}"/>
    <cellStyle name="Normal 3 9 3 5" xfId="8012" xr:uid="{09E30077-FCC4-4DD9-B1AB-3C08F154C753}"/>
    <cellStyle name="Normal 3 9 3 5 2" xfId="18241" xr:uid="{3CAD428C-FA34-451F-9FA8-D31A973A29AB}"/>
    <cellStyle name="Normal 3 9 3 5 3" xfId="14234" xr:uid="{DAD85072-DB5E-4CD9-A193-BFC9575966F5}"/>
    <cellStyle name="Normal 3 9 3 6" xfId="8650" xr:uid="{799A96B1-665B-49B0-ACF7-5FAD9CF05F4F}"/>
    <cellStyle name="Normal 3 9 3 6 2" xfId="18702" xr:uid="{D734ED56-3CF9-4CA7-A7E5-AFF8360F789B}"/>
    <cellStyle name="Normal 3 9 3 7" xfId="10116" xr:uid="{A7398055-F358-4D17-9734-79F90D3BB3AE}"/>
    <cellStyle name="Normal 3 9 3 8" xfId="10784" xr:uid="{7502FB9B-EB9D-4BA2-A335-C03C517DADCC}"/>
    <cellStyle name="Normal 3 9 3 9" xfId="15856" xr:uid="{677BC8F9-82CB-49CB-A4A9-3FD55F71AAFA}"/>
    <cellStyle name="Normal 3 9 4" xfId="4647" xr:uid="{39574A1F-DE77-42FE-A0C9-89D79258C9ED}"/>
    <cellStyle name="Normal 3 9 4 2" xfId="8013" xr:uid="{E62DA3F9-C14C-4A9B-A4F7-65ABEEB50E4E}"/>
    <cellStyle name="Normal 3 9 4 2 2" xfId="9079" xr:uid="{14DA3A8A-3193-44EF-BA74-A18B0EAE5603}"/>
    <cellStyle name="Normal 3 9 4 2 2 2" xfId="19131" xr:uid="{0F00647C-681C-4604-9256-31C9444E9018}"/>
    <cellStyle name="Normal 3 9 4 2 3" xfId="16584" xr:uid="{C931FB84-D68B-46BD-82D7-8EBDFBE6619B}"/>
    <cellStyle name="Normal 3 9 4 2 4" xfId="15059" xr:uid="{5AFAEB52-D538-4B5B-BB7A-36AD958D7E40}"/>
    <cellStyle name="Normal 3 9 4 3" xfId="8014" xr:uid="{026E5A7D-F6FA-4F3E-88EC-58C30647EFB3}"/>
    <cellStyle name="Normal 3 9 4 3 2" xfId="9527" xr:uid="{99A57910-9E3B-4BF7-BA04-277652EF4122}"/>
    <cellStyle name="Normal 3 9 4 3 2 2" xfId="19579" xr:uid="{B027AFAA-1C81-49FF-B18A-8C4CD2DA0BCF}"/>
    <cellStyle name="Normal 3 9 4 3 3" xfId="17030" xr:uid="{0B237786-344B-4AEF-A38D-AA548378BDB9}"/>
    <cellStyle name="Normal 3 9 4 3 4" xfId="15646" xr:uid="{AA08F4BC-A25B-4ACA-B2CE-9DCC409B82B3}"/>
    <cellStyle name="Normal 3 9 4 4" xfId="8015" xr:uid="{561B60AB-CB16-4B2A-B551-8D7A30D8E0FD}"/>
    <cellStyle name="Normal 3 9 4 4 2" xfId="17631" xr:uid="{745C8B6D-142C-4DAC-AADA-4916B5EAD179}"/>
    <cellStyle name="Normal 3 9 4 4 3" xfId="14104" xr:uid="{AACB6C08-BB68-48A0-83EE-CC6FD5C7BD95}"/>
    <cellStyle name="Normal 3 9 4 5" xfId="8016" xr:uid="{1E713D4A-3B2F-44FB-B62B-36BE8C139C90}"/>
    <cellStyle name="Normal 3 9 4 5 2" xfId="18242" xr:uid="{62679888-AAA5-476B-B450-A8F43D90B37F}"/>
    <cellStyle name="Normal 3 9 4 5 3" xfId="14233" xr:uid="{541BA64E-17C1-4F49-A27C-ADB8492A8116}"/>
    <cellStyle name="Normal 3 9 4 6" xfId="8651" xr:uid="{72C191D6-1ECD-47F2-AA8B-73E4C0E2EA39}"/>
    <cellStyle name="Normal 3 9 4 6 2" xfId="18703" xr:uid="{C63C75F7-68AB-4E02-975B-C3A8E9400D3D}"/>
    <cellStyle name="Normal 3 9 4 7" xfId="10117" xr:uid="{5E4FB440-2B14-4482-BE9F-8E368DE5C82B}"/>
    <cellStyle name="Normal 3 9 4 8" xfId="10785" xr:uid="{8D94B102-3A94-44D7-A0B7-0E23CE3CD260}"/>
    <cellStyle name="Normal 3 9 4 9" xfId="15855" xr:uid="{95C5AD73-5901-4C56-A0DE-8568FC8078CE}"/>
    <cellStyle name="Normal 3 9 5" xfId="8017" xr:uid="{2B68B08E-016F-40F8-ADA1-5AFC0B20C2F0}"/>
    <cellStyle name="Normal 3 9 5 2" xfId="8018" xr:uid="{DAC81B97-CB21-4BFA-BC13-04D4334101DE}"/>
    <cellStyle name="Normal 3 9 5 2 2" xfId="17366" xr:uid="{631F0335-6554-4FE3-939F-2D3DCC8A427B}"/>
    <cellStyle name="Normal 3 9 5 3" xfId="8019" xr:uid="{8CA3BA00-1C1D-41DF-A224-ED31AD9A7456}"/>
    <cellStyle name="Normal 3 9 5 3 2" xfId="17980" xr:uid="{72A68CD8-A792-4CED-8CCA-6BB2B4B14FC2}"/>
    <cellStyle name="Normal 3 9 5 4" xfId="8809" xr:uid="{B51DA426-31D4-41D8-803F-136A7CBC1400}"/>
    <cellStyle name="Normal 3 9 5 4 2" xfId="18861" xr:uid="{4B1165E1-326C-4792-9C4F-7D2ADA41D756}"/>
    <cellStyle name="Normal 3 9 5 5" xfId="9856" xr:uid="{AD11EB29-EB9C-48C6-899E-A42F1D60B79C}"/>
    <cellStyle name="Normal 3 9 5 6" xfId="10786" xr:uid="{B8B97727-515C-405D-A568-909C30303A98}"/>
    <cellStyle name="Normal 3 9 5 7" xfId="15302" xr:uid="{9D30E444-1702-4BB9-822D-C1C99C2D1369}"/>
    <cellStyle name="Normal 3 9 6" xfId="8020" xr:uid="{4ADACD9E-4986-4AC4-84AE-BD280B29091B}"/>
    <cellStyle name="Normal 3 9 6 2" xfId="9257" xr:uid="{65F1B212-CFC2-4DE5-8A8B-2879B2753EF5}"/>
    <cellStyle name="Normal 3 9 6 2 2" xfId="19309" xr:uid="{0A39912D-80AE-4CD7-AB34-2BEEA7C0B6FC}"/>
    <cellStyle name="Normal 3 9 6 3" xfId="16760" xr:uid="{0FFA1B12-5B65-4051-BCC4-A517D0B0DB7D}"/>
    <cellStyle name="Normal 3 9 6 4" xfId="14191" xr:uid="{347E6BEC-9BF1-4FAD-8680-658B7E8905BB}"/>
    <cellStyle name="Normal 3 9 7" xfId="8021" xr:uid="{E57D0B24-096B-462C-8F6B-DF970A22E644}"/>
    <cellStyle name="Normal 3 9 7 2" xfId="17219" xr:uid="{1BDBE77D-CDFD-4467-B9EA-D0320877CD0A}"/>
    <cellStyle name="Normal 3 9 7 3" xfId="15503" xr:uid="{039EAD54-8AA5-4003-BED0-EA2C4D999DCB}"/>
    <cellStyle name="Normal 3 9 8" xfId="8022" xr:uid="{1E2A04C2-6DD3-49F1-90D5-8D9BB18BA199}"/>
    <cellStyle name="Normal 3 9 8 2" xfId="17829" xr:uid="{EE803B7B-58DA-48EF-8D24-4F49DE649655}"/>
    <cellStyle name="Normal 3 9 8 3" xfId="14090" xr:uid="{E56C9D3E-EB7E-42FC-9EDD-D6E037CEF986}"/>
    <cellStyle name="Normal 3 9 9" xfId="8381" xr:uid="{C6D6E4E8-D1AA-4FFD-A4FD-16E4B9E9952E}"/>
    <cellStyle name="Normal 3 9 9 2" xfId="18433" xr:uid="{ABD11F20-14C6-400C-AB8E-960F886BBBB1}"/>
    <cellStyle name="Normal 3_0.05 PRESUPUESTO MW ESTRUCTURAS METALICAS" xfId="11806" xr:uid="{7586812E-4DC4-4478-98FB-D6A0F0E9806B}"/>
    <cellStyle name="Normal 30" xfId="117" xr:uid="{9AFAE37C-99A8-4512-87DD-F5BF485763BB}"/>
    <cellStyle name="Normal 30 2" xfId="8023" xr:uid="{4ABD6575-E568-4FC6-BE86-6070584CB3FB}"/>
    <cellStyle name="Normal 30 3" xfId="8024" xr:uid="{B903FD1A-6A61-4FEB-930B-BE1B36BE82A8}"/>
    <cellStyle name="Normal 30 3 2" xfId="10212" xr:uid="{0BCDB1BB-EC2A-4DF3-AD9E-6B8135E4EF53}"/>
    <cellStyle name="Normal 30 3 2 2" xfId="19667" xr:uid="{67C76FEA-010F-44AD-B700-273C57F473CE}"/>
    <cellStyle name="Normal 30 3 3" xfId="10387" xr:uid="{0BC87C4D-9583-4F97-805C-E2D030753898}"/>
    <cellStyle name="Normal 30 3 4" xfId="8250" xr:uid="{4371A392-ED6F-4962-84C8-CF4216F4BD3B}"/>
    <cellStyle name="Normal 30 3 5" xfId="13026" xr:uid="{74FFB141-7A8C-46F7-B320-DE347775AC09}"/>
    <cellStyle name="Normal 30 4" xfId="8025" xr:uid="{CC292E89-A992-4B7F-A1EA-1F34F8C034C5}"/>
    <cellStyle name="Normal 30 4 2" xfId="10894" xr:uid="{65AAFF76-39A2-4E37-8E4A-516538BA9D3C}"/>
    <cellStyle name="Normal 30 5" xfId="19629" xr:uid="{A69448E3-EEAE-4469-9AF7-7914166B4487}"/>
    <cellStyle name="Normal 30 5 2" xfId="20465" xr:uid="{A58205AB-B3B5-471D-9480-8B87AE5B9488}"/>
    <cellStyle name="Normal 31" xfId="118" xr:uid="{0D3172EC-69F4-42F6-AB88-3080C1BB455F}"/>
    <cellStyle name="Normal 31 2" xfId="8026" xr:uid="{A4AFEA21-CD56-4EA3-AA9F-67DE4C0013ED}"/>
    <cellStyle name="Normal 31 2 2" xfId="8252" xr:uid="{163A98A9-9646-428D-9E7C-DCD4041D9578}"/>
    <cellStyle name="Normal 31 2 3" xfId="13027" xr:uid="{6877C2DD-AA30-4DB9-8179-1AAF65020228}"/>
    <cellStyle name="Normal 31 3" xfId="8027" xr:uid="{0AE184D0-F4A2-4354-8F1E-EF62FFE4A0B7}"/>
    <cellStyle name="Normal 32" xfId="119" xr:uid="{2732EFEC-D304-4791-BC65-E8480FC0FFC3}"/>
    <cellStyle name="Normal 32 2" xfId="8028" xr:uid="{489C1099-7F67-4E57-8F08-1689BF50A452}"/>
    <cellStyle name="Normal 32 2 2" xfId="8253" xr:uid="{4B461522-5B40-462D-9A08-84EC737B13C0}"/>
    <cellStyle name="Normal 32 2 3" xfId="13028" xr:uid="{704AA912-0D1A-4AD9-8DC6-07F0853DAD6E}"/>
    <cellStyle name="Normal 32 3" xfId="8029" xr:uid="{F23BB7A2-9388-405E-96EF-889C86F753CE}"/>
    <cellStyle name="Normal 33" xfId="121" xr:uid="{C28DF918-A465-4A0D-A5C1-D8372C7B4FBC}"/>
    <cellStyle name="Normal 33 2" xfId="8030" xr:uid="{0DFB018A-FC57-4A97-B85C-6C3E01FADCB9}"/>
    <cellStyle name="Normal 34" xfId="6080" xr:uid="{6E18BBD4-8662-4FA7-9DDD-B571E09A1446}"/>
    <cellStyle name="Normal 34 2" xfId="9110" xr:uid="{015CC765-484C-408A-A198-A67A110CCAF0}"/>
    <cellStyle name="Normal 34 2 2" xfId="19162" xr:uid="{E67F8BC8-EE37-44EA-A560-F9D01D494116}"/>
    <cellStyle name="Normal 34 2 3" xfId="19659" xr:uid="{F5A26E39-EF18-4411-8634-448139275A74}"/>
    <cellStyle name="Normal 34 3" xfId="10162" xr:uid="{1474A71D-C160-42E2-8734-29AD62F0F8F3}"/>
    <cellStyle name="Normal 34 3 2" xfId="20486" xr:uid="{E3CA6715-AEFC-428E-9901-99FDE1FEAED4}"/>
    <cellStyle name="Normal 34 4" xfId="10384" xr:uid="{9293CEBF-8CC0-40BF-8569-ABEAC6D4315E}"/>
    <cellStyle name="Normal 34 5" xfId="8249" xr:uid="{7CBBEB2A-F9C8-4B2B-90CD-84F9B3AF25A1}"/>
    <cellStyle name="Normal 34 6" xfId="13024" xr:uid="{18DB2D8B-812A-4575-B36E-7A03A4B18D76}"/>
    <cellStyle name="Normal 34 6 2" xfId="15031" xr:uid="{FD446ED2-6298-4969-A1C8-D2AB35206AF3}"/>
    <cellStyle name="Normal 34 6 3" xfId="20769" xr:uid="{0491458C-A054-49AA-9B53-D7870602F501}"/>
    <cellStyle name="Normal 34 7" xfId="10920" xr:uid="{D31D4C27-92CE-4F0F-9D40-075232587347}"/>
    <cellStyle name="Normal 35" xfId="8031" xr:uid="{D61A59A5-746A-4243-841E-49ED72121D84}"/>
    <cellStyle name="Normal 35 2" xfId="10892" xr:uid="{E51CF3F4-CB6C-47E0-8DA8-CD3F8CE9A3D4}"/>
    <cellStyle name="Normal 35 2 2" xfId="19668" xr:uid="{3EF2F213-5835-42FC-A87A-168FE62C1CE5}"/>
    <cellStyle name="Normal 35 3" xfId="10863" xr:uid="{4E7CAB0B-9203-4C81-8CC4-A1257C3B4BFD}"/>
    <cellStyle name="Normal 35 4" xfId="12568" xr:uid="{84349990-A8B1-42CA-8CA1-2CD8963C4DF2}"/>
    <cellStyle name="Normal 35 4 2" xfId="17075" xr:uid="{088EBA3E-DD46-4EA6-B77A-882F37913DCA}"/>
    <cellStyle name="Normal 35 4 3" xfId="20706" xr:uid="{A3BFC77F-4DD2-4DEF-85EA-22CBBE53CAC7}"/>
    <cellStyle name="Normal 35 5" xfId="15599" xr:uid="{74E89F59-E71A-4DA4-88D4-59EE96437A56}"/>
    <cellStyle name="Normal 36" xfId="6082" xr:uid="{A5401EE1-180E-4580-9FFD-D913DC953FAC}"/>
    <cellStyle name="Normal 36 2" xfId="11807" xr:uid="{C35E882E-132D-4FEF-AD53-387BBAC2DD1D}"/>
    <cellStyle name="Normal 36 2 2" xfId="17687" xr:uid="{01CBF1FB-23BD-477F-9867-0B9C137289D5}"/>
    <cellStyle name="Normal 36 2 3" xfId="20620" xr:uid="{D32A7802-895D-4866-9292-66C88A3581CF}"/>
    <cellStyle name="Normal 36 3" xfId="19627" xr:uid="{E71914EA-62D9-4871-8ED4-1A6BB08D339D}"/>
    <cellStyle name="Normal 37" xfId="9574" xr:uid="{7AF934FC-BED9-4551-87EE-146C1AE10BB9}"/>
    <cellStyle name="Normal 37 2" xfId="11808" xr:uid="{0DA32232-69C8-43D7-A51D-3B17EE8C0F42}"/>
    <cellStyle name="Normal 37 2 2" xfId="19626" xr:uid="{41DD7998-EA3E-45A2-BC5B-45D5E3890413}"/>
    <cellStyle name="Normal 37 2 3" xfId="20621" xr:uid="{BAEA0BB9-9FD1-44CE-8B76-1E57AC783E4C}"/>
    <cellStyle name="Normal 38" xfId="10213" xr:uid="{A3808A40-4EDA-410F-A45C-395369F47B7B}"/>
    <cellStyle name="Normal 38 2" xfId="11809" xr:uid="{F05CC8C9-68AB-49C2-87A1-4A64ECECE350}"/>
    <cellStyle name="Normal 39" xfId="12764" xr:uid="{8D21A012-2645-49C0-AFE9-AC4F54F0B996}"/>
    <cellStyle name="Normal 4" xfId="47" xr:uid="{3D1B59E3-9717-4474-8E35-14449B4546F3}"/>
    <cellStyle name="Normal 4 10" xfId="2896" xr:uid="{10E0C775-3136-4DB5-ADC0-ADE469E80796}"/>
    <cellStyle name="Normal 4 10 2" xfId="11059" xr:uid="{30EBFC8F-09B3-4848-BCAE-458B9870EDB0}"/>
    <cellStyle name="Normal 4 11" xfId="2897" xr:uid="{A04250DD-76B6-43F5-B764-B47CF8FE3D83}"/>
    <cellStyle name="Normal 4 11 2" xfId="12584" xr:uid="{5CC45E7B-AA8B-4D58-8F4C-952DF626D242}"/>
    <cellStyle name="Normal 4 12" xfId="2898" xr:uid="{5C2186A0-5AF1-43CF-BB3C-9432C782B489}"/>
    <cellStyle name="Normal 4 12 2" xfId="11004" xr:uid="{830EEEC5-D56D-4BED-A76B-3753D19FDEB7}"/>
    <cellStyle name="Normal 4 13" xfId="2899" xr:uid="{CE2A0645-5D0F-4605-AF93-079BC8925AC6}"/>
    <cellStyle name="Normal 4 13 10" xfId="10367" xr:uid="{F356186C-6F77-470E-9C5C-4BE1EBDBFE34}"/>
    <cellStyle name="Normal 4 13 11" xfId="11415" xr:uid="{DD49CFF2-EB1F-433E-AC6C-C2369A12E294}"/>
    <cellStyle name="Normal 4 13 11 2" xfId="16079" xr:uid="{0FB5AB33-8449-4DED-ADAD-C92B53119899}"/>
    <cellStyle name="Normal 4 13 11 3" xfId="20569" xr:uid="{39B14EE1-CE33-49F7-9901-F695FCEC4CE8}"/>
    <cellStyle name="Normal 4 13 2" xfId="4648" xr:uid="{1EEFF0DB-B899-4221-B9D0-E41EDA40A851}"/>
    <cellStyle name="Normal 4 13 2 2" xfId="8032" xr:uid="{2CB37871-069D-485C-9B8E-B16C330E947A}"/>
    <cellStyle name="Normal 4 13 2 2 2" xfId="9080" xr:uid="{356DDC42-67B2-4A2D-A478-EE7AE9666589}"/>
    <cellStyle name="Normal 4 13 2 2 2 2" xfId="19132" xr:uid="{1208FD0A-D3A5-4CFF-A1F7-E03034671D41}"/>
    <cellStyle name="Normal 4 13 2 2 3" xfId="16585" xr:uid="{75E3FBF0-1408-4187-A434-B48B0C50D238}"/>
    <cellStyle name="Normal 4 13 2 2 4" xfId="15058" xr:uid="{64C5027E-7B6C-4D90-89AF-F609F05DF1E2}"/>
    <cellStyle name="Normal 4 13 2 3" xfId="8033" xr:uid="{E6CBB6D9-9BBE-4C06-8B5C-8D2B20A8C0B0}"/>
    <cellStyle name="Normal 4 13 2 3 2" xfId="9528" xr:uid="{A0CBA2D3-77CA-4BD0-BBD2-C4AEF28C5992}"/>
    <cellStyle name="Normal 4 13 2 3 2 2" xfId="19580" xr:uid="{BC3B8F01-DA8A-48B6-876D-3FE37DD59764}"/>
    <cellStyle name="Normal 4 13 2 3 3" xfId="17031" xr:uid="{8E90131A-1673-4DA2-8E77-DFEE05DB3D1B}"/>
    <cellStyle name="Normal 4 13 2 3 4" xfId="15645" xr:uid="{48A75091-3309-4DD6-9EA5-F7EC41AB2315}"/>
    <cellStyle name="Normal 4 13 2 4" xfId="8034" xr:uid="{0004A01B-B37D-475C-8B82-65DE9E2C38CC}"/>
    <cellStyle name="Normal 4 13 2 4 2" xfId="17632" xr:uid="{1ABC19FA-6D4E-462F-8419-33E7820FC996}"/>
    <cellStyle name="Normal 4 13 2 4 3" xfId="14576" xr:uid="{23012073-7D25-4036-B5B7-398CD219E1E4}"/>
    <cellStyle name="Normal 4 13 2 5" xfId="8035" xr:uid="{0CAFE921-E164-42C2-BEAE-748C33240079}"/>
    <cellStyle name="Normal 4 13 2 5 2" xfId="18243" xr:uid="{20822DC2-D1D7-4767-BF46-C0BC9FCAD07A}"/>
    <cellStyle name="Normal 4 13 2 5 3" xfId="14232" xr:uid="{3485C1DB-4803-4999-B40E-B1F6C820EAF3}"/>
    <cellStyle name="Normal 4 13 2 6" xfId="8652" xr:uid="{FBA0277F-4F35-4403-8F38-06A843468449}"/>
    <cellStyle name="Normal 4 13 2 6 2" xfId="18704" xr:uid="{B4E8C067-75A2-4F06-9E25-CDC749F24611}"/>
    <cellStyle name="Normal 4 13 2 7" xfId="10118" xr:uid="{F0CAD4CF-E8D3-4C9F-AC0E-3851D6598E22}"/>
    <cellStyle name="Normal 4 13 2 8" xfId="10787" xr:uid="{BFEA7098-52BC-40AB-A269-C3DBF2C6C867}"/>
    <cellStyle name="Normal 4 13 2 9" xfId="15395" xr:uid="{4B8CE806-A21D-459F-A966-1110E6A82CEC}"/>
    <cellStyle name="Normal 4 13 3" xfId="4649" xr:uid="{70F3FE25-FD48-4588-8031-85F4E90D7D47}"/>
    <cellStyle name="Normal 4 13 3 2" xfId="8036" xr:uid="{F830DA92-4ABD-47B2-AFDA-1422A6AE4670}"/>
    <cellStyle name="Normal 4 13 3 2 2" xfId="9081" xr:uid="{E32BC453-EB4F-489A-AC11-39434895FD02}"/>
    <cellStyle name="Normal 4 13 3 2 2 2" xfId="19133" xr:uid="{BAEE26D8-CEE6-447A-8AC0-38A9A11782D8}"/>
    <cellStyle name="Normal 4 13 3 2 3" xfId="16586" xr:uid="{1D679451-4EAA-4D17-9201-7AC7483C3E1F}"/>
    <cellStyle name="Normal 4 13 3 2 4" xfId="15057" xr:uid="{11B6DA9E-84D6-42E3-8490-95E9462699CD}"/>
    <cellStyle name="Normal 4 13 3 3" xfId="8037" xr:uid="{7E2D69B3-244C-4EA5-83F0-A351FF9FF8F7}"/>
    <cellStyle name="Normal 4 13 3 3 2" xfId="9529" xr:uid="{3C190045-660E-46AE-BA0A-E7B4E3704FB4}"/>
    <cellStyle name="Normal 4 13 3 3 2 2" xfId="19581" xr:uid="{E705B48B-5A96-4DC3-95A0-FF74D16090B8}"/>
    <cellStyle name="Normal 4 13 3 3 3" xfId="17032" xr:uid="{A4C96521-9B17-48AC-A705-7269B3E0AA8A}"/>
    <cellStyle name="Normal 4 13 3 3 4" xfId="15644" xr:uid="{D5D118B6-B51B-4B56-9801-39C79CB7017F}"/>
    <cellStyle name="Normal 4 13 3 4" xfId="8038" xr:uid="{B8B9545C-AEB6-4242-8FDF-FCB17356C1DA}"/>
    <cellStyle name="Normal 4 13 3 4 2" xfId="17633" xr:uid="{F845EB84-5427-45BB-A046-DFF646C7CEF9}"/>
    <cellStyle name="Normal 4 13 3 4 3" xfId="14575" xr:uid="{0D3EA66C-8634-4A7A-938E-F8683841EF07}"/>
    <cellStyle name="Normal 4 13 3 5" xfId="8039" xr:uid="{74507CD2-434E-49AD-A14F-CA9F6501E5F9}"/>
    <cellStyle name="Normal 4 13 3 5 2" xfId="18244" xr:uid="{C324F263-E2B6-495A-87B7-53EE0FFD8A37}"/>
    <cellStyle name="Normal 4 13 3 5 3" xfId="14231" xr:uid="{AF6D98D2-DB98-4DFE-A81F-FC148D5E4448}"/>
    <cellStyle name="Normal 4 13 3 6" xfId="8653" xr:uid="{9E61075D-A790-4061-B990-98F1E482247A}"/>
    <cellStyle name="Normal 4 13 3 6 2" xfId="18705" xr:uid="{BD909C49-F628-4E3E-8837-D7CA89AC67BE}"/>
    <cellStyle name="Normal 4 13 3 7" xfId="10119" xr:uid="{AC802EC0-148D-486C-920B-88538AD4A039}"/>
    <cellStyle name="Normal 4 13 3 8" xfId="10788" xr:uid="{73A0B685-0106-422D-BA80-97418172BB25}"/>
    <cellStyle name="Normal 4 13 3 9" xfId="15854" xr:uid="{7DF525B2-33C0-4F73-B4F8-25378D9216C9}"/>
    <cellStyle name="Normal 4 13 4" xfId="8040" xr:uid="{25F2AEA4-8024-4219-BDC4-4C724BBF274F}"/>
    <cellStyle name="Normal 4 13 4 2" xfId="8041" xr:uid="{0F6710AF-9B9B-40B0-87F6-A18BD6DA8270}"/>
    <cellStyle name="Normal 4 13 4 2 2" xfId="17368" xr:uid="{8D4CE6D2-B9A3-4C15-80C3-73BA80C82CC7}"/>
    <cellStyle name="Normal 4 13 4 3" xfId="8042" xr:uid="{735FEA4E-1C7A-4EC3-A889-0D2C0E7EAFF8}"/>
    <cellStyle name="Normal 4 13 4 3 2" xfId="17982" xr:uid="{277228D5-618F-47E0-B03A-0C632CBE67C7}"/>
    <cellStyle name="Normal 4 13 4 4" xfId="8811" xr:uid="{D409FF8F-3AF2-484E-9804-DC7026229318}"/>
    <cellStyle name="Normal 4 13 4 4 2" xfId="18863" xr:uid="{70D31E94-A62C-4866-8CB1-7D92BF837887}"/>
    <cellStyle name="Normal 4 13 4 5" xfId="9858" xr:uid="{FE3A3955-701F-4501-A0EB-5A4C039C1C2A}"/>
    <cellStyle name="Normal 4 13 4 6" xfId="10789" xr:uid="{370ECDC7-6064-4F65-942B-030C86BC49FA}"/>
    <cellStyle name="Normal 4 13 4 7" xfId="15301" xr:uid="{147A8AD2-664E-44FD-AD90-188E8A7754CC}"/>
    <cellStyle name="Normal 4 13 5" xfId="8043" xr:uid="{3282BB70-48B3-4D98-9095-4B1748971BEA}"/>
    <cellStyle name="Normal 4 13 5 2" xfId="9259" xr:uid="{7D44E0DF-5E4F-49A7-9E45-CDFA98E3D241}"/>
    <cellStyle name="Normal 4 13 5 2 2" xfId="19311" xr:uid="{E70A660F-4442-4BE8-9A89-FD74A48882AD}"/>
    <cellStyle name="Normal 4 13 5 3" xfId="16762" xr:uid="{B0C75E65-9A07-4DED-96A3-D3988190085C}"/>
    <cellStyle name="Normal 4 13 5 4" xfId="14906" xr:uid="{602BBA69-A506-4BCA-854D-F4713BBE1B89}"/>
    <cellStyle name="Normal 4 13 6" xfId="8044" xr:uid="{090D6B22-BDCA-44F6-AB4F-3148B95F859F}"/>
    <cellStyle name="Normal 4 13 6 2" xfId="17221" xr:uid="{CC2EE457-106E-4AC3-A160-853FB71A895F}"/>
    <cellStyle name="Normal 4 13 6 3" xfId="14799" xr:uid="{2BAE727F-4C07-49B2-8AFF-E1A5209689AE}"/>
    <cellStyle name="Normal 4 13 7" xfId="8045" xr:uid="{E5BA7A84-CB30-4BBC-B3BA-C73D3C0B399F}"/>
    <cellStyle name="Normal 4 13 7 2" xfId="17831" xr:uid="{13B8D136-707A-4BDB-AE77-596AEAD36540}"/>
    <cellStyle name="Normal 4 13 7 3" xfId="14448" xr:uid="{77353B14-43A8-4EB3-B869-BFF489B3CF2F}"/>
    <cellStyle name="Normal 4 13 8" xfId="8383" xr:uid="{9D338803-5ABC-46EA-9CC9-8992209C84CD}"/>
    <cellStyle name="Normal 4 13 8 2" xfId="18435" xr:uid="{0F2017C3-27A4-4621-9A92-13D82815AC3C}"/>
    <cellStyle name="Normal 4 13 9" xfId="9712" xr:uid="{1543D85E-FDCD-4CA3-B033-3CD2E5ADEB23}"/>
    <cellStyle name="Normal 4 14" xfId="2900" xr:uid="{044BBF8E-5BF7-428E-B73D-C4AC12BDF01A}"/>
    <cellStyle name="Normal 4 14 2" xfId="11249" xr:uid="{B9537D88-F338-45FB-BBF7-F67FB1EE299A}"/>
    <cellStyle name="Normal 4 14 2 2" xfId="19868" xr:uid="{3055C8EC-B18C-49DE-9C4B-E4CAB96429B3}"/>
    <cellStyle name="Normal 4 14 2 3" xfId="20527" xr:uid="{E1CD1718-AAE7-4A27-A6F9-C8765045676A}"/>
    <cellStyle name="Normal 4 15" xfId="2895" xr:uid="{21A6B961-4AF5-481E-809A-8AF9EBF591F8}"/>
    <cellStyle name="Normal 4 15 2" xfId="11236" xr:uid="{C36D04F7-6139-4219-8902-36C9DAA6A920}"/>
    <cellStyle name="Normal 4 15 2 2" xfId="19867" xr:uid="{FA0C1D3C-C95B-4567-B7C0-A81181040846}"/>
    <cellStyle name="Normal 4 15 2 3" xfId="20524" xr:uid="{110C1539-B76C-4BB5-A3DF-601DFF5CD494}"/>
    <cellStyle name="Normal 4 16" xfId="495" xr:uid="{0D5FD636-04D3-4909-B547-39C35FC7126C}"/>
    <cellStyle name="Normal 4 16 2" xfId="8046" xr:uid="{D290A90A-144F-4C86-A276-3BDEB2820DDA}"/>
    <cellStyle name="Normal 4 16 2 2" xfId="8693" xr:uid="{77E864F5-E05B-44F1-AF5B-05CED30924A0}"/>
    <cellStyle name="Normal 4 16 2 2 2" xfId="18745" xr:uid="{08CD0271-F6F2-4CF3-A1F3-826D58F4D954}"/>
    <cellStyle name="Normal 4 16 2 3" xfId="16330" xr:uid="{BE2E0BB9-4759-4989-9B30-B52947021889}"/>
    <cellStyle name="Normal 4 16 2 4" xfId="15820" xr:uid="{7434EB9D-57B2-4D06-8312-EF327DC18DDC}"/>
    <cellStyle name="Normal 4 16 3" xfId="8047" xr:uid="{74D58009-6844-44B0-94E8-C8D1FFB5ABCB}"/>
    <cellStyle name="Normal 4 16 3 2" xfId="9141" xr:uid="{CAE74437-3BDA-4165-84CB-4C600E5448F1}"/>
    <cellStyle name="Normal 4 16 3 2 2" xfId="19193" xr:uid="{8F083256-7ACB-4062-9957-1C6368153A05}"/>
    <cellStyle name="Normal 4 16 3 3" xfId="16643" xr:uid="{2AE49887-5F05-4E2B-BE7B-B8BA549E4BDE}"/>
    <cellStyle name="Normal 4 16 3 4" xfId="15004" xr:uid="{731D061E-62A0-4683-8EB8-331240A323D3}"/>
    <cellStyle name="Normal 4 16 4" xfId="8265" xr:uid="{E5292E1E-6F01-4EC4-A5CD-D3A66848456E}"/>
    <cellStyle name="Normal 4 16 4 2" xfId="18317" xr:uid="{AA9D6178-839C-443A-83C8-DDA39A11C9A4}"/>
    <cellStyle name="Normal 4 16 4 3" xfId="14204" xr:uid="{AB0F69CA-CAD2-4489-BFCD-494004906865}"/>
    <cellStyle name="Normal 4 16 5" xfId="10169" xr:uid="{31527541-239F-442E-818B-11076529FFDF}"/>
    <cellStyle name="Normal 4 16 5 2" xfId="16287" xr:uid="{DBDF2C28-EE5D-4152-AF31-50AEE322D232}"/>
    <cellStyle name="Normal 4 16 6" xfId="10873" xr:uid="{94E0E7D7-ABCF-49FD-8C04-70CA124F01E6}"/>
    <cellStyle name="Normal 4 16 7" xfId="11311" xr:uid="{FCB39212-8EBF-4C27-88D2-4F1BFD9DBE7D}"/>
    <cellStyle name="Normal 4 16 7 2" xfId="16191" xr:uid="{660E63ED-44FD-46A8-AFC5-62F944897D9C}"/>
    <cellStyle name="Normal 4 16 7 3" xfId="20541" xr:uid="{FA2FB046-9ABB-423C-B97C-57B1D2EA61E4}"/>
    <cellStyle name="Normal 4 17" xfId="12322" xr:uid="{26C30866-F90B-4604-B154-28072D8AD011}"/>
    <cellStyle name="Normal 4 17 2" xfId="19672" xr:uid="{E01EB408-F7F3-4FC0-914A-023C8FEA0340}"/>
    <cellStyle name="Normal 4 17 3" xfId="20675" xr:uid="{583CC3C8-7017-4AF5-9456-FB08C3001948}"/>
    <cellStyle name="Normal 4 18" xfId="12765" xr:uid="{EB239497-4F5C-450B-AE47-39E8CD4B5613}"/>
    <cellStyle name="Normal 4 19" xfId="11932" xr:uid="{2CB6AC3A-E064-4FAD-A88E-664784DBB254}"/>
    <cellStyle name="Normal 4 2" xfId="89" xr:uid="{CE8C598A-6BCA-47B6-A228-2BFF4A3C6026}"/>
    <cellStyle name="Normal 4 2 10" xfId="9713" xr:uid="{BDE5845B-0236-43EA-B4E7-CD373D9DAB5C}"/>
    <cellStyle name="Normal 4 2 10 2" xfId="12480" xr:uid="{C83D3EF8-9A83-42C8-BA19-78B456247BDD}"/>
    <cellStyle name="Normal 4 2 11" xfId="10368" xr:uid="{1B34986E-D726-4C73-A087-52E933F2F3B7}"/>
    <cellStyle name="Normal 4 2 11 2" xfId="12485" xr:uid="{EAE08164-FB14-4D16-937E-88DBB8349348}"/>
    <cellStyle name="Normal 4 2 12" xfId="12810" xr:uid="{7BBF302A-9DC1-400A-83CE-880780EA811C}"/>
    <cellStyle name="Normal 4 2 13" xfId="12399" xr:uid="{2EB0C102-3B5D-4485-87CA-71BDCEB91A19}"/>
    <cellStyle name="Normal 4 2 14" xfId="12919" xr:uid="{B88F44BD-D394-4A74-9C58-EABFCEFB45B8}"/>
    <cellStyle name="Normal 4 2 15" xfId="11119" xr:uid="{009E5A8B-C155-484F-ABEE-CE432E7A4F22}"/>
    <cellStyle name="Normal 4 2 16" xfId="13069" xr:uid="{843D9D9F-4B97-4E31-9A8B-55329DF839FB}"/>
    <cellStyle name="Normal 4 2 17" xfId="11902" xr:uid="{1255FD45-0051-40E8-90DA-A85B4F4C706B}"/>
    <cellStyle name="Normal 4 2 18" xfId="13202" xr:uid="{F61A1769-E922-42DD-93A1-43CC69C2F3CC}"/>
    <cellStyle name="Normal 4 2 19" xfId="11903" xr:uid="{20BCA1AF-248B-47D6-9B76-F143604BC886}"/>
    <cellStyle name="Normal 4 2 2" xfId="2902" xr:uid="{B214C158-AA5B-46D0-9A63-8430BC72AA76}"/>
    <cellStyle name="Normal 4 2 2 10" xfId="10369" xr:uid="{5996C6D1-8CE4-4ED1-90AA-0C8980F29D9A}"/>
    <cellStyle name="Normal 4 2 2 11" xfId="12541" xr:uid="{0FC7511C-8D3E-4158-9543-4F487ABE62F4}"/>
    <cellStyle name="Normal 4 2 2 11 2" xfId="16077" xr:uid="{7C072A70-6BD1-43A9-BB55-8F930AFC1C1C}"/>
    <cellStyle name="Normal 4 2 2 11 3" xfId="20705" xr:uid="{4313BCEC-9B41-44B3-91CD-DE863A05D1A6}"/>
    <cellStyle name="Normal 4 2 2 2" xfId="4650" xr:uid="{B2CE43DA-2C98-49C7-AA6A-4F5772B81B1E}"/>
    <cellStyle name="Normal 4 2 2 2 2" xfId="8048" xr:uid="{9F2CC25B-9C19-455D-9AA1-60D3708B3ADD}"/>
    <cellStyle name="Normal 4 2 2 2 2 2" xfId="9082" xr:uid="{B065808E-3B6B-4559-86B5-1A1B03B2E5D5}"/>
    <cellStyle name="Normal 4 2 2 2 2 2 2" xfId="19134" xr:uid="{95A3C20E-3334-4B3E-BA6B-81A36C0FCE10}"/>
    <cellStyle name="Normal 4 2 2 2 2 3" xfId="16587" xr:uid="{FDF3A85D-3825-4DDD-9278-2C61CCAABE57}"/>
    <cellStyle name="Normal 4 2 2 2 2 4" xfId="15056" xr:uid="{6DEBFC4E-5C11-4679-946A-38662102ED6F}"/>
    <cellStyle name="Normal 4 2 2 2 3" xfId="8049" xr:uid="{1DBA04BD-02C4-4AB1-B5CC-5EA768A786A5}"/>
    <cellStyle name="Normal 4 2 2 2 3 2" xfId="9530" xr:uid="{9823B687-5C86-4775-B53F-5857D6BA3E32}"/>
    <cellStyle name="Normal 4 2 2 2 3 2 2" xfId="19582" xr:uid="{85251ECC-155E-4A70-A818-3E817BFB56FC}"/>
    <cellStyle name="Normal 4 2 2 2 3 3" xfId="17033" xr:uid="{90CF8E9E-2A0A-4095-A26E-71E19E0849C6}"/>
    <cellStyle name="Normal 4 2 2 2 3 4" xfId="14821" xr:uid="{62D149D1-EC50-4BB4-A4E3-216E62CC8B69}"/>
    <cellStyle name="Normal 4 2 2 2 4" xfId="8050" xr:uid="{5DF1FF26-DA9F-434B-85D0-48B80AFE1671}"/>
    <cellStyle name="Normal 4 2 2 2 4 2" xfId="17634" xr:uid="{364140B8-521A-48E6-97D5-FC43618B402C}"/>
    <cellStyle name="Normal 4 2 2 2 4 3" xfId="14574" xr:uid="{E43FF90D-671B-4469-AC63-0ABAABD736BF}"/>
    <cellStyle name="Normal 4 2 2 2 5" xfId="8051" xr:uid="{CF8CD96C-4F68-408D-A8A7-7EBF1DA5D870}"/>
    <cellStyle name="Normal 4 2 2 2 5 2" xfId="18245" xr:uid="{79526B53-4389-480B-85E1-2B97138F9DBD}"/>
    <cellStyle name="Normal 4 2 2 2 5 3" xfId="14230" xr:uid="{BF2D3BFA-4A62-447C-AA6C-32E171F74A91}"/>
    <cellStyle name="Normal 4 2 2 2 6" xfId="8654" xr:uid="{B7775107-7B95-4F74-84D7-D0001C68C7E2}"/>
    <cellStyle name="Normal 4 2 2 2 6 2" xfId="18706" xr:uid="{30CE88CB-D3A9-46E7-8A6D-C4311BBEEC3C}"/>
    <cellStyle name="Normal 4 2 2 2 7" xfId="10120" xr:uid="{CCB63B60-65F9-4B66-9DE6-4460A8759674}"/>
    <cellStyle name="Normal 4 2 2 2 8" xfId="10790" xr:uid="{BAA49B76-9B1E-4120-8FD2-453D6D19EE55}"/>
    <cellStyle name="Normal 4 2 2 2 9" xfId="15853" xr:uid="{EC2F0220-13A6-4DA0-9BB6-CB1A78C03A5E}"/>
    <cellStyle name="Normal 4 2 2 3" xfId="4651" xr:uid="{1BDE7B91-B4C4-4250-A7FC-943F591159A8}"/>
    <cellStyle name="Normal 4 2 2 3 2" xfId="8052" xr:uid="{83CF9559-D79C-49E7-BABB-60139141B851}"/>
    <cellStyle name="Normal 4 2 2 3 2 2" xfId="9083" xr:uid="{C4697BB7-A966-4D61-8DAC-D90A3276790A}"/>
    <cellStyle name="Normal 4 2 2 3 2 2 2" xfId="19135" xr:uid="{AFFCAA64-E0A2-4E1C-8180-513D9D66640E}"/>
    <cellStyle name="Normal 4 2 2 3 2 3" xfId="16588" xr:uid="{C4AAE40A-D233-4E23-8A23-56925CF47064}"/>
    <cellStyle name="Normal 4 2 2 3 2 4" xfId="14144" xr:uid="{C3766194-1F10-4EE4-A32A-D37A8BC227C7}"/>
    <cellStyle name="Normal 4 2 2 3 3" xfId="8053" xr:uid="{FC036EE5-2753-4B94-9351-142379FC30B9}"/>
    <cellStyle name="Normal 4 2 2 3 3 2" xfId="9531" xr:uid="{B7B46D90-AB7B-41F5-8342-165B62B56B05}"/>
    <cellStyle name="Normal 4 2 2 3 3 2 2" xfId="19583" xr:uid="{FB56A5DB-30CE-4267-ACB8-DFCE2B9025AB}"/>
    <cellStyle name="Normal 4 2 2 3 3 3" xfId="17034" xr:uid="{7154FEEB-646D-4CEF-A41E-E51C7F279C43}"/>
    <cellStyle name="Normal 4 2 2 3 3 4" xfId="15643" xr:uid="{25AD22F0-F0E2-4247-85E8-2A2B76A0DA52}"/>
    <cellStyle name="Normal 4 2 2 3 4" xfId="8054" xr:uid="{96782BFC-5FD4-449B-B40F-57002866FAA8}"/>
    <cellStyle name="Normal 4 2 2 3 4 2" xfId="17635" xr:uid="{A8C3F710-843B-4F5A-B2CF-8D0A1973D7A1}"/>
    <cellStyle name="Normal 4 2 2 3 4 3" xfId="14573" xr:uid="{27C9C48B-1FA1-47B5-8B2F-EB91DD86F39C}"/>
    <cellStyle name="Normal 4 2 2 3 5" xfId="8055" xr:uid="{91315EA2-B0B3-4066-A479-9B7321F6ADBA}"/>
    <cellStyle name="Normal 4 2 2 3 5 2" xfId="18246" xr:uid="{B9E574D8-E505-4E51-AAB8-C2B671F53140}"/>
    <cellStyle name="Normal 4 2 2 3 5 3" xfId="14229" xr:uid="{C4BF6BB6-CBFF-4DDE-9B7A-530EB1235D57}"/>
    <cellStyle name="Normal 4 2 2 3 6" xfId="8655" xr:uid="{BE76437D-882A-4AFF-BD71-80B8D8F711CB}"/>
    <cellStyle name="Normal 4 2 2 3 6 2" xfId="18707" xr:uid="{F6369303-8EF8-42B0-9F91-ED2203AB3A31}"/>
    <cellStyle name="Normal 4 2 2 3 7" xfId="10121" xr:uid="{43FF7F25-3A62-46DC-ADAE-250F7F23D60C}"/>
    <cellStyle name="Normal 4 2 2 3 8" xfId="10791" xr:uid="{266D7448-6054-4BDB-829A-312DA27F3842}"/>
    <cellStyle name="Normal 4 2 2 3 9" xfId="15852" xr:uid="{5BCADED5-6F7C-4D7B-ADCA-344ADEA5AFB3}"/>
    <cellStyle name="Normal 4 2 2 4" xfId="8056" xr:uid="{EF8E5279-3265-49A6-8D63-F8EB1BBD2538}"/>
    <cellStyle name="Normal 4 2 2 4 2" xfId="8057" xr:uid="{E4592BC1-96A0-4593-B65E-ED29EE7AC65B}"/>
    <cellStyle name="Normal 4 2 2 4 2 2" xfId="17370" xr:uid="{E868C23A-EDA4-4A76-A051-108219A28F8F}"/>
    <cellStyle name="Normal 4 2 2 4 3" xfId="8058" xr:uid="{86F57DC0-B9FC-42DC-8AD9-2C859CF62320}"/>
    <cellStyle name="Normal 4 2 2 4 3 2" xfId="17984" xr:uid="{AD28204E-1198-4082-8383-C17532974759}"/>
    <cellStyle name="Normal 4 2 2 4 4" xfId="8813" xr:uid="{5DCC8657-0F02-4096-8FBC-C5E7A05B48BF}"/>
    <cellStyle name="Normal 4 2 2 4 4 2" xfId="18865" xr:uid="{AEF7D9C6-B72C-468A-9E61-A710090191F6}"/>
    <cellStyle name="Normal 4 2 2 4 5" xfId="9860" xr:uid="{BFBB6116-5DF1-4812-9DAA-118AC6C62F7B}"/>
    <cellStyle name="Normal 4 2 2 4 6" xfId="10792" xr:uid="{17400A71-8EE9-4ABF-AB11-8CCAD7181A37}"/>
    <cellStyle name="Normal 4 2 2 4 7" xfId="15299" xr:uid="{FED7B536-1FC6-4E5B-AFDD-61E17D4C9F66}"/>
    <cellStyle name="Normal 4 2 2 5" xfId="8059" xr:uid="{7BB87860-1FD4-4E15-80E0-AA76DE8F2764}"/>
    <cellStyle name="Normal 4 2 2 5 2" xfId="9261" xr:uid="{8C37462F-0E12-41D6-9D42-B487805FBD41}"/>
    <cellStyle name="Normal 4 2 2 5 2 2" xfId="19313" xr:uid="{ECA68281-7EF2-4E07-8B9C-2BEDAF2BFEB6}"/>
    <cellStyle name="Normal 4 2 2 5 3" xfId="16764" xr:uid="{FAFC7B2A-D0BE-45ED-92D3-C5F4D5CBBEA3}"/>
    <cellStyle name="Normal 4 2 2 5 4" xfId="14904" xr:uid="{843C7948-1847-4F5E-84E5-6764DB83918B}"/>
    <cellStyle name="Normal 4 2 2 6" xfId="8060" xr:uid="{6BE72076-6011-447E-BC59-3FEBD7699311}"/>
    <cellStyle name="Normal 4 2 2 6 2" xfId="17223" xr:uid="{120EC097-0C76-498A-BD11-C84308636327}"/>
    <cellStyle name="Normal 4 2 2 6 3" xfId="15501" xr:uid="{076CD4D4-1C7F-40DE-B3D6-DF7B183255DA}"/>
    <cellStyle name="Normal 4 2 2 7" xfId="8061" xr:uid="{45A7D379-1A4B-420E-976E-7BF395EBEC17}"/>
    <cellStyle name="Normal 4 2 2 7 2" xfId="17833" xr:uid="{88DD93E4-246F-4199-927E-4D5F1D58F4E5}"/>
    <cellStyle name="Normal 4 2 2 7 3" xfId="14447" xr:uid="{DD2E0379-AA00-4FDF-A6CE-747EEFAAFA05}"/>
    <cellStyle name="Normal 4 2 2 8" xfId="8385" xr:uid="{B712B3DE-F9E9-4C25-8A8B-48EDB74CDC9D}"/>
    <cellStyle name="Normal 4 2 2 8 2" xfId="18437" xr:uid="{BC912078-D483-4F5E-8FBA-F64C073A8CC2}"/>
    <cellStyle name="Normal 4 2 2 9" xfId="9714" xr:uid="{E886F354-EEFE-4898-B32B-8399F3567B53}"/>
    <cellStyle name="Normal 4 2 20" xfId="13776" xr:uid="{B70ED6D4-AB2B-4A1E-8D5D-5C2CAA18C66D}"/>
    <cellStyle name="Normal 4 2 21" xfId="11883" xr:uid="{0D1410DA-F49C-45C2-AAEC-17FE91021BB4}"/>
    <cellStyle name="Normal 4 2 22" xfId="11810" xr:uid="{DC1D04B9-7FB2-48A9-9E81-DCCAC70BB249}"/>
    <cellStyle name="Normal 4 2 23" xfId="12700" xr:uid="{272F4AA8-0328-47EB-A8E0-602F4D2767B9}"/>
    <cellStyle name="Normal 4 2 3" xfId="2901" xr:uid="{F730152B-5D30-4729-8095-FFF88A1389E5}"/>
    <cellStyle name="Normal 4 2 3 2" xfId="8062" xr:uid="{BFED16C6-A6BA-4000-BF65-9D9E9EACC95A}"/>
    <cellStyle name="Normal 4 2 3 2 2" xfId="8812" xr:uid="{FA352D8B-419A-44B4-A1B6-B7E5D2EC997D}"/>
    <cellStyle name="Normal 4 2 3 2 2 2" xfId="18864" xr:uid="{F9BDBD61-A862-4B9C-AD66-1AF124092DC3}"/>
    <cellStyle name="Normal 4 2 3 2 3" xfId="16334" xr:uid="{0F2248B3-4170-4553-B416-6E45599F6723}"/>
    <cellStyle name="Normal 4 2 3 2 4" xfId="15300" xr:uid="{D17896E7-82D2-4F2F-8049-5A291B6D6E5E}"/>
    <cellStyle name="Normal 4 2 3 3" xfId="8063" xr:uid="{4397658B-1A43-461B-92BE-653CC5826C04}"/>
    <cellStyle name="Normal 4 2 3 3 2" xfId="9260" xr:uid="{B80C1EF4-8BB8-4A56-B2F3-C7C03CCA80FE}"/>
    <cellStyle name="Normal 4 2 3 3 2 2" xfId="19312" xr:uid="{FB4ACE69-F7AE-4F8E-B57D-1A1CCF960B9D}"/>
    <cellStyle name="Normal 4 2 3 3 3" xfId="16763" xr:uid="{C6B782D1-5267-4FFA-882D-6D03C714030E}"/>
    <cellStyle name="Normal 4 2 3 3 4" xfId="14905" xr:uid="{F35F2D2C-46D2-42E8-9A97-669B2E187043}"/>
    <cellStyle name="Normal 4 2 3 4" xfId="8064" xr:uid="{E60BF5B9-CD10-4F2A-AA15-568616F6337C}"/>
    <cellStyle name="Normal 4 2 3 4 2" xfId="17636" xr:uid="{79BB4D1A-04D8-4286-B4B6-5E3AA22E26E9}"/>
    <cellStyle name="Normal 4 2 3 4 3" xfId="14572" xr:uid="{9C3012C9-8D41-4F3A-BBE7-B5586F7BCE79}"/>
    <cellStyle name="Normal 4 2 3 5" xfId="8065" xr:uid="{369DFEFD-C6A7-445A-9E9B-E0162A4F9351}"/>
    <cellStyle name="Normal 4 2 3 5 2" xfId="18247" xr:uid="{80081F0C-E431-4D33-B917-A9CFC28614CD}"/>
    <cellStyle name="Normal 4 2 3 5 3" xfId="14228" xr:uid="{8D444FDD-026F-494C-93EB-1DD8566EA98F}"/>
    <cellStyle name="Normal 4 2 3 6" xfId="8384" xr:uid="{E49BC853-BE21-416F-9ECA-6AC2BFD75CF4}"/>
    <cellStyle name="Normal 4 2 3 6 2" xfId="18436" xr:uid="{4DE40A64-AE11-43F5-8A5E-DB77C645A61A}"/>
    <cellStyle name="Normal 4 2 3 7" xfId="10122" xr:uid="{F20BD36E-4558-494A-9003-15F3ED8EB83F}"/>
    <cellStyle name="Normal 4 2 3 8" xfId="10793" xr:uid="{0E921FB1-E3B5-429E-89E5-A16DB93D615A}"/>
    <cellStyle name="Normal 4 2 3 9" xfId="11709" xr:uid="{FB655004-D1FE-4A16-999C-82B213D26DE2}"/>
    <cellStyle name="Normal 4 2 3 9 2" xfId="16078" xr:uid="{DDE7B482-F2BB-43CD-AC58-B204A0CD4915}"/>
    <cellStyle name="Normal 4 2 3 9 3" xfId="20591" xr:uid="{D52BF763-38B2-43EB-A2B7-A6F58D943479}"/>
    <cellStyle name="Normal 4 2 4" xfId="4652" xr:uid="{FD16AC98-151B-4759-B8CB-C23890A68999}"/>
    <cellStyle name="Normal 4 2 4 2" xfId="8066" xr:uid="{BCAA26E3-3F29-46E3-B298-B79FF5130B55}"/>
    <cellStyle name="Normal 4 2 4 2 2" xfId="9084" xr:uid="{04FEF917-3B08-4AEF-B9D3-3E12FC5B5DFD}"/>
    <cellStyle name="Normal 4 2 4 2 2 2" xfId="19136" xr:uid="{381F9E74-B22D-4688-8815-AB84E0BF41C4}"/>
    <cellStyle name="Normal 4 2 4 2 3" xfId="16589" xr:uid="{1926B9CB-1BB3-48F7-8886-E1B70BBB3CE5}"/>
    <cellStyle name="Normal 4 2 4 2 4" xfId="15055" xr:uid="{9367CB46-883B-48C1-AA6B-9E24B50AB365}"/>
    <cellStyle name="Normal 4 2 4 3" xfId="8067" xr:uid="{9637A8DE-0FC7-4D71-B4D5-AB5DF54CFD75}"/>
    <cellStyle name="Normal 4 2 4 3 2" xfId="9532" xr:uid="{1E6A14A9-2DF3-4898-AC9B-9362F3CDA7DD}"/>
    <cellStyle name="Normal 4 2 4 3 2 2" xfId="19584" xr:uid="{FEED33C5-9811-4CAC-977B-A0A51321FDA2}"/>
    <cellStyle name="Normal 4 2 4 3 3" xfId="17035" xr:uid="{569A300A-2F63-49E6-8977-95DCF17E9231}"/>
    <cellStyle name="Normal 4 2 4 3 4" xfId="15642" xr:uid="{7EF9D568-D91A-4ED2-AD7F-C44DF115C876}"/>
    <cellStyle name="Normal 4 2 4 4" xfId="8068" xr:uid="{B1EE9626-03C5-4695-A81C-850E7FE477F3}"/>
    <cellStyle name="Normal 4 2 4 4 2" xfId="17637" xr:uid="{2BE0D63C-1F81-451A-98C9-1EDF4EFC8668}"/>
    <cellStyle name="Normal 4 2 4 4 3" xfId="14571" xr:uid="{482AAB66-F497-498C-B983-F6CAD7D48646}"/>
    <cellStyle name="Normal 4 2 4 5" xfId="8069" xr:uid="{4AC62EF7-F21E-4D89-93BF-8C7D19A6A528}"/>
    <cellStyle name="Normal 4 2 4 5 2" xfId="18248" xr:uid="{E77E1D1F-86AF-4D97-B256-8C08B11FC5D8}"/>
    <cellStyle name="Normal 4 2 4 5 3" xfId="14051" xr:uid="{5754DA61-B71D-4BA3-A719-9022F5A04382}"/>
    <cellStyle name="Normal 4 2 4 6" xfId="8656" xr:uid="{0421BC36-5268-4FCF-9FCE-7D2A80259594}"/>
    <cellStyle name="Normal 4 2 4 6 2" xfId="18708" xr:uid="{E00D2732-0FC5-459C-A756-CD8C28B1A5DF}"/>
    <cellStyle name="Normal 4 2 4 7" xfId="10123" xr:uid="{8F1887CA-63ED-406B-907F-5CB9A88C61A4}"/>
    <cellStyle name="Normal 4 2 4 8" xfId="10794" xr:uid="{E8F611CD-B197-47FB-BA20-DC3CC417E35E}"/>
    <cellStyle name="Normal 4 2 4 9" xfId="11315" xr:uid="{0628E233-2AA4-4941-932B-E6564E81334B}"/>
    <cellStyle name="Normal 4 2 4 9 2" xfId="15851" xr:uid="{EA776527-F034-40A9-9826-CACA7E91850E}"/>
    <cellStyle name="Normal 4 2 4 9 3" xfId="20542" xr:uid="{93567E18-740E-491F-9C86-365C3DBBB08E}"/>
    <cellStyle name="Normal 4 2 5" xfId="6045" xr:uid="{691C679B-E35E-461D-9679-3244DDDF4329}"/>
    <cellStyle name="Normal 4 2 5 2" xfId="8070" xr:uid="{69EA27B5-AE47-479C-9461-750EF4E4472E}"/>
    <cellStyle name="Normal 4 2 5 2 2" xfId="17369" xr:uid="{1C618CE8-76D4-4EB0-819C-C960F312455F}"/>
    <cellStyle name="Normal 4 2 5 3" xfId="8071" xr:uid="{7C06E1A9-9393-40E3-B206-FF0ADC754EA4}"/>
    <cellStyle name="Normal 4 2 5 3 2" xfId="17983" xr:uid="{6F2A5DFC-D82A-482B-A7FA-000CC0ED2F66}"/>
    <cellStyle name="Normal 4 2 5 4" xfId="9859" xr:uid="{12A33ECC-2952-4132-A7B2-34AB9D109023}"/>
    <cellStyle name="Normal 4 2 5 5" xfId="10795" xr:uid="{247F27F0-4198-4D1B-98D0-D31EB19D847D}"/>
    <cellStyle name="Normal 4 2 5 6" xfId="12766" xr:uid="{66B5CBBE-63B7-4DA5-895A-AAE72CD97486}"/>
    <cellStyle name="Normal 4 2 6" xfId="479" xr:uid="{3A924AAE-C24D-4943-B224-87B68E02E2A4}"/>
    <cellStyle name="Normal 4 2 6 2" xfId="12806" xr:uid="{2FB385CE-4674-4185-92D3-017751A2992B}"/>
    <cellStyle name="Normal 4 2 6 2 2" xfId="19640" xr:uid="{1DDCD740-18DF-4A02-BD39-A7E7023D2F8E}"/>
    <cellStyle name="Normal 4 2 6 2 3" xfId="20727" xr:uid="{8C5B7E3F-37A4-4234-A5D5-16CCB41F175B}"/>
    <cellStyle name="Normal 4 2 7" xfId="8072" xr:uid="{B2C91A89-E380-405B-8896-714F0961BBB5}"/>
    <cellStyle name="Normal 4 2 7 2" xfId="12570" xr:uid="{86B61F77-1B27-4C1D-9C69-58FDCB40FDEC}"/>
    <cellStyle name="Normal 4 2 8" xfId="8073" xr:uid="{67532911-3099-4A8B-8EBF-3C5F6FE2FE06}"/>
    <cellStyle name="Normal 4 2 8 2" xfId="12481" xr:uid="{069C6911-A07B-4F54-981D-90F77294597D}"/>
    <cellStyle name="Normal 4 2 8 2 2" xfId="17222" xr:uid="{B3B40138-1F93-499D-9F23-CCE717764F2B}"/>
    <cellStyle name="Normal 4 2 8 2 3" xfId="20690" xr:uid="{CBE37DE3-783D-4DB8-8E77-192E40CFC1C8}"/>
    <cellStyle name="Normal 4 2 9" xfId="8074" xr:uid="{22CCAFB1-5C6D-4978-93C9-410538A3FF3F}"/>
    <cellStyle name="Normal 4 2 9 2" xfId="12486" xr:uid="{28BD79A1-41B3-4645-A830-248B15AF2DC5}"/>
    <cellStyle name="Normal 4 2 9 2 2" xfId="17832" xr:uid="{9E534009-A4B9-427D-9BA4-ADB78D464917}"/>
    <cellStyle name="Normal 4 2 9 2 3" xfId="20691" xr:uid="{1DAD2177-8B9B-42D3-AFB0-D81599B2BD40}"/>
    <cellStyle name="Normal 4 20" xfId="11811" xr:uid="{949DAC48-152B-443A-8444-6309F1A38238}"/>
    <cellStyle name="Normal 4 21" xfId="11452" xr:uid="{FC28953F-BF65-48CC-A27E-5D9602AD5534}"/>
    <cellStyle name="Normal 4 22" xfId="11933" xr:uid="{41DC81E2-D936-43D1-8DBC-4A3910CAE2A3}"/>
    <cellStyle name="Normal 4 23" xfId="12819" xr:uid="{DF55F9C2-6913-4BF2-A07A-CD0EFD7218C9}"/>
    <cellStyle name="Normal 4 24" xfId="11120" xr:uid="{98F1B561-9598-4E33-8DC2-3E94C385ABF5}"/>
    <cellStyle name="Normal 4 25" xfId="11812" xr:uid="{75C20F2C-33C5-492D-AE20-56A7E2C54205}"/>
    <cellStyle name="Normal 4 26" xfId="11416" xr:uid="{BD10B1A8-FCE4-4427-BACC-49A84BDDD782}"/>
    <cellStyle name="Normal 4 3" xfId="2903" xr:uid="{95C393FA-E46B-4789-A400-BE853FA27CF5}"/>
    <cellStyle name="Normal 4 3 10" xfId="9715" xr:uid="{B815363E-C7E6-40E0-BE26-274342886C26}"/>
    <cellStyle name="Normal 4 3 10 2" xfId="12714" xr:uid="{735EA7CF-15B8-4B8D-9256-3B4342E3AB17}"/>
    <cellStyle name="Normal 4 3 11" xfId="10370" xr:uid="{7E5FF8B0-7065-4B2B-A3F8-56D976821F85}"/>
    <cellStyle name="Normal 4 3 11 2" xfId="12702" xr:uid="{9AAB87D7-0DA8-460D-BA0E-B1957AD11CE6}"/>
    <cellStyle name="Normal 4 3 12" xfId="13584" xr:uid="{CFEF633E-78A3-418F-BF16-8AA2B1E38240}"/>
    <cellStyle name="Normal 4 3 12 2" xfId="14173" xr:uid="{8D1086DC-C542-49E2-B1DF-5B4662D01CA6}"/>
    <cellStyle name="Normal 4 3 12 3" xfId="20803" xr:uid="{826BB66D-0C4B-4C10-8BB0-0E9EA7E7A506}"/>
    <cellStyle name="Normal 4 3 13" xfId="12707" xr:uid="{2FFDFA4F-1A03-42E8-AE4E-FC79B0DFC677}"/>
    <cellStyle name="Normal 4 3 14" xfId="11934" xr:uid="{7D68F71D-9C83-40F5-8EEF-01D8E761B1F2}"/>
    <cellStyle name="Normal 4 3 15" xfId="12820" xr:uid="{9D52DB9C-3809-44B1-8001-8A726ECC1357}"/>
    <cellStyle name="Normal 4 3 16" xfId="11813" xr:uid="{56DEC754-2938-4A01-B7B2-ED2986C61D42}"/>
    <cellStyle name="Normal 4 3 17" xfId="11814" xr:uid="{BCFCD99F-D5D6-4488-8BC4-485F9B873DDD}"/>
    <cellStyle name="Normal 4 3 18" xfId="11417" xr:uid="{369B07F9-A25D-4714-A8F5-A1C6C7D68C1F}"/>
    <cellStyle name="Normal 4 3 19" xfId="11250" xr:uid="{E5E08D38-756D-48FC-831F-95352A1FE3E6}"/>
    <cellStyle name="Normal 4 3 2" xfId="2904" xr:uid="{9FA1410D-F324-4654-A942-F8AFCF964586}"/>
    <cellStyle name="Normal 4 3 2 10" xfId="10371" xr:uid="{632DB191-BE08-47BD-BEC5-753946D0F47D}"/>
    <cellStyle name="Normal 4 3 2 11" xfId="11735" xr:uid="{C6C29878-3DB8-45FB-B3F5-DF510F95052F}"/>
    <cellStyle name="Normal 4 3 2 11 2" xfId="16076" xr:uid="{65E6386C-4677-4392-99CA-CCF9BCFCAA36}"/>
    <cellStyle name="Normal 4 3 2 11 3" xfId="20596" xr:uid="{BA77EAB9-88FB-4CC7-92B8-7CC7D22FFED7}"/>
    <cellStyle name="Normal 4 3 2 2" xfId="4653" xr:uid="{6509541A-30AA-495A-B9F8-073EE755FB99}"/>
    <cellStyle name="Normal 4 3 2 2 2" xfId="8075" xr:uid="{7DA4F02D-26C3-4CD4-AFDF-EEB458169A4F}"/>
    <cellStyle name="Normal 4 3 2 2 2 2" xfId="9085" xr:uid="{3FD4CCB6-F29B-4C47-B2D6-F20861BB66F9}"/>
    <cellStyle name="Normal 4 3 2 2 2 2 2" xfId="19137" xr:uid="{2C18EADF-8796-474C-AB1F-23C580FE805B}"/>
    <cellStyle name="Normal 4 3 2 2 2 3" xfId="16590" xr:uid="{09DB2787-9E37-4583-AE29-023E06F0272F}"/>
    <cellStyle name="Normal 4 3 2 2 2 4" xfId="15054" xr:uid="{13C54820-E925-4B89-B3D4-313467B59C18}"/>
    <cellStyle name="Normal 4 3 2 2 3" xfId="8076" xr:uid="{98098E39-98E8-4DCA-AD81-A1836E862C27}"/>
    <cellStyle name="Normal 4 3 2 2 3 2" xfId="9533" xr:uid="{284A2074-91E4-4400-B51D-82E8B8D76008}"/>
    <cellStyle name="Normal 4 3 2 2 3 2 2" xfId="19585" xr:uid="{3F775FB1-28FF-4D62-9D5C-D7125D753418}"/>
    <cellStyle name="Normal 4 3 2 2 3 3" xfId="17036" xr:uid="{7F6C0926-75EC-49A0-8F87-693985AC6D31}"/>
    <cellStyle name="Normal 4 3 2 2 3 4" xfId="15641" xr:uid="{5039A4D2-0F71-49A5-ABF0-99014D1B294A}"/>
    <cellStyle name="Normal 4 3 2 2 4" xfId="8077" xr:uid="{59F40C79-3333-4AB1-AC53-A7C34E30219C}"/>
    <cellStyle name="Normal 4 3 2 2 4 2" xfId="17638" xr:uid="{D989D7BB-3B8A-423C-A446-1800E23F884E}"/>
    <cellStyle name="Normal 4 3 2 2 4 3" xfId="14570" xr:uid="{C82656F7-9E9E-4ABE-9E8C-2D335237AF46}"/>
    <cellStyle name="Normal 4 3 2 2 5" xfId="8078" xr:uid="{8FE91F1F-D170-4353-B35C-077779D1C6F8}"/>
    <cellStyle name="Normal 4 3 2 2 5 2" xfId="18249" xr:uid="{E217D8AD-967C-4DF2-873F-941ADAAF4001}"/>
    <cellStyle name="Normal 4 3 2 2 5 3" xfId="14050" xr:uid="{BF1D8239-F696-4F8C-847C-1CCA4CFC10E1}"/>
    <cellStyle name="Normal 4 3 2 2 6" xfId="8657" xr:uid="{5E7369AE-B230-4C71-8CC9-016812B9C115}"/>
    <cellStyle name="Normal 4 3 2 2 6 2" xfId="18709" xr:uid="{12ABF9AF-D56B-47F5-8625-D5B4917A8ED8}"/>
    <cellStyle name="Normal 4 3 2 2 7" xfId="10124" xr:uid="{8CB1B3A4-8190-4616-8846-8D970DD68250}"/>
    <cellStyle name="Normal 4 3 2 2 8" xfId="10796" xr:uid="{EEFE5D94-9115-4FDA-808D-5799AD91F99B}"/>
    <cellStyle name="Normal 4 3 2 2 9" xfId="16152" xr:uid="{CBDBABF4-74E2-4A82-8020-E491144B486C}"/>
    <cellStyle name="Normal 4 3 2 3" xfId="4654" xr:uid="{B825F65F-2596-4B9E-A847-C3DA6A3EA347}"/>
    <cellStyle name="Normal 4 3 2 3 2" xfId="8079" xr:uid="{237AE739-E9CB-460A-976E-FB66D56DA996}"/>
    <cellStyle name="Normal 4 3 2 3 2 2" xfId="9086" xr:uid="{CE0B5E51-DF2E-4726-AA7B-48D0149ECE60}"/>
    <cellStyle name="Normal 4 3 2 3 2 2 2" xfId="19138" xr:uid="{99A529BE-DBF3-4052-B718-73021872486D}"/>
    <cellStyle name="Normal 4 3 2 3 2 3" xfId="16591" xr:uid="{90C6A213-D941-4D8E-96F6-D6A23E1F7F93}"/>
    <cellStyle name="Normal 4 3 2 3 2 4" xfId="15053" xr:uid="{E4FDA997-5734-4B03-82BB-17855AF6E31F}"/>
    <cellStyle name="Normal 4 3 2 3 3" xfId="8080" xr:uid="{8DE42B7D-BE39-4FF6-9457-A29FA4421077}"/>
    <cellStyle name="Normal 4 3 2 3 3 2" xfId="9534" xr:uid="{905A6B9D-3579-46A3-A9D9-861F6C0EAF2D}"/>
    <cellStyle name="Normal 4 3 2 3 3 2 2" xfId="19586" xr:uid="{B5A987A6-256F-4E5F-B088-B35843413957}"/>
    <cellStyle name="Normal 4 3 2 3 3 3" xfId="17037" xr:uid="{29C839CC-142A-48DB-8075-1A6DF13566DA}"/>
    <cellStyle name="Normal 4 3 2 3 3 4" xfId="15640" xr:uid="{B08824BC-F290-4A70-87CD-DA8FB29F2027}"/>
    <cellStyle name="Normal 4 3 2 3 4" xfId="8081" xr:uid="{EB8DF5C4-EE5D-4FB8-97C3-576089729709}"/>
    <cellStyle name="Normal 4 3 2 3 4 2" xfId="17639" xr:uid="{4F8F38D2-B96C-4725-90DA-E384971F2B3C}"/>
    <cellStyle name="Normal 4 3 2 3 4 3" xfId="14569" xr:uid="{D5D9FE10-54C7-43AB-AED3-7650777F244E}"/>
    <cellStyle name="Normal 4 3 2 3 5" xfId="8082" xr:uid="{E3157688-33D9-4CC7-BA66-F910C948BAFB}"/>
    <cellStyle name="Normal 4 3 2 3 5 2" xfId="18250" xr:uid="{97B26955-85FB-4ED4-84FE-2BD93BD2440F}"/>
    <cellStyle name="Normal 4 3 2 3 5 3" xfId="14227" xr:uid="{B5F818BD-21FD-41EC-AE76-7216A226B67D}"/>
    <cellStyle name="Normal 4 3 2 3 6" xfId="8658" xr:uid="{C792C9BA-DFE9-4C78-B8BE-12D55D8EA7DA}"/>
    <cellStyle name="Normal 4 3 2 3 6 2" xfId="18710" xr:uid="{D4D72D8B-193E-4CEF-9EEC-95AE1F9731B1}"/>
    <cellStyle name="Normal 4 3 2 3 7" xfId="10125" xr:uid="{51B03FCE-D02F-4166-A59F-4023C4E109DF}"/>
    <cellStyle name="Normal 4 3 2 3 8" xfId="10797" xr:uid="{ACF7F343-8A27-40FE-9E95-4718E791207D}"/>
    <cellStyle name="Normal 4 3 2 3 9" xfId="15850" xr:uid="{7B18CF2B-9E16-424C-84AB-C8FE56CBEAAC}"/>
    <cellStyle name="Normal 4 3 2 4" xfId="8083" xr:uid="{9BAAFFF1-A670-410B-B84C-0C838EBC1FD2}"/>
    <cellStyle name="Normal 4 3 2 4 2" xfId="8084" xr:uid="{273C3835-C1AD-4EAC-B084-50B789AB470A}"/>
    <cellStyle name="Normal 4 3 2 4 2 2" xfId="17372" xr:uid="{188C92E1-7C52-495C-A7A3-7F3351D42CAE}"/>
    <cellStyle name="Normal 4 3 2 4 3" xfId="8085" xr:uid="{1B968039-CC1D-4E7A-8AED-CFA3539B82DC}"/>
    <cellStyle name="Normal 4 3 2 4 3 2" xfId="17986" xr:uid="{188F25AA-CD1F-4D7B-BACD-5F761FDCE9F4}"/>
    <cellStyle name="Normal 4 3 2 4 4" xfId="8815" xr:uid="{B5D9D6E2-9684-4BCE-96AC-FCB2219EBC2A}"/>
    <cellStyle name="Normal 4 3 2 4 4 2" xfId="18867" xr:uid="{380DC6CA-B4ED-4B30-8A75-D9548C85330B}"/>
    <cellStyle name="Normal 4 3 2 4 5" xfId="9862" xr:uid="{6CB84E48-8E3F-464C-A322-9D5F423BAAED}"/>
    <cellStyle name="Normal 4 3 2 4 6" xfId="10798" xr:uid="{020A47E5-8413-45E0-B3D5-0855D58F35F7}"/>
    <cellStyle name="Normal 4 3 2 4 7" xfId="15297" xr:uid="{8149D4F5-E1F2-474D-8D25-1FB3E44717D6}"/>
    <cellStyle name="Normal 4 3 2 5" xfId="8086" xr:uid="{99557B94-080A-4E93-B7E2-8BDFB528232C}"/>
    <cellStyle name="Normal 4 3 2 5 2" xfId="9263" xr:uid="{870AC34C-14F2-4BD3-9379-EA7CE62278A5}"/>
    <cellStyle name="Normal 4 3 2 5 2 2" xfId="19315" xr:uid="{C7D4BF00-7026-429B-BFE7-9BB770CAA784}"/>
    <cellStyle name="Normal 4 3 2 5 3" xfId="16766" xr:uid="{1C770E02-D6BA-4A48-B26F-76E9B543BC65}"/>
    <cellStyle name="Normal 4 3 2 5 4" xfId="14902" xr:uid="{072CD1B0-1604-4459-B2EA-67305E2A0019}"/>
    <cellStyle name="Normal 4 3 2 6" xfId="8087" xr:uid="{A2268FBA-8862-40E6-B7DC-16214ED2CC7D}"/>
    <cellStyle name="Normal 4 3 2 6 2" xfId="17225" xr:uid="{57CEC332-B7D6-446B-8D03-673C8EB1C745}"/>
    <cellStyle name="Normal 4 3 2 6 3" xfId="15499" xr:uid="{CFD6AEE4-C700-4BB9-AA2D-118CE134D9F8}"/>
    <cellStyle name="Normal 4 3 2 7" xfId="8088" xr:uid="{BECFA550-762D-4F2A-B3BE-BCD180EDE327}"/>
    <cellStyle name="Normal 4 3 2 7 2" xfId="17835" xr:uid="{69BCD670-4824-4E48-832D-97BF4F3B15A9}"/>
    <cellStyle name="Normal 4 3 2 7 3" xfId="14445" xr:uid="{002BE496-B886-4627-908D-5B60BEC2CB1E}"/>
    <cellStyle name="Normal 4 3 2 8" xfId="8387" xr:uid="{B1C97953-71BE-4D98-A20F-DAD8382EDDD2}"/>
    <cellStyle name="Normal 4 3 2 8 2" xfId="18439" xr:uid="{2872C452-AEC9-4E9B-BCA5-EE04686139DE}"/>
    <cellStyle name="Normal 4 3 2 9" xfId="9716" xr:uid="{C3B6FEAA-9E76-4A33-A880-66F05EECD6FD}"/>
    <cellStyle name="Normal 4 3 20" xfId="11121" xr:uid="{2062D823-5085-4872-B926-C37B8E68A271}"/>
    <cellStyle name="Normal 4 3 21" xfId="11259" xr:uid="{42A4675A-CD38-4715-895B-A472112C3782}"/>
    <cellStyle name="Normal 4 3 22" xfId="12542" xr:uid="{86D6F3AA-1E6F-4BF0-8334-E060344240DB}"/>
    <cellStyle name="Normal 4 3 23" xfId="12581" xr:uid="{A752F6F4-257E-4B50-8509-26B4459FAD7C}"/>
    <cellStyle name="Normal 4 3 3" xfId="4655" xr:uid="{DDC0F5C8-D93F-4F06-97EE-703DDA72AFC4}"/>
    <cellStyle name="Normal 4 3 3 2" xfId="8089" xr:uid="{9AB86E71-2759-4481-B157-0C16069BAAD8}"/>
    <cellStyle name="Normal 4 3 3 2 2" xfId="9087" xr:uid="{27B80243-1B58-40EF-976E-8417BD4C97B0}"/>
    <cellStyle name="Normal 4 3 3 2 2 2" xfId="19139" xr:uid="{29394802-62F7-427D-906D-4769DEBB74BE}"/>
    <cellStyle name="Normal 4 3 3 2 3" xfId="16592" xr:uid="{2F9F060D-A591-4572-A683-223C34D0D448}"/>
    <cellStyle name="Normal 4 3 3 2 4" xfId="15052" xr:uid="{6E62C286-5F2C-46B4-A6A2-A99AD03F6E44}"/>
    <cellStyle name="Normal 4 3 3 3" xfId="8090" xr:uid="{E4EFCBE3-A386-49F9-89B8-99290CFCA77B}"/>
    <cellStyle name="Normal 4 3 3 3 2" xfId="9535" xr:uid="{A6214AF5-01F8-472B-B811-B77717C64578}"/>
    <cellStyle name="Normal 4 3 3 3 2 2" xfId="19587" xr:uid="{CEF5ACCD-87A7-4144-BB8A-22040E4B1E0F}"/>
    <cellStyle name="Normal 4 3 3 3 3" xfId="17038" xr:uid="{889184FA-D1C6-439B-A09C-59C4DE993556}"/>
    <cellStyle name="Normal 4 3 3 3 4" xfId="15639" xr:uid="{3C60418D-6AEC-4A8E-B44C-2A2B43B8EF1D}"/>
    <cellStyle name="Normal 4 3 3 4" xfId="8091" xr:uid="{EEB41804-FC81-437F-8599-2BC11F2F3F95}"/>
    <cellStyle name="Normal 4 3 3 4 2" xfId="17640" xr:uid="{D7ADE66A-E18D-497D-BD38-DDAC3CA9E91D}"/>
    <cellStyle name="Normal 4 3 3 4 3" xfId="14568" xr:uid="{DE8DA73C-6B6A-4CA9-97A0-62481D5D6BBC}"/>
    <cellStyle name="Normal 4 3 3 5" xfId="8092" xr:uid="{B4ACDAA2-7080-4D18-8108-E0AD4E6FA21F}"/>
    <cellStyle name="Normal 4 3 3 5 2" xfId="18251" xr:uid="{F94ED233-D45E-4A77-96D5-E0EC74C1564B}"/>
    <cellStyle name="Normal 4 3 3 5 3" xfId="14226" xr:uid="{8424D9BB-0A2D-4D20-8028-E160FCE6BCB4}"/>
    <cellStyle name="Normal 4 3 3 6" xfId="8659" xr:uid="{45988D29-A5D9-4B4A-BDD2-7058598AB9D7}"/>
    <cellStyle name="Normal 4 3 3 6 2" xfId="18711" xr:uid="{368C4F0E-AC75-4BE5-8059-E30130073423}"/>
    <cellStyle name="Normal 4 3 3 7" xfId="10126" xr:uid="{0717EA1E-E884-4A6F-B4F3-BE67FDAD11C9}"/>
    <cellStyle name="Normal 4 3 3 8" xfId="10799" xr:uid="{707934B4-D0B0-426B-9178-58A24E1CF610}"/>
    <cellStyle name="Normal 4 3 3 9" xfId="11296" xr:uid="{769BEB48-4E59-4A88-B480-A6C0E810C5AB}"/>
    <cellStyle name="Normal 4 3 3 9 2" xfId="15394" xr:uid="{81587E9C-228A-4B0B-A312-D7A5A13CD1CF}"/>
    <cellStyle name="Normal 4 3 3 9 3" xfId="20531" xr:uid="{57CD196B-598A-4FC3-B89A-6432A044FDDB}"/>
    <cellStyle name="Normal 4 3 4" xfId="4656" xr:uid="{125329BE-58DC-45B7-B292-5F9B7A642540}"/>
    <cellStyle name="Normal 4 3 4 2" xfId="8093" xr:uid="{0B61C723-8818-498A-A61E-0A3EADFFE5BF}"/>
    <cellStyle name="Normal 4 3 4 2 2" xfId="9088" xr:uid="{6F1374D3-D90E-4F4F-B4F0-3F113AB77FD6}"/>
    <cellStyle name="Normal 4 3 4 2 2 2" xfId="19140" xr:uid="{9FE25D9B-5A05-4EAC-AAE1-64DB1B8B2786}"/>
    <cellStyle name="Normal 4 3 4 2 3" xfId="16593" xr:uid="{CA651646-B8F0-47B1-81EE-28C521EC7EBF}"/>
    <cellStyle name="Normal 4 3 4 2 4" xfId="15051" xr:uid="{A6A2B986-E8BB-4BC9-A3A1-A1B163E54B07}"/>
    <cellStyle name="Normal 4 3 4 3" xfId="8094" xr:uid="{4F88F027-111B-47D3-BDE0-09B16D73CC90}"/>
    <cellStyle name="Normal 4 3 4 3 2" xfId="9536" xr:uid="{35C0AAE1-3D29-4EE0-883A-AFD97C003208}"/>
    <cellStyle name="Normal 4 3 4 3 2 2" xfId="19588" xr:uid="{11A46D7D-4B37-4191-9E63-98815FCAE44B}"/>
    <cellStyle name="Normal 4 3 4 3 3" xfId="17039" xr:uid="{19F3C434-8E99-42B8-838D-FA4E7AE2B021}"/>
    <cellStyle name="Normal 4 3 4 3 4" xfId="15638" xr:uid="{4E56C52F-A0B8-405D-AD72-69066C61F054}"/>
    <cellStyle name="Normal 4 3 4 4" xfId="8095" xr:uid="{C2EF9A6A-F63E-4CB5-B03C-10F6C2F7C74F}"/>
    <cellStyle name="Normal 4 3 4 4 2" xfId="17641" xr:uid="{C2C540AE-82B4-483B-907E-F9270B6395D4}"/>
    <cellStyle name="Normal 4 3 4 4 3" xfId="14567" xr:uid="{B5308A4D-7F61-407F-9680-3ECA5BFE1CDB}"/>
    <cellStyle name="Normal 4 3 4 5" xfId="8096" xr:uid="{3B68FACF-E9BB-4A9D-BBDD-25015AED28D2}"/>
    <cellStyle name="Normal 4 3 4 5 2" xfId="18252" xr:uid="{1FB35441-F479-464D-8A0E-43FAC1F08517}"/>
    <cellStyle name="Normal 4 3 4 5 3" xfId="14225" xr:uid="{9524F713-3815-4F2F-9942-AD8D49F7530F}"/>
    <cellStyle name="Normal 4 3 4 6" xfId="8660" xr:uid="{41F030F2-D640-4955-B125-9FBFD5CA6F32}"/>
    <cellStyle name="Normal 4 3 4 6 2" xfId="18712" xr:uid="{E935F478-A68B-415D-B175-FAA8F7392CF0}"/>
    <cellStyle name="Normal 4 3 4 7" xfId="10127" xr:uid="{99D2271E-9DCF-4A7C-9271-BB08B6AB7301}"/>
    <cellStyle name="Normal 4 3 4 8" xfId="10800" xr:uid="{3309C0C0-BC4F-4551-BC21-63D03252BF84}"/>
    <cellStyle name="Normal 4 3 4 9" xfId="11815" xr:uid="{5F16475D-75C8-47A3-8E33-32E9F82F0BAB}"/>
    <cellStyle name="Normal 4 3 4 9 2" xfId="15849" xr:uid="{14F26289-4FDE-4ABD-B244-0C5113350BC3}"/>
    <cellStyle name="Normal 4 3 4 9 3" xfId="20622" xr:uid="{D8FA57F7-D542-4F7D-93CB-34FB1E435524}"/>
    <cellStyle name="Normal 4 3 5" xfId="8097" xr:uid="{8A659E0A-96E1-4135-946F-6240A3D76C98}"/>
    <cellStyle name="Normal 4 3 5 2" xfId="8098" xr:uid="{FDAE8862-C568-4B19-93AF-953ED9EE50F8}"/>
    <cellStyle name="Normal 4 3 5 2 2" xfId="17371" xr:uid="{9BF159B0-81AD-4C60-B630-E0507969809E}"/>
    <cellStyle name="Normal 4 3 5 3" xfId="8099" xr:uid="{489968BF-8FFB-48CD-B8B0-0A50820A8DB1}"/>
    <cellStyle name="Normal 4 3 5 3 2" xfId="17985" xr:uid="{B739903E-BD55-4E6B-992F-EBF8BDCC1E23}"/>
    <cellStyle name="Normal 4 3 5 4" xfId="8814" xr:uid="{00236029-E50E-41B5-94E5-41656C8764E1}"/>
    <cellStyle name="Normal 4 3 5 4 2" xfId="18866" xr:uid="{06A315EB-B58B-47BE-8074-7883B937D4F0}"/>
    <cellStyle name="Normal 4 3 5 5" xfId="9861" xr:uid="{78D66EB6-958D-46B6-811D-6D996D9714EE}"/>
    <cellStyle name="Normal 4 3 5 6" xfId="10801" xr:uid="{F735A39A-2DD4-4912-A524-2F778E370B0C}"/>
    <cellStyle name="Normal 4 3 5 7" xfId="11708" xr:uid="{1745AB3F-030D-4DF9-B09F-AA8177F182FF}"/>
    <cellStyle name="Normal 4 3 5 7 2" xfId="15298" xr:uid="{CCCBD52C-E4D7-48A3-804A-BB38504F2532}"/>
    <cellStyle name="Normal 4 3 5 7 3" xfId="20590" xr:uid="{0C0FC9AF-489A-49C1-A470-75894F3FB295}"/>
    <cellStyle name="Normal 4 3 6" xfId="8100" xr:uid="{5C380D5F-10C6-40B3-A393-86D75206039C}"/>
    <cellStyle name="Normal 4 3 6 2" xfId="9262" xr:uid="{2AEDB067-1F1C-4202-92A0-265CE0B00C82}"/>
    <cellStyle name="Normal 4 3 6 2 2" xfId="19314" xr:uid="{97E4A58E-2CB8-44E0-9DA3-714836A9EC0D}"/>
    <cellStyle name="Normal 4 3 6 3" xfId="11816" xr:uid="{03604F3F-62E5-4173-A3D8-868B2F22B50B}"/>
    <cellStyle name="Normal 4 3 6 3 2" xfId="16765" xr:uid="{A248C7BC-D41D-479D-BB16-D933DEC156C3}"/>
    <cellStyle name="Normal 4 3 6 3 3" xfId="20623" xr:uid="{04A7EEF0-C196-4123-837B-152935F805FB}"/>
    <cellStyle name="Normal 4 3 6 4" xfId="14903" xr:uid="{5EB7B5F4-C224-4D65-9B04-2DCA67FBA89D}"/>
    <cellStyle name="Normal 4 3 7" xfId="8101" xr:uid="{74C99EFC-7FB4-4B4E-AC44-4894AB6E827B}"/>
    <cellStyle name="Normal 4 3 7 2" xfId="11340" xr:uid="{204296D2-83CA-4670-9D4A-358E56CB243D}"/>
    <cellStyle name="Normal 4 3 7 2 2" xfId="17224" xr:uid="{DDECC69E-97E1-4F85-BBBC-3814EF0B1DFB}"/>
    <cellStyle name="Normal 4 3 7 2 3" xfId="20545" xr:uid="{D2033580-A910-4920-8B34-3F6EBA0C0ABF}"/>
    <cellStyle name="Normal 4 3 7 3" xfId="15500" xr:uid="{6A0E737C-CDF9-4D2E-84B1-8C7B06FD8835}"/>
    <cellStyle name="Normal 4 3 8" xfId="8102" xr:uid="{9C358D6F-7340-489C-BFE7-137502792753}"/>
    <cellStyle name="Normal 4 3 8 2" xfId="11387" xr:uid="{833C4E92-DF95-427B-B20D-57D9AB14F901}"/>
    <cellStyle name="Normal 4 3 8 2 2" xfId="17834" xr:uid="{287F80E7-C101-461A-94BB-491AFBF7ACB1}"/>
    <cellStyle name="Normal 4 3 8 2 3" xfId="20560" xr:uid="{733B18A7-0D58-4741-9DBB-21727536A288}"/>
    <cellStyle name="Normal 4 3 8 3" xfId="14446" xr:uid="{DED7D26F-2611-416F-8855-58391586129C}"/>
    <cellStyle name="Normal 4 3 9" xfId="8386" xr:uid="{7AA8F762-CCFD-4E9E-B602-B988E083F06B}"/>
    <cellStyle name="Normal 4 3 9 2" xfId="11438" xr:uid="{106457CB-219D-4E74-A270-4D844F155205}"/>
    <cellStyle name="Normal 4 3 9 2 2" xfId="18438" xr:uid="{5C9C8515-C2FD-4E66-AC5F-917C35C4A83A}"/>
    <cellStyle name="Normal 4 3 9 2 3" xfId="20574" xr:uid="{3B8CE43D-BA38-4CBD-8300-CBB6A829C53A}"/>
    <cellStyle name="Normal 4 4" xfId="2905" xr:uid="{57EA0980-FF8F-4973-B1A4-FF0FFFFE9DEB}"/>
    <cellStyle name="Normal 4 4 10" xfId="9717" xr:uid="{57FB3BB5-C27F-4A74-BB5D-CDFBB9B8D87A}"/>
    <cellStyle name="Normal 4 4 11" xfId="10372" xr:uid="{E48E0A41-F5ED-4C33-B62F-B6BF4FC04A30}"/>
    <cellStyle name="Normal 4 4 12" xfId="11817" xr:uid="{DB6E5658-8A28-4827-A880-87143D437951}"/>
    <cellStyle name="Normal 4 4 12 2" xfId="16075" xr:uid="{CCDA0471-25FD-445B-BBE8-6D0C94543E83}"/>
    <cellStyle name="Normal 4 4 12 3" xfId="20624" xr:uid="{9A067539-4E1E-4C81-9A84-9FC90718E9E6}"/>
    <cellStyle name="Normal 4 4 2" xfId="2906" xr:uid="{44661552-B6FC-490F-92D3-19ED33DFDF0C}"/>
    <cellStyle name="Normal 4 4 2 10" xfId="10373" xr:uid="{C56F3BD5-B8E9-480C-9F27-92663299F233}"/>
    <cellStyle name="Normal 4 4 2 11" xfId="16074" xr:uid="{447E0D26-FFAE-4EF8-BB46-01B56CAF847F}"/>
    <cellStyle name="Normal 4 4 2 2" xfId="4657" xr:uid="{71E0E7EC-0F8E-47A5-A5E7-293D70528BC5}"/>
    <cellStyle name="Normal 4 4 2 2 2" xfId="8103" xr:uid="{671E084E-DB38-4809-AE03-F7E5C77B06A4}"/>
    <cellStyle name="Normal 4 4 2 2 2 2" xfId="9089" xr:uid="{BFDEB66A-5EE3-447E-B274-1E3341C16D41}"/>
    <cellStyle name="Normal 4 4 2 2 2 2 2" xfId="19141" xr:uid="{4DD1DDA7-6C25-4742-BD68-F71261A162B7}"/>
    <cellStyle name="Normal 4 4 2 2 2 3" xfId="16594" xr:uid="{0FB37D63-872F-4E87-B7A8-81572222BDA3}"/>
    <cellStyle name="Normal 4 4 2 2 2 4" xfId="15050" xr:uid="{505783A8-7BF9-47C2-9CE9-ED0EE2717A3C}"/>
    <cellStyle name="Normal 4 4 2 2 3" xfId="8104" xr:uid="{293349DB-2E75-4174-9352-75C0C916A4A8}"/>
    <cellStyle name="Normal 4 4 2 2 3 2" xfId="9537" xr:uid="{AE0FF773-7CCB-4762-BF2D-491B1C2C4BB8}"/>
    <cellStyle name="Normal 4 4 2 2 3 2 2" xfId="19589" xr:uid="{FFF817A0-698B-4038-A5E6-D825AB14D1DB}"/>
    <cellStyle name="Normal 4 4 2 2 3 3" xfId="17040" xr:uid="{95FCF942-9D45-4EDC-A7AB-61C51F9675DA}"/>
    <cellStyle name="Normal 4 4 2 2 3 4" xfId="14820" xr:uid="{5360916E-8660-4BDD-8416-2935256AD7A5}"/>
    <cellStyle name="Normal 4 4 2 2 4" xfId="8105" xr:uid="{B06FD90B-15E1-4DA6-8E27-2492C11586CD}"/>
    <cellStyle name="Normal 4 4 2 2 4 2" xfId="17642" xr:uid="{E35C75F9-F07F-4D56-B3E6-6154D684115B}"/>
    <cellStyle name="Normal 4 4 2 2 4 3" xfId="14566" xr:uid="{B44B80C3-B026-4AEC-9861-4F6C4F83959F}"/>
    <cellStyle name="Normal 4 4 2 2 5" xfId="8106" xr:uid="{66A1F656-CAD6-47A8-8021-A6B381F9D5E2}"/>
    <cellStyle name="Normal 4 4 2 2 5 2" xfId="18253" xr:uid="{3C7F85A2-053B-4A35-AA86-931D5350E169}"/>
    <cellStyle name="Normal 4 4 2 2 5 3" xfId="14224" xr:uid="{F4684958-1A6A-40E2-A940-5BEA8655BA69}"/>
    <cellStyle name="Normal 4 4 2 2 6" xfId="8661" xr:uid="{7AE84F31-C448-4470-8C16-1242908442B8}"/>
    <cellStyle name="Normal 4 4 2 2 6 2" xfId="18713" xr:uid="{9EC3FBAA-CB24-4221-A176-6669C2418F6B}"/>
    <cellStyle name="Normal 4 4 2 2 7" xfId="10128" xr:uid="{8943B0DD-7593-4136-A917-9FE2EA4687FB}"/>
    <cellStyle name="Normal 4 4 2 2 8" xfId="10802" xr:uid="{DAC9E099-2CE0-4C6E-9D33-06118A702DF0}"/>
    <cellStyle name="Normal 4 4 2 2 9" xfId="15848" xr:uid="{49CF034B-5606-43BA-9153-F7D8C1E66565}"/>
    <cellStyle name="Normal 4 4 2 3" xfId="4658" xr:uid="{8C1BD798-7675-4525-9E60-9FC2FC0C1194}"/>
    <cellStyle name="Normal 4 4 2 3 2" xfId="8107" xr:uid="{86857C41-D727-40EF-B60A-70BF07496DD1}"/>
    <cellStyle name="Normal 4 4 2 3 2 2" xfId="9090" xr:uid="{8E0AFB1E-1D1F-4839-AF14-634D93B13393}"/>
    <cellStyle name="Normal 4 4 2 3 2 2 2" xfId="19142" xr:uid="{0FB0230B-9CCE-4AEB-B868-23D650EA9737}"/>
    <cellStyle name="Normal 4 4 2 3 2 3" xfId="16595" xr:uid="{A1603E8A-5543-4E88-B24D-0A174B1AD007}"/>
    <cellStyle name="Normal 4 4 2 3 2 4" xfId="15049" xr:uid="{BBA98D57-5245-4310-AC90-62CBFC714408}"/>
    <cellStyle name="Normal 4 4 2 3 3" xfId="8108" xr:uid="{E3C88321-201D-4D44-84C2-3327897C3A10}"/>
    <cellStyle name="Normal 4 4 2 3 3 2" xfId="9538" xr:uid="{11043836-4263-4320-BD22-1B0B09998223}"/>
    <cellStyle name="Normal 4 4 2 3 3 2 2" xfId="19590" xr:uid="{FD811232-BF52-4920-B18D-2944202BCBDC}"/>
    <cellStyle name="Normal 4 4 2 3 3 3" xfId="17041" xr:uid="{66FD7606-C6FD-4A33-8FDC-42C328768DD8}"/>
    <cellStyle name="Normal 4 4 2 3 3 4" xfId="15637" xr:uid="{317E9D16-773A-4BC8-BC33-D35D9C8A4FC8}"/>
    <cellStyle name="Normal 4 4 2 3 4" xfId="8109" xr:uid="{36DF705D-2063-4B88-BC87-65533F5CF46F}"/>
    <cellStyle name="Normal 4 4 2 3 4 2" xfId="17643" xr:uid="{35CCD66D-4458-4103-A1DA-9EFC21E4AD74}"/>
    <cellStyle name="Normal 4 4 2 3 4 3" xfId="14565" xr:uid="{F6DB2859-6592-4DB5-8A22-44FA93D25D76}"/>
    <cellStyle name="Normal 4 4 2 3 5" xfId="8110" xr:uid="{86F62A54-BAFD-4677-A049-ACE1965E311A}"/>
    <cellStyle name="Normal 4 4 2 3 5 2" xfId="18254" xr:uid="{2C74EDB2-9E79-4857-9627-885E1F26C862}"/>
    <cellStyle name="Normal 4 4 2 3 5 3" xfId="14223" xr:uid="{9E717D0B-6387-4CBC-8DCF-BE6427BA4113}"/>
    <cellStyle name="Normal 4 4 2 3 6" xfId="8662" xr:uid="{AA9A59D2-61F7-4116-8DEB-062151F8B777}"/>
    <cellStyle name="Normal 4 4 2 3 6 2" xfId="18714" xr:uid="{3E54C3CC-F194-4E0F-A60C-214F97DED02C}"/>
    <cellStyle name="Normal 4 4 2 3 7" xfId="10129" xr:uid="{D2B6EA07-A954-4807-A2D6-F94C25907EE1}"/>
    <cellStyle name="Normal 4 4 2 3 8" xfId="10803" xr:uid="{11D36992-C68E-479C-80CE-00920E961754}"/>
    <cellStyle name="Normal 4 4 2 3 9" xfId="15847" xr:uid="{82ADF103-9F2B-486C-8AD7-C4C3B69DEA5F}"/>
    <cellStyle name="Normal 4 4 2 4" xfId="8111" xr:uid="{01222D17-D9FB-46C0-8C76-55FD0CF030B1}"/>
    <cellStyle name="Normal 4 4 2 4 2" xfId="8112" xr:uid="{81B5D2AC-EBD9-412E-9F6A-D9E2F9F91030}"/>
    <cellStyle name="Normal 4 4 2 4 2 2" xfId="17374" xr:uid="{EFA6CB51-9259-4397-A479-0BEEEAB7B28C}"/>
    <cellStyle name="Normal 4 4 2 4 3" xfId="8113" xr:uid="{9D7B5FC5-8608-433A-B5C8-310F80970238}"/>
    <cellStyle name="Normal 4 4 2 4 3 2" xfId="17988" xr:uid="{42F79ADF-6B14-4CF8-A585-BC0339275BFD}"/>
    <cellStyle name="Normal 4 4 2 4 4" xfId="8817" xr:uid="{002240CB-5713-45E6-88F3-3D4423275CDB}"/>
    <cellStyle name="Normal 4 4 2 4 4 2" xfId="18869" xr:uid="{F6C1F83C-5A75-40A0-8702-EAB4C5090057}"/>
    <cellStyle name="Normal 4 4 2 4 5" xfId="9864" xr:uid="{D1F698A5-9E89-4908-B594-1E5C98DAD8AB}"/>
    <cellStyle name="Normal 4 4 2 4 6" xfId="10804" xr:uid="{2B2389CE-AECD-42AA-8951-8139EFBCAF45}"/>
    <cellStyle name="Normal 4 4 2 4 7" xfId="15295" xr:uid="{30947587-0808-47C2-ADD9-16FE3E87C5BE}"/>
    <cellStyle name="Normal 4 4 2 5" xfId="8114" xr:uid="{F465E4DF-8449-4543-9D9D-28CCD6C13EBC}"/>
    <cellStyle name="Normal 4 4 2 5 2" xfId="9265" xr:uid="{2DF6F7B2-54AF-423B-AA17-B37012DB8C31}"/>
    <cellStyle name="Normal 4 4 2 5 2 2" xfId="19317" xr:uid="{4E16CF77-B27C-4DFE-9AF1-3F8FD58E3A8D}"/>
    <cellStyle name="Normal 4 4 2 5 3" xfId="16768" xr:uid="{0F60E5EA-F24E-4430-A330-F9C285B3DDE7}"/>
    <cellStyle name="Normal 4 4 2 5 4" xfId="14900" xr:uid="{4DA84604-10FB-42A9-8761-058296FDD36A}"/>
    <cellStyle name="Normal 4 4 2 6" xfId="8115" xr:uid="{7030B3CE-64FD-445D-9818-65B86EA2A789}"/>
    <cellStyle name="Normal 4 4 2 6 2" xfId="17227" xr:uid="{9531ED20-EEA7-465C-A39A-500599965D28}"/>
    <cellStyle name="Normal 4 4 2 6 3" xfId="15497" xr:uid="{D770BB15-75CB-474F-812A-BEC0D8E8173D}"/>
    <cellStyle name="Normal 4 4 2 7" xfId="8116" xr:uid="{25D1C283-6B99-42E7-A5DE-B25E3195F607}"/>
    <cellStyle name="Normal 4 4 2 7 2" xfId="17837" xr:uid="{94FC0807-B9A3-49A4-83C7-8502536CDB8B}"/>
    <cellStyle name="Normal 4 4 2 7 3" xfId="14443" xr:uid="{05E3C95F-59A4-479F-8EEC-3AF4A6DE5BF1}"/>
    <cellStyle name="Normal 4 4 2 8" xfId="8389" xr:uid="{336873BE-10ED-4D5A-BEC5-9AEAAE51FC53}"/>
    <cellStyle name="Normal 4 4 2 8 2" xfId="18441" xr:uid="{592504BA-4A24-44B1-9073-D49CE3F6E7B2}"/>
    <cellStyle name="Normal 4 4 2 9" xfId="9718" xr:uid="{6344E4F2-E10C-4999-A4E7-BFED062E33F1}"/>
    <cellStyle name="Normal 4 4 3" xfId="4659" xr:uid="{539DC71B-0AC0-4B55-9349-7DF5E24CA9CA}"/>
    <cellStyle name="Normal 4 4 3 2" xfId="8117" xr:uid="{4B55226E-B6C5-443A-81CE-EEBBF41753FE}"/>
    <cellStyle name="Normal 4 4 3 2 2" xfId="9091" xr:uid="{0485621C-DF69-4C89-88E0-072C63EC5641}"/>
    <cellStyle name="Normal 4 4 3 2 2 2" xfId="19143" xr:uid="{6C4DDDC7-8F8B-4A2D-8A85-07FCC10181EF}"/>
    <cellStyle name="Normal 4 4 3 2 3" xfId="16596" xr:uid="{9D7013F8-3CA9-45B7-9398-554AACE963C9}"/>
    <cellStyle name="Normal 4 4 3 2 4" xfId="15048" xr:uid="{CB8E7A81-FD44-4018-B6C3-59E522148FE6}"/>
    <cellStyle name="Normal 4 4 3 3" xfId="8118" xr:uid="{A324B4F5-1365-4111-BB04-F11E76B8E4A9}"/>
    <cellStyle name="Normal 4 4 3 3 2" xfId="9539" xr:uid="{0ED89C57-E9A3-4013-BC56-80CEE72BAC64}"/>
    <cellStyle name="Normal 4 4 3 3 2 2" xfId="19591" xr:uid="{5983B525-4387-4F16-92D9-1DCB965A76C0}"/>
    <cellStyle name="Normal 4 4 3 3 3" xfId="17042" xr:uid="{268CC42E-EB3D-4891-A057-59E43026C8D6}"/>
    <cellStyle name="Normal 4 4 3 3 4" xfId="15636" xr:uid="{248E31A6-7180-4AF9-A406-1367420740B6}"/>
    <cellStyle name="Normal 4 4 3 4" xfId="8119" xr:uid="{093870E9-CF38-4FEC-9F86-B5F0221CC6A7}"/>
    <cellStyle name="Normal 4 4 3 4 2" xfId="17644" xr:uid="{D0070208-D51E-4BDD-AA1D-5A1622EB3176}"/>
    <cellStyle name="Normal 4 4 3 4 3" xfId="14564" xr:uid="{2070C75C-A238-4900-8100-3E18C8F0A64D}"/>
    <cellStyle name="Normal 4 4 3 5" xfId="8120" xr:uid="{C91767E2-90CF-4A9E-82CC-6D0CB63F56C8}"/>
    <cellStyle name="Normal 4 4 3 5 2" xfId="18255" xr:uid="{8455CAE4-763C-4AAD-B0B9-9774B2F21055}"/>
    <cellStyle name="Normal 4 4 3 5 3" xfId="14222" xr:uid="{06BF0109-FE9D-48FD-B9A1-5967CCDCDA45}"/>
    <cellStyle name="Normal 4 4 3 6" xfId="8663" xr:uid="{6CAA68BF-7E97-4182-B2E7-BC43F8A2209E}"/>
    <cellStyle name="Normal 4 4 3 6 2" xfId="18715" xr:uid="{D3B80821-3C29-4704-A2C4-7E529EF977BF}"/>
    <cellStyle name="Normal 4 4 3 7" xfId="10130" xr:uid="{DA244F75-0E43-4286-BEEE-33A3B8756462}"/>
    <cellStyle name="Normal 4 4 3 8" xfId="10805" xr:uid="{DD347FF3-A7DE-4038-8E78-E82C272CE424}"/>
    <cellStyle name="Normal 4 4 3 9" xfId="15846" xr:uid="{E629DD7E-5440-46FD-8963-1F3653673BA3}"/>
    <cellStyle name="Normal 4 4 4" xfId="4660" xr:uid="{5A60B07E-FCC7-4F5F-81F0-6DA502D2F4AC}"/>
    <cellStyle name="Normal 4 4 4 2" xfId="8121" xr:uid="{DA077CC4-C90D-4B9B-ACE5-B0BDD4657491}"/>
    <cellStyle name="Normal 4 4 4 2 2" xfId="9092" xr:uid="{F70109AF-DAE2-40BA-A371-9D4BD2C1C275}"/>
    <cellStyle name="Normal 4 4 4 2 2 2" xfId="19144" xr:uid="{0BD055F8-31DD-41C6-9C2B-8775B762EEF6}"/>
    <cellStyle name="Normal 4 4 4 2 3" xfId="16597" xr:uid="{BDA117B3-59C3-4BCC-9648-8DFE60D624DC}"/>
    <cellStyle name="Normal 4 4 4 2 4" xfId="15047" xr:uid="{363CFC93-1BB9-4FD3-9D86-DC8B77E68A9F}"/>
    <cellStyle name="Normal 4 4 4 3" xfId="8122" xr:uid="{3BA6AA43-63BB-4DD7-8139-A06CF0EC7F2A}"/>
    <cellStyle name="Normal 4 4 4 3 2" xfId="9540" xr:uid="{FB3D1B64-9014-4DE1-863F-DC9FD92419E1}"/>
    <cellStyle name="Normal 4 4 4 3 2 2" xfId="19592" xr:uid="{813D568D-D720-4688-9354-7DA3DCBFAB14}"/>
    <cellStyle name="Normal 4 4 4 3 3" xfId="17043" xr:uid="{4B87A26F-3092-4406-B481-9337D8ABB650}"/>
    <cellStyle name="Normal 4 4 4 3 4" xfId="15468" xr:uid="{0A62C65A-788C-409E-9D05-2B9046614B1A}"/>
    <cellStyle name="Normal 4 4 4 4" xfId="8123" xr:uid="{C19E4D07-66C5-4846-85A5-14A0252C314B}"/>
    <cellStyle name="Normal 4 4 4 4 2" xfId="17645" xr:uid="{AA300128-B6FA-4378-97EF-1F112C8C1AA9}"/>
    <cellStyle name="Normal 4 4 4 4 3" xfId="14563" xr:uid="{005422F8-7A3B-446C-B042-0172FEEF2814}"/>
    <cellStyle name="Normal 4 4 4 5" xfId="8124" xr:uid="{D8A51C69-C980-4102-8D4C-EFB08410155A}"/>
    <cellStyle name="Normal 4 4 4 5 2" xfId="18256" xr:uid="{E2908F83-FB67-43D0-8661-6962620B45D5}"/>
    <cellStyle name="Normal 4 4 4 5 3" xfId="14221" xr:uid="{0FEE64BB-C38E-431B-ABB9-F6601E1D354B}"/>
    <cellStyle name="Normal 4 4 4 6" xfId="8664" xr:uid="{83AD37C8-0E89-48A3-97C6-40C89CB9FEB4}"/>
    <cellStyle name="Normal 4 4 4 6 2" xfId="18716" xr:uid="{22ADB0BC-C4E7-4A39-B9F1-BA778382C3D8}"/>
    <cellStyle name="Normal 4 4 4 7" xfId="10131" xr:uid="{08A22DC3-1270-4540-BC48-832A27F67256}"/>
    <cellStyle name="Normal 4 4 4 8" xfId="10806" xr:uid="{C84187E0-B449-46CB-913B-2B5F76A2730A}"/>
    <cellStyle name="Normal 4 4 4 9" xfId="15845" xr:uid="{343DC6E2-92FD-4F00-884E-1169B9344EAC}"/>
    <cellStyle name="Normal 4 4 5" xfId="8125" xr:uid="{E13EE9F6-36F0-4EED-9A7F-E2B2690E1891}"/>
    <cellStyle name="Normal 4 4 5 2" xfId="8126" xr:uid="{9AA992DC-47AF-4EF4-981A-98A8AE7212D9}"/>
    <cellStyle name="Normal 4 4 5 2 2" xfId="17373" xr:uid="{7C49B2FE-01A3-4DED-9955-6010AEB883F0}"/>
    <cellStyle name="Normal 4 4 5 3" xfId="8127" xr:uid="{5DA60913-6144-4AC2-A38C-1BED6FA8C8FB}"/>
    <cellStyle name="Normal 4 4 5 3 2" xfId="17987" xr:uid="{33F8174C-0792-4595-86C6-90F6AC001003}"/>
    <cellStyle name="Normal 4 4 5 4" xfId="8816" xr:uid="{4E9554DE-07E6-4B36-BD60-E9AA3298BDB9}"/>
    <cellStyle name="Normal 4 4 5 4 2" xfId="18868" xr:uid="{2BF996F8-BED3-4281-A868-BBAEA3703143}"/>
    <cellStyle name="Normal 4 4 5 5" xfId="9863" xr:uid="{9100CD98-2F78-41D4-87AE-85F3D9DCD3A2}"/>
    <cellStyle name="Normal 4 4 5 6" xfId="10807" xr:uid="{CEE9BCD5-6B1C-4D7D-9679-E0B090DCC681}"/>
    <cellStyle name="Normal 4 4 5 7" xfId="15296" xr:uid="{8FD778AC-45BF-43BE-B5BD-CD2BCA255AA1}"/>
    <cellStyle name="Normal 4 4 6" xfId="8128" xr:uid="{CDF16DC5-D123-4328-AD64-BADF4CFA74CF}"/>
    <cellStyle name="Normal 4 4 6 2" xfId="9264" xr:uid="{0D9A182B-4087-4918-8F5A-1C14D6E52F2C}"/>
    <cellStyle name="Normal 4 4 6 2 2" xfId="19316" xr:uid="{BA762AD9-52DB-4DB7-915F-D6529556E1FC}"/>
    <cellStyle name="Normal 4 4 6 3" xfId="16767" xr:uid="{C3A27FB4-F493-42AF-AA71-CC7ADF55038F}"/>
    <cellStyle name="Normal 4 4 6 4" xfId="14901" xr:uid="{A0645475-FC0C-48C9-9E5B-23548D0E695C}"/>
    <cellStyle name="Normal 4 4 7" xfId="8129" xr:uid="{BDF055E8-BAB8-475A-9A16-A859A02F87D7}"/>
    <cellStyle name="Normal 4 4 7 2" xfId="17226" xr:uid="{8389003F-F39D-45BF-A3C7-AE9F082312E9}"/>
    <cellStyle name="Normal 4 4 7 3" xfId="15498" xr:uid="{E527C9C1-DE54-4361-941B-6D5A8A7C7237}"/>
    <cellStyle name="Normal 4 4 8" xfId="8130" xr:uid="{A93C80FA-8D3A-450B-B924-306768379323}"/>
    <cellStyle name="Normal 4 4 8 2" xfId="17836" xr:uid="{F00C6280-7801-414C-AAE1-F0BC35B71BE7}"/>
    <cellStyle name="Normal 4 4 8 3" xfId="14444" xr:uid="{04177E4D-DDC4-4B7D-ACDE-5998E454C2FB}"/>
    <cellStyle name="Normal 4 4 9" xfId="8388" xr:uid="{D1BDBFAA-EB0B-46E3-9052-88D35A3A5C45}"/>
    <cellStyle name="Normal 4 4 9 2" xfId="18440" xr:uid="{25586A83-8FFA-4AA6-A1F2-AA81644FFFEC}"/>
    <cellStyle name="Normal 4 5" xfId="2907" xr:uid="{00F8BA68-2D57-4410-8CED-0A2D70BDC1FD}"/>
    <cellStyle name="Normal 4 5 10" xfId="9719" xr:uid="{FDCB79F8-7359-4870-B25B-267F0FBC3E08}"/>
    <cellStyle name="Normal 4 5 11" xfId="10374" xr:uid="{FD8060C2-4C95-47EB-8BA4-F08DC7E102D6}"/>
    <cellStyle name="Normal 4 5 12" xfId="11818" xr:uid="{096ECEA8-72C8-4000-8B9C-ADE2B6FECC5D}"/>
    <cellStyle name="Normal 4 5 12 2" xfId="16073" xr:uid="{762EC830-F1A3-4FE3-A600-7F33FB79E347}"/>
    <cellStyle name="Normal 4 5 12 3" xfId="20625" xr:uid="{3C1F77B1-F93B-423D-B593-6FC6A794AEA1}"/>
    <cellStyle name="Normal 4 5 2" xfId="2908" xr:uid="{0593D58E-97D5-46C0-B75D-BC0ABFD48F71}"/>
    <cellStyle name="Normal 4 5 2 10" xfId="10375" xr:uid="{D22CC1C3-4E11-4556-97C7-563F51DB35D7}"/>
    <cellStyle name="Normal 4 5 2 11" xfId="16072" xr:uid="{EEEB40D2-D0D2-4F02-91D1-97B790D05D9D}"/>
    <cellStyle name="Normal 4 5 2 2" xfId="4661" xr:uid="{D8EC873C-A753-4B76-A5BD-019034C1D364}"/>
    <cellStyle name="Normal 4 5 2 2 2" xfId="8131" xr:uid="{08E7FD15-D950-4B0F-980E-859F398EA915}"/>
    <cellStyle name="Normal 4 5 2 2 2 2" xfId="9093" xr:uid="{EB0E5595-9C2F-4893-8590-76A3A86FD425}"/>
    <cellStyle name="Normal 4 5 2 2 2 2 2" xfId="19145" xr:uid="{70384CC0-3B11-4B49-A1D1-9E4BAA6E1A99}"/>
    <cellStyle name="Normal 4 5 2 2 2 3" xfId="16598" xr:uid="{DC3A3F25-DB99-47F1-A8DF-E3DCAF99301A}"/>
    <cellStyle name="Normal 4 5 2 2 2 4" xfId="15046" xr:uid="{D74E8E1C-1190-41C8-AACB-819A5E0EDD6C}"/>
    <cellStyle name="Normal 4 5 2 2 3" xfId="8132" xr:uid="{BB9803F1-1B5D-4589-BD7D-8644F51EE5E1}"/>
    <cellStyle name="Normal 4 5 2 2 3 2" xfId="9541" xr:uid="{8513AC11-5A1D-4E98-9E05-08439D264024}"/>
    <cellStyle name="Normal 4 5 2 2 3 2 2" xfId="19593" xr:uid="{D2808F59-2AFC-403A-A10A-A79F225187DE}"/>
    <cellStyle name="Normal 4 5 2 2 3 3" xfId="17044" xr:uid="{E63D4711-2B05-4C73-8AD8-434B9B7E4A6F}"/>
    <cellStyle name="Normal 4 5 2 2 3 4" xfId="15635" xr:uid="{F03EDAD2-A2E0-414A-9984-963C08EC4C70}"/>
    <cellStyle name="Normal 4 5 2 2 4" xfId="8133" xr:uid="{EBC86C6B-D418-4F9C-92BD-FAA913674F62}"/>
    <cellStyle name="Normal 4 5 2 2 4 2" xfId="17646" xr:uid="{7AF36F76-2E5D-4234-9849-15E6923EA065}"/>
    <cellStyle name="Normal 4 5 2 2 4 3" xfId="14021" xr:uid="{89BD31C8-9018-4816-BB7B-EBFB1F16F2EC}"/>
    <cellStyle name="Normal 4 5 2 2 5" xfId="8134" xr:uid="{565D5FA9-92F5-443F-949F-5C62E2516BAC}"/>
    <cellStyle name="Normal 4 5 2 2 5 2" xfId="18257" xr:uid="{72A48088-8E8A-44B8-945D-1FC2D174DB8D}"/>
    <cellStyle name="Normal 4 5 2 2 5 3" xfId="14220" xr:uid="{7D0B1694-21B3-4A6D-A122-EC2877560E2A}"/>
    <cellStyle name="Normal 4 5 2 2 6" xfId="8665" xr:uid="{5CAB3692-59A6-4D4F-BCA4-26A56529D5BB}"/>
    <cellStyle name="Normal 4 5 2 2 6 2" xfId="18717" xr:uid="{03934E54-3A25-427D-ACA1-56E77C080DA3}"/>
    <cellStyle name="Normal 4 5 2 2 7" xfId="10132" xr:uid="{31E56AB3-6FAC-4CC8-92E5-55F04005A3AD}"/>
    <cellStyle name="Normal 4 5 2 2 8" xfId="10808" xr:uid="{7287F7AF-4FE0-4234-92EC-CDD1136847B0}"/>
    <cellStyle name="Normal 4 5 2 2 9" xfId="15844" xr:uid="{2B0C24EE-9302-4861-8D1B-AC99DC3E932D}"/>
    <cellStyle name="Normal 4 5 2 3" xfId="4662" xr:uid="{C79A833E-0457-4BA5-9228-1FD221BFEE94}"/>
    <cellStyle name="Normal 4 5 2 3 2" xfId="8135" xr:uid="{C1FCF1B5-695B-49F0-978C-FCCD1BED7EEF}"/>
    <cellStyle name="Normal 4 5 2 3 2 2" xfId="9094" xr:uid="{5313EFE2-68DA-460E-B038-DB9D1B7EBD3C}"/>
    <cellStyle name="Normal 4 5 2 3 2 2 2" xfId="19146" xr:uid="{E5C7596B-9F00-46FE-BD6D-A77E72E267F1}"/>
    <cellStyle name="Normal 4 5 2 3 2 3" xfId="16599" xr:uid="{B338C121-1C63-49E3-8DA2-A0ACA33FC548}"/>
    <cellStyle name="Normal 4 5 2 3 2 4" xfId="14143" xr:uid="{BA5A29FE-F412-4694-BDC5-EF39CFB82614}"/>
    <cellStyle name="Normal 4 5 2 3 3" xfId="8136" xr:uid="{008685A9-6F72-41AD-95CF-D9178F9C396A}"/>
    <cellStyle name="Normal 4 5 2 3 3 2" xfId="9542" xr:uid="{20586B1E-DD64-4CB0-A93C-7BF934D4637C}"/>
    <cellStyle name="Normal 4 5 2 3 3 2 2" xfId="19594" xr:uid="{0E44F475-B1C8-45C7-9BF6-31848631EDCF}"/>
    <cellStyle name="Normal 4 5 2 3 3 3" xfId="17045" xr:uid="{1F6FCC67-F642-46AE-ACAF-E8BE48D66375}"/>
    <cellStyle name="Normal 4 5 2 3 3 4" xfId="15634" xr:uid="{E9535CAE-8B40-46DE-A720-1FE3367B2FBF}"/>
    <cellStyle name="Normal 4 5 2 3 4" xfId="8137" xr:uid="{CB168103-E301-428D-837B-4FA43B94BBA8}"/>
    <cellStyle name="Normal 4 5 2 3 4 2" xfId="17647" xr:uid="{888D93BD-368D-49DB-BD2A-C83961738C2F}"/>
    <cellStyle name="Normal 4 5 2 3 4 3" xfId="14562" xr:uid="{EFBBCA3D-C7B6-455F-AE45-765CF9EA34F4}"/>
    <cellStyle name="Normal 4 5 2 3 5" xfId="8138" xr:uid="{E2EF59D1-C62E-4F53-B791-AE75893C59A6}"/>
    <cellStyle name="Normal 4 5 2 3 5 2" xfId="18258" xr:uid="{6152471B-6099-4855-9A72-108F40E5776E}"/>
    <cellStyle name="Normal 4 5 2 3 5 3" xfId="14219" xr:uid="{352BF359-1957-404A-8E11-B1233CAA6643}"/>
    <cellStyle name="Normal 4 5 2 3 6" xfId="8666" xr:uid="{8DEF9314-43DF-43A7-88EE-92B2F484B1A6}"/>
    <cellStyle name="Normal 4 5 2 3 6 2" xfId="18718" xr:uid="{48C7E69B-4983-482E-A846-E6D786EE5571}"/>
    <cellStyle name="Normal 4 5 2 3 7" xfId="10133" xr:uid="{8A866BC3-D405-4171-A754-ABD683D1411D}"/>
    <cellStyle name="Normal 4 5 2 3 8" xfId="10809" xr:uid="{1153E374-CF67-4755-83E5-C52F56FE2E3A}"/>
    <cellStyle name="Normal 4 5 2 3 9" xfId="15393" xr:uid="{7ED4A406-4689-4969-A2F9-FFA12DE85D33}"/>
    <cellStyle name="Normal 4 5 2 4" xfId="8139" xr:uid="{09C232CD-2F07-4628-A8D0-579A05872583}"/>
    <cellStyle name="Normal 4 5 2 4 2" xfId="8140" xr:uid="{66D0E263-86AC-4F8F-9D08-2935F0AAD0AE}"/>
    <cellStyle name="Normal 4 5 2 4 2 2" xfId="17376" xr:uid="{768CC928-9DE7-47D5-9289-162916148CF3}"/>
    <cellStyle name="Normal 4 5 2 4 3" xfId="8141" xr:uid="{4B7A075B-0BC9-4054-8873-E9031A7AD19E}"/>
    <cellStyle name="Normal 4 5 2 4 3 2" xfId="17990" xr:uid="{7CB18AE1-E593-4855-BC77-ADF41EAD0ABA}"/>
    <cellStyle name="Normal 4 5 2 4 4" xfId="8819" xr:uid="{08819675-BB2E-4BCD-B6FA-9B1A93A2EC46}"/>
    <cellStyle name="Normal 4 5 2 4 4 2" xfId="18871" xr:uid="{4A556E2D-EC38-4CC2-B463-B1E26EC3ACFD}"/>
    <cellStyle name="Normal 4 5 2 4 5" xfId="9866" xr:uid="{8FD16704-5413-4ED4-A056-6F18A1197B7F}"/>
    <cellStyle name="Normal 4 5 2 4 6" xfId="10810" xr:uid="{AEA79BAD-4088-4EBC-9B32-51E825F1682B}"/>
    <cellStyle name="Normal 4 5 2 4 7" xfId="15293" xr:uid="{CE3B5A63-D6F0-4040-8537-E2AD3B9E5F71}"/>
    <cellStyle name="Normal 4 5 2 5" xfId="8142" xr:uid="{A56BECEE-0361-4ACD-A1AE-8E295D9EA9BD}"/>
    <cellStyle name="Normal 4 5 2 5 2" xfId="9267" xr:uid="{2B7D7DDC-AE38-427B-A5B3-687373F49F32}"/>
    <cellStyle name="Normal 4 5 2 5 2 2" xfId="19319" xr:uid="{604DF4F4-4645-41F6-841E-163C8604E6CE}"/>
    <cellStyle name="Normal 4 5 2 5 3" xfId="16770" xr:uid="{840F85F0-AC81-4B4D-9A8D-22DA734ADC15}"/>
    <cellStyle name="Normal 4 5 2 5 4" xfId="14899" xr:uid="{D99231BC-8026-4C70-B270-08F75324B89F}"/>
    <cellStyle name="Normal 4 5 2 6" xfId="8143" xr:uid="{6C7E5CB1-3907-4DA0-91CF-192E18485FD0}"/>
    <cellStyle name="Normal 4 5 2 6 2" xfId="17229" xr:uid="{1B9DDBDD-C3D9-42C5-A34E-1AED6493B2D4}"/>
    <cellStyle name="Normal 4 5 2 6 3" xfId="15496" xr:uid="{9C9E7465-B2A0-48FE-ADF7-5C3D04E1F697}"/>
    <cellStyle name="Normal 4 5 2 7" xfId="8144" xr:uid="{49C5D82E-C64B-4B5F-ADE5-B5CF3070D124}"/>
    <cellStyle name="Normal 4 5 2 7 2" xfId="17839" xr:uid="{36F77F05-2477-4262-8166-DE8EFEB7504B}"/>
    <cellStyle name="Normal 4 5 2 7 3" xfId="14441" xr:uid="{8964D9C5-4F42-4444-AF35-6378945C748C}"/>
    <cellStyle name="Normal 4 5 2 8" xfId="8391" xr:uid="{9F5374AE-0881-42A8-93AE-EFC92B6CA1C9}"/>
    <cellStyle name="Normal 4 5 2 8 2" xfId="18443" xr:uid="{76CDAAB5-1372-49CB-83D4-46D4C815B864}"/>
    <cellStyle name="Normal 4 5 2 9" xfId="9720" xr:uid="{C91CED1F-22B6-4917-9478-D908AC045156}"/>
    <cellStyle name="Normal 4 5 3" xfId="4663" xr:uid="{280816D1-862D-4D21-B4B7-B443184DFFDF}"/>
    <cellStyle name="Normal 4 5 3 2" xfId="8145" xr:uid="{53DB6FC9-4E58-4470-A303-D30AEE69C984}"/>
    <cellStyle name="Normal 4 5 3 2 2" xfId="9095" xr:uid="{FCDBA9E3-B534-493E-9C2A-E50C214CAE75}"/>
    <cellStyle name="Normal 4 5 3 2 2 2" xfId="19147" xr:uid="{FA76B692-742C-4D2D-BF2F-A53A7A1D469B}"/>
    <cellStyle name="Normal 4 5 3 2 3" xfId="16600" xr:uid="{E0C7FC0F-8909-4D3D-90A0-D85E52685FFD}"/>
    <cellStyle name="Normal 4 5 3 2 4" xfId="15045" xr:uid="{BB5B8007-586D-4CA9-8842-6D0C6C8E5210}"/>
    <cellStyle name="Normal 4 5 3 3" xfId="8146" xr:uid="{5944EA70-AA0B-49F8-84EA-7843F2F8A41C}"/>
    <cellStyle name="Normal 4 5 3 3 2" xfId="9543" xr:uid="{B24C908B-BEFB-4407-969B-55752586B64C}"/>
    <cellStyle name="Normal 4 5 3 3 2 2" xfId="19595" xr:uid="{EE667850-0D8D-44CB-8FE3-54A92C4DF308}"/>
    <cellStyle name="Normal 4 5 3 3 3" xfId="17046" xr:uid="{400A434C-7438-4ECA-BF31-3260EE176F22}"/>
    <cellStyle name="Normal 4 5 3 3 4" xfId="15633" xr:uid="{6E89E0CF-7391-4ED8-9CE2-42DAA1270AF9}"/>
    <cellStyle name="Normal 4 5 3 4" xfId="8147" xr:uid="{2541BF29-F4AF-4442-972D-4261D5E01BF7}"/>
    <cellStyle name="Normal 4 5 3 4 2" xfId="17648" xr:uid="{DA904E14-96EF-4E7F-B4AC-B5AB26DC3EEE}"/>
    <cellStyle name="Normal 4 5 3 4 3" xfId="14561" xr:uid="{2BDFA9D4-8195-40DE-A286-9A454C681051}"/>
    <cellStyle name="Normal 4 5 3 5" xfId="8148" xr:uid="{3B2A0D48-ABFB-40C7-AFBC-2A622260687D}"/>
    <cellStyle name="Normal 4 5 3 5 2" xfId="18259" xr:uid="{8E561D19-D641-42B2-B6AB-24FC6F7EB8B9}"/>
    <cellStyle name="Normal 4 5 3 5 3" xfId="14218" xr:uid="{2582008C-509E-4B51-9C2F-F57805126618}"/>
    <cellStyle name="Normal 4 5 3 6" xfId="8667" xr:uid="{92522BCE-9055-4A66-9CBB-04FEAE0CA981}"/>
    <cellStyle name="Normal 4 5 3 6 2" xfId="18719" xr:uid="{20CD118F-4BF5-498C-A421-871CF1A75B0B}"/>
    <cellStyle name="Normal 4 5 3 7" xfId="10134" xr:uid="{0E937A03-388D-4101-94EA-C9F0D7FD82AA}"/>
    <cellStyle name="Normal 4 5 3 8" xfId="10811" xr:uid="{21F8D994-5EA7-499C-892C-5E5B8D1A298E}"/>
    <cellStyle name="Normal 4 5 3 9" xfId="15843" xr:uid="{AF48220E-90EA-4CBA-B2D8-5980D0BE629C}"/>
    <cellStyle name="Normal 4 5 4" xfId="4664" xr:uid="{95C37E34-C335-4257-9A33-FAE2BB8B1922}"/>
    <cellStyle name="Normal 4 5 4 2" xfId="8149" xr:uid="{E4A06BD5-D08C-45BE-A4CA-89DD59E17061}"/>
    <cellStyle name="Normal 4 5 4 2 2" xfId="9096" xr:uid="{E2F62DDC-F4E5-4B83-A330-6E17D8DC9AD6}"/>
    <cellStyle name="Normal 4 5 4 2 2 2" xfId="19148" xr:uid="{154FE28D-8FB2-4667-9B07-5C278200538A}"/>
    <cellStyle name="Normal 4 5 4 2 3" xfId="16601" xr:uid="{50AF9B6B-BFB0-43BA-B8D9-63FB0FCA653D}"/>
    <cellStyle name="Normal 4 5 4 2 4" xfId="15044" xr:uid="{C5FA5915-2F25-46FB-BF70-4C7575BCF4D0}"/>
    <cellStyle name="Normal 4 5 4 3" xfId="8150" xr:uid="{B7BF258A-6FA9-44D1-9A61-F57C3C9DBF8C}"/>
    <cellStyle name="Normal 4 5 4 3 2" xfId="9544" xr:uid="{4A8330E9-429F-44CC-9E35-F2FB8765E626}"/>
    <cellStyle name="Normal 4 5 4 3 2 2" xfId="19596" xr:uid="{C7032679-B359-4EC9-9ADB-6A84C7D0EEA4}"/>
    <cellStyle name="Normal 4 5 4 3 3" xfId="17047" xr:uid="{884B106B-3518-4411-A4EA-527FBC2D51AC}"/>
    <cellStyle name="Normal 4 5 4 3 4" xfId="14819" xr:uid="{960F21D2-7DFE-430F-8815-50ECE5547BB2}"/>
    <cellStyle name="Normal 4 5 4 4" xfId="8151" xr:uid="{9C87BD46-913F-4787-BD82-22D70E9DA7EF}"/>
    <cellStyle name="Normal 4 5 4 4 2" xfId="17649" xr:uid="{4AED651F-80CC-46EF-A974-84931DC522BC}"/>
    <cellStyle name="Normal 4 5 4 4 3" xfId="14560" xr:uid="{5DDB2599-3CC4-45A7-8D2E-793F4043F8E3}"/>
    <cellStyle name="Normal 4 5 4 5" xfId="8152" xr:uid="{CE1BF123-9411-4D43-8982-3DCE8BB937C5}"/>
    <cellStyle name="Normal 4 5 4 5 2" xfId="18260" xr:uid="{283F86BD-3C5C-4C6D-858D-8D0AC39B4A08}"/>
    <cellStyle name="Normal 4 5 4 5 3" xfId="14049" xr:uid="{2DB51DAD-D6F3-479D-B0FF-2F05B3E9BB8E}"/>
    <cellStyle name="Normal 4 5 4 6" xfId="8668" xr:uid="{60BED6C6-2534-44E8-B15B-D9629ACE7FD8}"/>
    <cellStyle name="Normal 4 5 4 6 2" xfId="18720" xr:uid="{60E61E22-0478-455E-A616-CCAADAF81A01}"/>
    <cellStyle name="Normal 4 5 4 7" xfId="10135" xr:uid="{89641807-7CE3-4AE7-B86C-C6CF1FD4EDB9}"/>
    <cellStyle name="Normal 4 5 4 8" xfId="10812" xr:uid="{C339999E-04C9-4046-AB80-05B6A513A654}"/>
    <cellStyle name="Normal 4 5 4 9" xfId="15842" xr:uid="{36E09817-8D95-4E40-9348-10C377C79E92}"/>
    <cellStyle name="Normal 4 5 5" xfId="8153" xr:uid="{E117013D-22FA-4898-A58D-18C79CC8391E}"/>
    <cellStyle name="Normal 4 5 5 2" xfId="8154" xr:uid="{8AC4A47C-693A-486D-8C4F-BB82A407822F}"/>
    <cellStyle name="Normal 4 5 5 2 2" xfId="17375" xr:uid="{7D8234A9-91E1-4356-B5D9-762EB0260B7F}"/>
    <cellStyle name="Normal 4 5 5 3" xfId="8155" xr:uid="{DB76980A-1923-4C4F-910A-9E544860E68B}"/>
    <cellStyle name="Normal 4 5 5 3 2" xfId="17989" xr:uid="{874D0678-4B0B-433D-9FB9-6BD8126C3E8E}"/>
    <cellStyle name="Normal 4 5 5 4" xfId="8818" xr:uid="{54644BAE-306A-48A3-BAB7-485FDA3D74A7}"/>
    <cellStyle name="Normal 4 5 5 4 2" xfId="18870" xr:uid="{869C8703-B9DF-49A1-9DA4-4DB3C1FAF676}"/>
    <cellStyle name="Normal 4 5 5 5" xfId="9865" xr:uid="{437B36ED-5E61-4B29-931F-F858DC9FF5C5}"/>
    <cellStyle name="Normal 4 5 5 6" xfId="10813" xr:uid="{716BD822-173D-47C3-8F74-C6ADBC046AA6}"/>
    <cellStyle name="Normal 4 5 5 7" xfId="15294" xr:uid="{655FEFBB-8CB9-4255-9892-475897CC500C}"/>
    <cellStyle name="Normal 4 5 6" xfId="8156" xr:uid="{6C9DBD14-B8C1-4460-8CD0-B014C14A3B06}"/>
    <cellStyle name="Normal 4 5 6 2" xfId="9266" xr:uid="{0B2CD4D8-AAF9-4530-AD1D-E04A74B920C6}"/>
    <cellStyle name="Normal 4 5 6 2 2" xfId="19318" xr:uid="{93B1869D-4BB3-4D02-A131-B8392CAC9A9F}"/>
    <cellStyle name="Normal 4 5 6 3" xfId="16769" xr:uid="{26EF4C2E-4180-4D94-AAD5-CA5F7A884F4C}"/>
    <cellStyle name="Normal 4 5 6 4" xfId="14131" xr:uid="{96052DA1-7DC4-4BD7-8C80-2E8EFBC3D9E3}"/>
    <cellStyle name="Normal 4 5 7" xfId="8157" xr:uid="{A3F3EB75-75EC-4CC9-A8BF-B1B0E1D4324A}"/>
    <cellStyle name="Normal 4 5 7 2" xfId="17228" xr:uid="{D9184797-492F-47D0-BB6B-0070D5E85108}"/>
    <cellStyle name="Normal 4 5 7 3" xfId="14798" xr:uid="{D2757CBD-DED5-4320-A45A-63A46AFAA7B9}"/>
    <cellStyle name="Normal 4 5 8" xfId="8158" xr:uid="{BBA61FD6-4D86-49EC-BF31-D613D65AF710}"/>
    <cellStyle name="Normal 4 5 8 2" xfId="17838" xr:uid="{5804BB83-5B05-4D1B-A2A4-8C248ECB5B74}"/>
    <cellStyle name="Normal 4 5 8 3" xfId="14442" xr:uid="{00C3D00B-AC09-48EF-B656-739994FDE48D}"/>
    <cellStyle name="Normal 4 5 9" xfId="8390" xr:uid="{1A411AB4-3300-4BDA-B468-E98696AB31DF}"/>
    <cellStyle name="Normal 4 5 9 2" xfId="18442" xr:uid="{FBC2897C-1F6F-47FC-B22D-78FAC048BC6A}"/>
    <cellStyle name="Normal 4 6" xfId="2909" xr:uid="{F61321A0-543B-479B-9C70-B41A68F81A35}"/>
    <cellStyle name="Normal 4 6 2" xfId="12527" xr:uid="{AAAFA710-C623-466A-99DA-065FA5C9BA10}"/>
    <cellStyle name="Normal 4 7" xfId="2910" xr:uid="{25B06D31-352B-4E52-9059-174A4BC203DD}"/>
    <cellStyle name="Normal 4 7 2" xfId="12767" xr:uid="{42F2A1E8-8E45-480E-870F-D72C639FC462}"/>
    <cellStyle name="Normal 4 8" xfId="2911" xr:uid="{5E437DF5-80A4-4E91-B8DA-0E18EC83059D}"/>
    <cellStyle name="Normal 4 8 2" xfId="11935" xr:uid="{85FC7398-8888-46FC-AEE9-DC7E19882FA4}"/>
    <cellStyle name="Normal 4 9" xfId="2912" xr:uid="{4E0C2E50-0EC6-41BD-A1D7-916FE8D0D618}"/>
    <cellStyle name="Normal 4 9 2" xfId="11060" xr:uid="{0ABF833E-F230-4FC0-BD12-C08B26A21A9B}"/>
    <cellStyle name="Normal 40" xfId="11122" xr:uid="{5B346CC7-737B-4DA2-8935-DDC864C59CCB}"/>
    <cellStyle name="Normal 41" xfId="11286" xr:uid="{F720FAD1-AC52-41FE-8DD8-487115DB8CE2}"/>
    <cellStyle name="Normal 42" xfId="10935" xr:uid="{90FE0DCD-BE14-487C-A889-DB9514A931EF}"/>
    <cellStyle name="Normal 43" xfId="11285" xr:uid="{0BF7F7BE-23CA-4865-A6BD-D25B53BDB605}"/>
    <cellStyle name="Normal 44" xfId="11736" xr:uid="{301E2B49-50F0-434D-A46A-6EF7A8C34B97}"/>
    <cellStyle name="Normal 45" xfId="11819" xr:uid="{5414828A-2069-43EE-88B0-7C756D074634}"/>
    <cellStyle name="Normal 46" xfId="12323" xr:uid="{2936B6A6-05AD-465F-BDEA-3052C3627BBD}"/>
    <cellStyle name="Normal 47" xfId="12768" xr:uid="{C024EC81-548C-4886-AE78-A525212117CD}"/>
    <cellStyle name="Normal 48" xfId="13957" xr:uid="{F4CEB098-A5CB-47A1-A523-0B859D56E4C1}"/>
    <cellStyle name="Normal 49" xfId="16218" xr:uid="{824306CF-5F5D-4250-A6CE-98D5BF23490F}"/>
    <cellStyle name="Normal 5" xfId="48" xr:uid="{FB662917-20A7-4ACE-8DC6-104E58776F58}"/>
    <cellStyle name="Normal 5 10" xfId="11061" xr:uid="{24AE9332-259F-401D-939A-00668CEA9919}"/>
    <cellStyle name="Normal 5 11" xfId="11820" xr:uid="{A0D86BD2-7FEF-466A-94C4-49CBA56B4B11}"/>
    <cellStyle name="Normal 5 12" xfId="10946" xr:uid="{613273B7-1041-45FD-99AD-0E283DA6BE2B}"/>
    <cellStyle name="Normal 5 13" xfId="12525" xr:uid="{1F794E6B-10E7-48AC-9CF2-2B2CBE8786DF}"/>
    <cellStyle name="Normal 5 14" xfId="12497" xr:uid="{108301A3-DA44-4472-8928-8D15F9777120}"/>
    <cellStyle name="Normal 5 15" xfId="11737" xr:uid="{B4707F17-377D-42B0-9F49-C01A5D5790B2}"/>
    <cellStyle name="Normal 5 16" xfId="12585" xr:uid="{3AE3BEA9-D84B-4B67-861D-5D3D745CA2AF}"/>
    <cellStyle name="Normal 5 17" xfId="13336" xr:uid="{33BFEB71-4E47-4014-A97D-80EA62E7ABBD}"/>
    <cellStyle name="Normal 5 18" xfId="12719" xr:uid="{C4FB871A-80E5-4C9C-B015-6D9A68089E9F}"/>
    <cellStyle name="Normal 5 19" xfId="14011" xr:uid="{AF2809B4-D467-43F6-84B3-D36D794CE5E3}"/>
    <cellStyle name="Normal 5 2" xfId="90" xr:uid="{3C887EE6-E84D-417E-B65E-BA00D28728E1}"/>
    <cellStyle name="Normal 5 2 2" xfId="4665" xr:uid="{E50E6FC5-1039-4167-B717-2F5B79D68B3F}"/>
    <cellStyle name="Normal 5 2 3" xfId="149" xr:uid="{B279E7CD-0F35-496C-8B19-ABA02F943D0D}"/>
    <cellStyle name="Normal 5 2 3 2" xfId="20473" xr:uid="{1FBFFF67-61C9-45B2-BAFB-9E0E336B6665}"/>
    <cellStyle name="Normal 5 2 4" xfId="11347" xr:uid="{8026104A-3FD5-4EF0-A7B9-D1C513B9550E}"/>
    <cellStyle name="Normal 5 2 4 2" xfId="19679" xr:uid="{EB067862-4341-4B96-9BFD-9AE6660C93CD}"/>
    <cellStyle name="Normal 5 2 4 3" xfId="20548" xr:uid="{FC011A69-194D-43A8-8AF5-74763119422C}"/>
    <cellStyle name="Normal 5 20" xfId="12543" xr:uid="{A918FCD1-A2D6-4858-82A0-5ED618A556B8}"/>
    <cellStyle name="Normal 5 21" xfId="10992" xr:uid="{4A0669BE-97F0-4FD6-A8DC-0C467F2374E2}"/>
    <cellStyle name="Normal 5 22" xfId="11091" xr:uid="{FB4E44DB-86FC-4160-B6AE-FEDFCB639EED}"/>
    <cellStyle name="Normal 5 23" xfId="12520" xr:uid="{F74CA339-EFCF-47A3-97F5-28162239F6D5}"/>
    <cellStyle name="Normal 5 24" xfId="12895" xr:uid="{6A1F760B-4158-46DE-B3C4-051A3942C077}"/>
    <cellStyle name="Normal 5 25" xfId="12801" xr:uid="{02C6F218-5976-4E07-9CBD-F92E825D0E0D}"/>
    <cellStyle name="Normal 5 3" xfId="10154" xr:uid="{48D50D33-5F6F-4989-B701-B9EE3D739689}"/>
    <cellStyle name="Normal 5 3 2" xfId="10170" xr:uid="{3CAA962D-89FC-4072-BF39-E04951ECD3A2}"/>
    <cellStyle name="Normal 5 3 2 2" xfId="20472" xr:uid="{AABCD429-E958-4BDE-AFB3-F291A02A7775}"/>
    <cellStyle name="Normal 5 3 3" xfId="19656" xr:uid="{81D6E17F-14D3-49A0-B400-3256922CA880}"/>
    <cellStyle name="Normal 5 3 3 2" xfId="20471" xr:uid="{2B5BC5CD-06DA-4B73-BC0A-685E6464E49E}"/>
    <cellStyle name="Normal 5 4" xfId="10988" xr:uid="{319D3756-5704-4515-9FCB-BFEFC026A732}"/>
    <cellStyle name="Normal 5 5" xfId="12769" xr:uid="{3680AF2E-3386-40EC-8BB5-B30F499800D3}"/>
    <cellStyle name="Normal 5 6" xfId="11389" xr:uid="{F1664568-D0E7-47F8-9D3E-8209F9C98A65}"/>
    <cellStyle name="Normal 5 7" xfId="11878" xr:uid="{3B48C635-A0B7-4811-A261-33321AE26512}"/>
    <cellStyle name="Normal 5 8" xfId="12896" xr:uid="{9722A8AC-ADB1-45BD-B97C-64283ED9763C}"/>
    <cellStyle name="Normal 5 9" xfId="12397" xr:uid="{B9FCF5C6-8497-48BB-B33C-1241EBE1D938}"/>
    <cellStyle name="Normal 50" xfId="20480" xr:uid="{1ABC16C2-021C-4826-BF85-84C1CA99DE5C}"/>
    <cellStyle name="Normal 51" xfId="20483" xr:uid="{CC2CBC5C-C023-4F67-AA98-E0D2349E4BEF}"/>
    <cellStyle name="Normal 52" xfId="20835" xr:uid="{5CFA86BB-E520-4CB4-814E-873FE2BB65EA}"/>
    <cellStyle name="Normal 53" xfId="12793" xr:uid="{078DE9E7-7EBD-4343-8709-7D24B58E6007}"/>
    <cellStyle name="Normal 54" xfId="16240" xr:uid="{87E50B1D-5C1D-4A0D-B725-709491B2555C}"/>
    <cellStyle name="Normal 55" xfId="16216" xr:uid="{FA9B27FF-1452-4B18-8801-00A615BF2FF3}"/>
    <cellStyle name="Normal 6" xfId="79" xr:uid="{11F46A24-149B-4A51-AC47-6220DBCCC0B4}"/>
    <cellStyle name="Normal 6 10" xfId="9721" xr:uid="{95B8C1B6-D8E1-48D5-B590-68029AE9B48E}"/>
    <cellStyle name="Normal 6 10 2" xfId="12391" xr:uid="{29FDCFFF-5DED-4F6C-BB66-9AC034066B1E}"/>
    <cellStyle name="Normal 6 11" xfId="10376" xr:uid="{08DB2331-ED3F-45E2-B1D8-E832851A7A44}"/>
    <cellStyle name="Normal 6 11 2" xfId="11936" xr:uid="{7A283E6A-2F33-421E-9DD9-6B0B2619B6A0}"/>
    <cellStyle name="Normal 6 12" xfId="11062" xr:uid="{8B114132-FD7A-4D9C-802C-7118936164BC}"/>
    <cellStyle name="Normal 6 13" xfId="12823" xr:uid="{A9E69D3A-7ED7-4601-9557-3F1DDE0A30B8}"/>
    <cellStyle name="Normal 6 14" xfId="12897" xr:uid="{F6BB95CD-9886-49EE-99A5-9775BCD51D45}"/>
    <cellStyle name="Normal 6 15" xfId="11002" xr:uid="{A4137FD6-C86C-47F8-8BAE-1DE911FD7039}"/>
    <cellStyle name="Normal 6 16" xfId="12014" xr:uid="{31B2FE11-2A85-462F-8FEC-94B3CFE55E2A}"/>
    <cellStyle name="Normal 6 17" xfId="11738" xr:uid="{D9DE144D-E8FC-4082-A0F1-5A50B42DB84E}"/>
    <cellStyle name="Normal 6 18" xfId="12898" xr:uid="{319AD899-43B0-48AE-8340-7AED26808FF9}"/>
    <cellStyle name="Normal 6 19" xfId="11679" xr:uid="{2E4B2365-8B71-4915-AF2A-B2F5FA6EEA34}"/>
    <cellStyle name="Normal 6 2" xfId="91" xr:uid="{E1162BC7-51BE-4329-BD14-DD0DF388844F}"/>
    <cellStyle name="Normal 6 2 10" xfId="11375" xr:uid="{2B82C401-66D9-4DB3-A8B3-6D9F1DEBB078}"/>
    <cellStyle name="Normal 6 2 11" xfId="11063" xr:uid="{8078C13A-564A-4787-A368-8E444F1581CC}"/>
    <cellStyle name="Normal 6 2 12" xfId="12899" xr:uid="{125305D6-BE2F-4AA8-B150-9512D4E84160}"/>
    <cellStyle name="Normal 6 2 13" xfId="12900" xr:uid="{F9183BAF-CB9F-489B-B1D0-1CBB49473D37}"/>
    <cellStyle name="Normal 6 2 14" xfId="12811" xr:uid="{130FCBC8-4FBB-47C4-8B6F-B560B684E020}"/>
    <cellStyle name="Normal 6 2 15" xfId="12901" xr:uid="{3A7B9F19-7E96-4B7E-8A83-EBB44062A488}"/>
    <cellStyle name="Normal 6 2 16" xfId="11739" xr:uid="{122A8C4B-E5D5-4A3A-AB72-49E6E18BF756}"/>
    <cellStyle name="Normal 6 2 17" xfId="12005" xr:uid="{1C19C047-3B4C-4CDA-8253-2AC86802EFE6}"/>
    <cellStyle name="Normal 6 2 18" xfId="13507" xr:uid="{433F93CE-F3C6-4235-A66D-5EBB098FEE82}"/>
    <cellStyle name="Normal 6 2 19" xfId="11364" xr:uid="{8D124461-1E11-4005-A1AB-968E2723C564}"/>
    <cellStyle name="Normal 6 2 2" xfId="4666" xr:uid="{D19BCB3F-333E-4771-8171-5C93A45263E2}"/>
    <cellStyle name="Normal 6 2 2 2" xfId="10962" xr:uid="{C0EFEFD6-C10F-4A9F-B123-E2E94C822C9C}"/>
    <cellStyle name="Normal 6 2 20" xfId="12902" xr:uid="{854A168A-9455-404A-8ACE-4812E5051A14}"/>
    <cellStyle name="Normal 6 2 21" xfId="12903" xr:uid="{449D467E-F96A-47A3-B3CD-DF6F45B9F1D8}"/>
    <cellStyle name="Normal 6 2 22" xfId="11710" xr:uid="{38A23F82-86C4-4F1E-ACBF-B6C697A73DE3}"/>
    <cellStyle name="Normal 6 2 23" xfId="11674" xr:uid="{CD529008-6181-4D91-87AB-C0D74242A21A}"/>
    <cellStyle name="Normal 6 2 24" xfId="12528" xr:uid="{C286F581-11E1-4D95-9243-25F349EA55EC}"/>
    <cellStyle name="Normal 6 2 3" xfId="6026" xr:uid="{20AAA5A1-663E-4A71-A234-88867FB5D6F1}"/>
    <cellStyle name="Normal 6 2 3 2" xfId="10950" xr:uid="{EBB4CC4D-1948-44CA-8972-E56FC11262D3}"/>
    <cellStyle name="Normal 6 2 4" xfId="416" xr:uid="{37BF9D88-F8A0-408B-B0EE-F552FDDFB3B7}"/>
    <cellStyle name="Normal 6 2 4 2" xfId="11388" xr:uid="{43F0359C-CF2C-426B-8FF7-55B123E7CC07}"/>
    <cellStyle name="Normal 6 2 5" xfId="8159" xr:uid="{0B6D0C14-D571-4869-9A46-3D0713985F0C}"/>
    <cellStyle name="Normal 6 2 5 2" xfId="12817" xr:uid="{E0EDA145-5F73-4EE8-93C8-B0A0362ECFB7}"/>
    <cellStyle name="Normal 6 2 6" xfId="12904" xr:uid="{7F97D061-FF30-4704-924C-B09097967C22}"/>
    <cellStyle name="Normal 6 2 7" xfId="12905" xr:uid="{3FCEFA1A-DFC5-41BE-B70B-7E6BA42E8B50}"/>
    <cellStyle name="Normal 6 2 8" xfId="12906" xr:uid="{BA8E38D5-0BB6-4D2C-99EC-1255DD08E0E5}"/>
    <cellStyle name="Normal 6 2 9" xfId="12770" xr:uid="{E84708CD-5668-40ED-A043-C8B042041E7D}"/>
    <cellStyle name="Normal 6 20" xfId="11937" xr:uid="{868A0963-9AF0-41C8-8677-94FAC1E32144}"/>
    <cellStyle name="Normal 6 21" xfId="11880" xr:uid="{A71443D6-6FA4-4C98-87BB-BA5F59EAF47E}"/>
    <cellStyle name="Normal 6 22" xfId="11123" xr:uid="{D1B0B2CE-9CE6-4D11-93EB-650FB1334C9C}"/>
    <cellStyle name="Normal 6 23" xfId="12907" xr:uid="{C9BA6B33-3F3A-48FB-B42A-219BE8626F85}"/>
    <cellStyle name="Normal 6 24" xfId="12395" xr:uid="{B3ACC295-8B16-401C-A494-82847E90F22D}"/>
    <cellStyle name="Normal 6 25" xfId="11463" xr:uid="{3F434806-54DB-4BA4-8603-2F193659D10F}"/>
    <cellStyle name="Normal 6 3" xfId="2913" xr:uid="{CBFF5A84-E958-48CF-A100-0CF64F903D32}"/>
    <cellStyle name="Normal 6 3 2" xfId="8160" xr:uid="{90097B5E-568A-4E82-A945-7D7F4E3C8C91}"/>
    <cellStyle name="Normal 6 3 2 2" xfId="8161" xr:uid="{E6EBCEEE-E70F-4AC7-BDE2-7F70F2E587F4}"/>
    <cellStyle name="Normal 6 3 2 2 2" xfId="17378" xr:uid="{4F591955-14A2-423A-93B1-173819794731}"/>
    <cellStyle name="Normal 6 3 2 3" xfId="8162" xr:uid="{03605FE9-01AC-4F07-A05B-A6267E6A3C84}"/>
    <cellStyle name="Normal 6 3 2 3 2" xfId="17992" xr:uid="{7DE66D74-5582-4718-BED1-4D56F7A066C0}"/>
    <cellStyle name="Normal 6 3 2 4" xfId="8820" xr:uid="{96073E29-C3A4-4FC6-BE8C-AA65FF0C4F10}"/>
    <cellStyle name="Normal 6 3 2 4 2" xfId="18872" xr:uid="{9A4093F2-7D79-4883-9396-B5672676C4AD}"/>
    <cellStyle name="Normal 6 3 2 5" xfId="9868" xr:uid="{8392ED1E-2E32-49FB-A986-CDB9372D0C79}"/>
    <cellStyle name="Normal 6 3 2 6" xfId="10815" xr:uid="{D7DE99B0-D7F8-4698-81FB-86B1E4A855D3}"/>
    <cellStyle name="Normal 6 3 2 7" xfId="15292" xr:uid="{71AB0A8D-3BFC-4A6D-BFC2-0CB5AB3AB4D3}"/>
    <cellStyle name="Normal 6 3 3" xfId="8163" xr:uid="{3B9DA450-29BA-46D6-A235-302062980E8E}"/>
    <cellStyle name="Normal 6 3 3 2" xfId="9268" xr:uid="{FDC3B164-22C6-4B28-87D3-1CE0839F7572}"/>
    <cellStyle name="Normal 6 3 3 2 2" xfId="19320" xr:uid="{15D9AF6F-6FCB-4B09-9F91-2FC7E17F98D2}"/>
    <cellStyle name="Normal 6 3 3 3" xfId="16771" xr:uid="{1ED8EAD6-DD33-4160-8A83-AA942095F356}"/>
    <cellStyle name="Normal 6 3 3 4" xfId="14898" xr:uid="{A3E23DDF-D8DF-43E6-920A-0B2D5532D998}"/>
    <cellStyle name="Normal 6 3 4" xfId="8164" xr:uid="{4751D7F2-BC33-41C2-A697-48829C631807}"/>
    <cellStyle name="Normal 6 3 4 2" xfId="17231" xr:uid="{C6E49A43-4291-4F0B-BDE7-D77E68A064F8}"/>
    <cellStyle name="Normal 6 3 4 3" xfId="15494" xr:uid="{D2B3B64C-3FD8-4B13-9EFC-B7B1E0446C9F}"/>
    <cellStyle name="Normal 6 3 5" xfId="8165" xr:uid="{D3E0D4E1-7720-42BD-952E-ACB739D0D9F5}"/>
    <cellStyle name="Normal 6 3 5 2" xfId="17841" xr:uid="{137FDAE0-606A-40AF-B1D6-32743CF52AF7}"/>
    <cellStyle name="Normal 6 3 5 3" xfId="14440" xr:uid="{F8CA7FB5-9360-403B-A7E8-A55E8DF40F4A}"/>
    <cellStyle name="Normal 6 3 6" xfId="8392" xr:uid="{C23F7FC5-3C91-4ED1-80E7-5362CD44B5D0}"/>
    <cellStyle name="Normal 6 3 6 2" xfId="18444" xr:uid="{1A511104-F64F-4CD3-8DEB-0176825350A5}"/>
    <cellStyle name="Normal 6 3 7" xfId="9722" xr:uid="{BF625E46-46DD-4318-AF94-B240FD15B547}"/>
    <cellStyle name="Normal 6 3 8" xfId="10814" xr:uid="{D1C3DC15-B3EC-466A-A0FC-9BD3DCA5095F}"/>
    <cellStyle name="Normal 6 3 9" xfId="11740" xr:uid="{0FBC8B10-CC1D-4930-9266-697F1ECBC741}"/>
    <cellStyle name="Normal 6 3 9 2" xfId="16071" xr:uid="{79102B51-921B-4AA0-89DB-BD8A737B4CF0}"/>
    <cellStyle name="Normal 6 3 9 3" xfId="20597" xr:uid="{8BB98C72-04AA-4F9B-BC1D-D35170ABE366}"/>
    <cellStyle name="Normal 6 4" xfId="4667" xr:uid="{A4C34554-D72F-4442-9701-6945B9257529}"/>
    <cellStyle name="Normal 6 4 2" xfId="8166" xr:uid="{5EC54217-6BCD-4E06-A336-2FCA299CC666}"/>
    <cellStyle name="Normal 6 4 2 2" xfId="9097" xr:uid="{149DA3C7-FF92-40FD-88B4-D514CE66036A}"/>
    <cellStyle name="Normal 6 4 2 2 2" xfId="19149" xr:uid="{9FFEF866-C90C-4532-8BFF-E77690A1C924}"/>
    <cellStyle name="Normal 6 4 2 3" xfId="16602" xr:uid="{5191B8AD-095F-4EE7-B2F7-85B8E7185577}"/>
    <cellStyle name="Normal 6 4 2 4" xfId="15043" xr:uid="{807C93D1-1BFB-4FD4-B89B-FD95837DC5EE}"/>
    <cellStyle name="Normal 6 4 3" xfId="8167" xr:uid="{0FADA2E2-FC4F-479A-A357-67D127ABC298}"/>
    <cellStyle name="Normal 6 4 3 2" xfId="9545" xr:uid="{ECF57486-537A-488E-8722-D3FAC46220D1}"/>
    <cellStyle name="Normal 6 4 3 2 2" xfId="19597" xr:uid="{DCD24589-0C56-47C5-91F3-F8C4F7209692}"/>
    <cellStyle name="Normal 6 4 3 3" xfId="17048" xr:uid="{83CE6D11-DD9B-4197-BC5A-42561AE93FCF}"/>
    <cellStyle name="Normal 6 4 3 4" xfId="15632" xr:uid="{D70F52AF-7F14-4DF9-94BD-3E47F2ABE94A}"/>
    <cellStyle name="Normal 6 4 4" xfId="8168" xr:uid="{9113C1EB-F3DE-4757-8D8F-9F7FBBC03F45}"/>
    <cellStyle name="Normal 6 4 4 2" xfId="17650" xr:uid="{8913840F-6319-45A0-BD50-54DE3637583C}"/>
    <cellStyle name="Normal 6 4 4 3" xfId="14559" xr:uid="{0CA9CB59-FDCC-4FCA-80C4-6960B0D7D8D5}"/>
    <cellStyle name="Normal 6 4 5" xfId="8169" xr:uid="{9278838A-517E-4507-88CE-84976B198A81}"/>
    <cellStyle name="Normal 6 4 5 2" xfId="18261" xr:uid="{E4377C64-53F6-49C4-9129-65C6FAD24538}"/>
    <cellStyle name="Normal 6 4 5 3" xfId="14048" xr:uid="{91469C24-CACA-4827-890C-88AF0F570525}"/>
    <cellStyle name="Normal 6 4 6" xfId="8669" xr:uid="{B3AF0A8D-CEE3-4AA9-BBD7-0A0C4B1AC7A5}"/>
    <cellStyle name="Normal 6 4 6 2" xfId="18721" xr:uid="{99E5991D-3992-4D51-8905-E3020A2388B9}"/>
    <cellStyle name="Normal 6 4 7" xfId="10136" xr:uid="{D9057E45-EEF5-423C-8486-6D3BD6691B40}"/>
    <cellStyle name="Normal 6 4 8" xfId="10816" xr:uid="{D8CAB696-A50A-4D33-B401-BA25ADB180A8}"/>
    <cellStyle name="Normal 6 4 9" xfId="12015" xr:uid="{97C0F27A-AE8E-4618-919F-0AC598F84479}"/>
    <cellStyle name="Normal 6 4 9 2" xfId="15841" xr:uid="{132C396B-0E89-4A54-B99A-E90378B97FDC}"/>
    <cellStyle name="Normal 6 4 9 3" xfId="20646" xr:uid="{EF70326E-7BB8-451E-A018-8E538E4D7554}"/>
    <cellStyle name="Normal 6 5" xfId="4668" xr:uid="{2CDB391D-C0AF-49AA-9F5A-07C773CA9EE2}"/>
    <cellStyle name="Normal 6 5 2" xfId="8170" xr:uid="{CBC6F2DC-7C40-4B91-9C19-57A6B034F84D}"/>
    <cellStyle name="Normal 6 5 2 2" xfId="9098" xr:uid="{79666FE2-879C-46CE-92CF-A0F13E55D918}"/>
    <cellStyle name="Normal 6 5 2 2 2" xfId="19150" xr:uid="{5454A7AD-4209-436B-9470-D3B1FE9420C2}"/>
    <cellStyle name="Normal 6 5 2 3" xfId="16603" xr:uid="{FBC0D1BE-40AB-4778-8DA1-6E8B56CB447A}"/>
    <cellStyle name="Normal 6 5 2 4" xfId="15042" xr:uid="{9DA13AC9-4E9B-49F2-B3E5-51582CA4617F}"/>
    <cellStyle name="Normal 6 5 3" xfId="8171" xr:uid="{76FC23BA-992C-4843-96B8-F678F8A002FE}"/>
    <cellStyle name="Normal 6 5 3 2" xfId="9546" xr:uid="{EB1EC966-4246-46E2-8941-CFEB07681B37}"/>
    <cellStyle name="Normal 6 5 3 2 2" xfId="19598" xr:uid="{33882FC5-68AE-4C3C-8DF6-27973205BEB9}"/>
    <cellStyle name="Normal 6 5 3 3" xfId="17049" xr:uid="{C32960DD-D4B8-4F5D-AB48-C6B13E9CDDB5}"/>
    <cellStyle name="Normal 6 5 3 4" xfId="15631" xr:uid="{76BB2F40-B5C8-4A92-AC4F-CD436F0F9F5F}"/>
    <cellStyle name="Normal 6 5 4" xfId="8172" xr:uid="{760C345B-2EC4-4A36-B0DD-A873969AB5A5}"/>
    <cellStyle name="Normal 6 5 4 2" xfId="17651" xr:uid="{C82AA56C-0EE8-49B7-9241-E464447EB555}"/>
    <cellStyle name="Normal 6 5 4 3" xfId="14558" xr:uid="{0FC29EA6-482A-4E2B-8C5E-C5926E5C2A81}"/>
    <cellStyle name="Normal 6 5 5" xfId="8173" xr:uid="{30FB1976-8B00-4170-9D22-656D0A67E4E7}"/>
    <cellStyle name="Normal 6 5 5 2" xfId="18262" xr:uid="{7692D951-1EAB-41A5-B4FB-867A1C2DAEB2}"/>
    <cellStyle name="Normal 6 5 5 3" xfId="14217" xr:uid="{2BF16B82-E62C-47FE-B50D-4B700B724783}"/>
    <cellStyle name="Normal 6 5 6" xfId="8670" xr:uid="{15EB15F7-FE34-4905-B141-0CBF74E7C65C}"/>
    <cellStyle name="Normal 6 5 6 2" xfId="18722" xr:uid="{627A8CAF-618D-4A04-AF5C-714E5DF2008F}"/>
    <cellStyle name="Normal 6 5 7" xfId="10137" xr:uid="{688B69B4-5C67-4DEE-875B-F24AEEFFF42F}"/>
    <cellStyle name="Normal 6 5 8" xfId="10817" xr:uid="{9644DA7B-D2D2-439C-8738-7BA1B795C5C0}"/>
    <cellStyle name="Normal 6 5 9" xfId="12324" xr:uid="{8383C2E5-FD0C-4079-9BFF-40F67B34C97E}"/>
    <cellStyle name="Normal 6 5 9 2" xfId="15840" xr:uid="{26C8F389-12E2-456B-898C-418FBB301611}"/>
    <cellStyle name="Normal 6 5 9 3" xfId="20676" xr:uid="{C5199AB6-8C95-4D9B-BE23-28BCCAEA4047}"/>
    <cellStyle name="Normal 6 6" xfId="415" xr:uid="{CCC4FE38-2090-4B30-957D-BBBF589B2C06}"/>
    <cellStyle name="Normal 6 6 2" xfId="8174" xr:uid="{3FB3CCFD-DB64-4CAD-875B-AFBBFE31E9A3}"/>
    <cellStyle name="Normal 6 6 2 2" xfId="17377" xr:uid="{35EF16F3-A38C-43E9-A842-006B84124862}"/>
    <cellStyle name="Normal 6 6 3" xfId="8175" xr:uid="{E0EB6A27-D16D-4A2A-A0A9-479D04759989}"/>
    <cellStyle name="Normal 6 6 3 2" xfId="17991" xr:uid="{57AFA2FC-9466-4B27-9D16-9A1F75266B29}"/>
    <cellStyle name="Normal 6 6 4" xfId="9867" xr:uid="{35540426-EA4D-46E3-878D-45CEE3AA9B03}"/>
    <cellStyle name="Normal 6 6 5" xfId="10818" xr:uid="{7EA9B761-8E56-4944-8221-106E9DE18330}"/>
    <cellStyle name="Normal 6 7" xfId="8176" xr:uid="{08C506A6-7F8B-4A20-9B61-09B798A1C2C0}"/>
    <cellStyle name="Normal 6 7 2" xfId="9120" xr:uid="{5DFE73D6-DDE9-4148-9743-AB3FA9D4D13C}"/>
    <cellStyle name="Normal 6 7 2 2" xfId="19172" xr:uid="{2419A038-E162-4B9A-AB71-2ADD99D48E45}"/>
    <cellStyle name="Normal 6 7 3" xfId="11938" xr:uid="{BB6A7BAF-1C04-49BD-B410-C46F25033F36}"/>
    <cellStyle name="Normal 6 7 3 2" xfId="16624" xr:uid="{7E2B6B9E-E26A-447E-95B7-9F758255E82D}"/>
    <cellStyle name="Normal 6 7 3 3" xfId="20638" xr:uid="{4081C454-38FD-42A6-BEEC-340FF73C99D3}"/>
    <cellStyle name="Normal 6 7 4" xfId="15022" xr:uid="{1AAA67F4-D7C7-4F3A-BDC9-13B2FDD56CA0}"/>
    <cellStyle name="Normal 6 8" xfId="8177" xr:uid="{66EE12C6-AF73-4122-9A9C-660F0959346C}"/>
    <cellStyle name="Normal 6 8 2" xfId="11064" xr:uid="{70FED8FD-EA03-4993-988B-77EA8E1F475A}"/>
    <cellStyle name="Normal 6 8 2 2" xfId="17230" xr:uid="{916A6304-5A01-446E-9852-57990D8A2F3E}"/>
    <cellStyle name="Normal 6 8 2 3" xfId="20508" xr:uid="{D3597F9D-4799-4F6E-82D6-3901F658DC8E}"/>
    <cellStyle name="Normal 6 8 3" xfId="15495" xr:uid="{71D1E393-D5EE-48A9-ACD6-02C0A46B0FD9}"/>
    <cellStyle name="Normal 6 9" xfId="8178" xr:uid="{C8E5EF0B-27BF-4A8A-8786-83F53E589AA5}"/>
    <cellStyle name="Normal 6 9 2" xfId="12908" xr:uid="{FFD3BC6A-33AC-42DF-8037-65A132A14C53}"/>
    <cellStyle name="Normal 6 9 2 2" xfId="17840" xr:uid="{72038543-DEDB-4107-85F1-F3BFC838C268}"/>
    <cellStyle name="Normal 6 9 2 3" xfId="20746" xr:uid="{05F09F9C-22EC-44DF-9089-24DBA36A1092}"/>
    <cellStyle name="Normal 62" xfId="2914" xr:uid="{73A1EF00-6FC4-4201-B894-96E6A2799019}"/>
    <cellStyle name="Normal 62 2" xfId="19869" xr:uid="{F8668381-691F-401B-BBEB-427A3CAA7719}"/>
    <cellStyle name="Normal 7" xfId="75" xr:uid="{E9F80BBD-2C88-4AB1-BFD4-2E6A461B3120}"/>
    <cellStyle name="Normal 7 10" xfId="9" xr:uid="{D27DB2D4-3914-4DC8-9E80-DB89EDAAE4A6}"/>
    <cellStyle name="Normal 7 10 2" xfId="12713" xr:uid="{22C0D84F-54DB-419B-88BB-5F3B447FCC1F}"/>
    <cellStyle name="Normal 7 11" xfId="10377" xr:uid="{41A582C6-3DAF-45F9-A1F8-D280400EDD8F}"/>
    <cellStyle name="Normal 7 11 2" xfId="12909" xr:uid="{308CDFFF-90E1-4C5E-832F-AE4C3B714306}"/>
    <cellStyle name="Normal 7 12" xfId="12558" xr:uid="{863C76A2-31D1-4206-9D6C-4FCC431A6F9E}"/>
    <cellStyle name="Normal 7 13" xfId="11124" xr:uid="{7E70EC1F-2068-41C9-A042-6956405D3FF2}"/>
    <cellStyle name="Normal 7 14" xfId="11518" xr:uid="{D69408F0-7B9F-4FA1-B9BF-F88F7E1B287D}"/>
    <cellStyle name="Normal 7 15" xfId="11348" xr:uid="{78CAA2D9-F6CE-4B44-AF16-0DACB20B6D2C}"/>
    <cellStyle name="Normal 7 16" xfId="11654" xr:uid="{293884C6-4D54-4160-9F2F-F7ECE7A8E955}"/>
    <cellStyle name="Normal 7 17" xfId="11349" xr:uid="{899AA372-0998-48AF-B407-67F9503027CE}"/>
    <cellStyle name="Normal 7 18" xfId="11965" xr:uid="{1BB1B591-5310-4477-ABD6-7716F3DB519C}"/>
    <cellStyle name="Normal 7 19" xfId="13370" xr:uid="{2541BEC4-1B3D-4618-A7CC-C21F985E9AA7}"/>
    <cellStyle name="Normal 7 2" xfId="92" xr:uid="{7B6DDCA1-4EB8-4588-AA4E-5C501C64BFD8}"/>
    <cellStyle name="Normal 7 2 10" xfId="10378" xr:uid="{1972C902-075C-4472-A8B8-AD63FC065163}"/>
    <cellStyle name="Normal 7 2 2" xfId="3520" xr:uid="{78010368-4FD5-4A98-9A5F-87D183A4B859}"/>
    <cellStyle name="Normal 7 2 2 2" xfId="8179" xr:uid="{DC63EAEA-AA6A-4F8B-A192-55B6EBEBA572}"/>
    <cellStyle name="Normal 7 2 2 2 2" xfId="8825" xr:uid="{8EE1B51D-5D6C-4F6C-BBD2-970A6F647457}"/>
    <cellStyle name="Normal 7 2 2 2 2 2" xfId="18877" xr:uid="{03113404-8867-4E5A-97BB-19DF2028D854}"/>
    <cellStyle name="Normal 7 2 2 2 3" xfId="16336" xr:uid="{9454EC2E-5EBB-47AD-B5D5-1452908CBA71}"/>
    <cellStyle name="Normal 7 2 2 2 4" xfId="15288" xr:uid="{184520B6-EBB0-4D30-A2B4-EE74913CBCA6}"/>
    <cellStyle name="Normal 7 2 2 3" xfId="8180" xr:uid="{42BCDD4D-6ECA-4D45-8D5A-3D39BF101166}"/>
    <cellStyle name="Normal 7 2 2 3 2" xfId="9273" xr:uid="{D04051FF-FF57-4838-8266-9EB2850A04DF}"/>
    <cellStyle name="Normal 7 2 2 3 2 2" xfId="19325" xr:uid="{879469BB-10D8-4178-9597-A5F34E160884}"/>
    <cellStyle name="Normal 7 2 2 3 3" xfId="16776" xr:uid="{79297BDF-D96F-47B5-89E8-36D7C248AF70}"/>
    <cellStyle name="Normal 7 2 2 3 4" xfId="14893" xr:uid="{CDAFFE0C-5A6C-4E70-8B42-705EE0050F80}"/>
    <cellStyle name="Normal 7 2 2 4" xfId="8181" xr:uid="{6C91F503-2CBE-4351-8E3B-93A99D05D3C4}"/>
    <cellStyle name="Normal 7 2 2 4 2" xfId="17652" xr:uid="{EE557F98-00E2-4486-813E-CF3AE1605A9A}"/>
    <cellStyle name="Normal 7 2 2 4 3" xfId="14557" xr:uid="{817CBF9A-9591-4730-A99A-ADE8AB0DF767}"/>
    <cellStyle name="Normal 7 2 2 5" xfId="8182" xr:uid="{6B3DCCF6-F360-48BA-8A3C-A6209217EB1B}"/>
    <cellStyle name="Normal 7 2 2 5 2" xfId="18263" xr:uid="{51386D8C-4089-462F-ABA7-2D7B9F332A8A}"/>
    <cellStyle name="Normal 7 2 2 5 3" xfId="14216" xr:uid="{C0B3F862-7E4C-40FD-9EFC-9DC6D8719610}"/>
    <cellStyle name="Normal 7 2 2 6" xfId="8397" xr:uid="{709D396C-0861-4DED-9E59-98A12B0246BE}"/>
    <cellStyle name="Normal 7 2 2 6 2" xfId="18449" xr:uid="{F991CC34-7E88-40D4-A6CB-579B4A8A57EF}"/>
    <cellStyle name="Normal 7 2 2 7" xfId="10138" xr:uid="{46462D47-C01D-478C-ACEC-BD415034CBE5}"/>
    <cellStyle name="Normal 7 2 2 8" xfId="10819" xr:uid="{1D9D171C-B525-4A33-AD6E-972EEFC78813}"/>
    <cellStyle name="Normal 7 2 2 9" xfId="16067" xr:uid="{05E34B3F-A434-4541-ACCF-025C99BEC87D}"/>
    <cellStyle name="Normal 7 2 3" xfId="4669" xr:uid="{9D7D4266-EC18-49DD-870B-7265AB6BF63E}"/>
    <cellStyle name="Normal 7 2 3 2" xfId="8183" xr:uid="{83B053B9-B179-4776-BF47-101879A71648}"/>
    <cellStyle name="Normal 7 2 3 2 2" xfId="9099" xr:uid="{ADFB8F16-3529-44FB-968F-F44997533ED6}"/>
    <cellStyle name="Normal 7 2 3 2 2 2" xfId="19151" xr:uid="{87C742AE-415E-4F47-A726-6458B2055727}"/>
    <cellStyle name="Normal 7 2 3 2 3" xfId="16604" xr:uid="{31C7F09E-1D85-4E90-96FA-544324624C68}"/>
    <cellStyle name="Normal 7 2 3 2 4" xfId="15041" xr:uid="{F4B3A71A-6524-464C-BA34-506DE94A845E}"/>
    <cellStyle name="Normal 7 2 3 3" xfId="8184" xr:uid="{7F852B61-B26F-4D92-AB44-6DFEEE8E8B78}"/>
    <cellStyle name="Normal 7 2 3 3 2" xfId="9547" xr:uid="{969CE6C0-DDB1-4774-B218-401A46002E77}"/>
    <cellStyle name="Normal 7 2 3 3 2 2" xfId="19599" xr:uid="{E9BF741B-9444-430F-838D-9E6501BF036D}"/>
    <cellStyle name="Normal 7 2 3 3 3" xfId="17050" xr:uid="{6EFFD758-A21D-4F8A-BE64-8AEC37CE2721}"/>
    <cellStyle name="Normal 7 2 3 3 4" xfId="15630" xr:uid="{3267BDA3-C9CF-4BCE-A379-E9EAAD2E5C5A}"/>
    <cellStyle name="Normal 7 2 3 4" xfId="8185" xr:uid="{DBF5B87D-1E94-4F51-9061-F1BC35B2A9AD}"/>
    <cellStyle name="Normal 7 2 3 4 2" xfId="17653" xr:uid="{CE754705-E945-4F28-8FF5-4FA18E0423F5}"/>
    <cellStyle name="Normal 7 2 3 4 3" xfId="14556" xr:uid="{421C8281-6DA3-4CD0-98B9-A569A2C3F17E}"/>
    <cellStyle name="Normal 7 2 3 5" xfId="8186" xr:uid="{4581C2A5-B92E-4B7A-8D87-BE6CB48587A6}"/>
    <cellStyle name="Normal 7 2 3 5 2" xfId="18264" xr:uid="{E46806E9-C7FB-4566-879F-2F104F4C3CFF}"/>
    <cellStyle name="Normal 7 2 3 5 3" xfId="14215" xr:uid="{89DEEBB0-5D6F-437B-980E-C50BD9790CAD}"/>
    <cellStyle name="Normal 7 2 3 6" xfId="8671" xr:uid="{4507F57B-B4D6-4129-9956-FFDA721E1831}"/>
    <cellStyle name="Normal 7 2 3 6 2" xfId="18723" xr:uid="{B05B2B0E-322B-4F39-9EA6-C5E7E4EB2970}"/>
    <cellStyle name="Normal 7 2 3 7" xfId="10139" xr:uid="{FEECB3A5-286D-4780-B7D3-7A79BC6665D0}"/>
    <cellStyle name="Normal 7 2 3 8" xfId="10820" xr:uid="{EAB5944C-A2A7-4D84-8ECB-3C28822B8A33}"/>
    <cellStyle name="Normal 7 2 3 9" xfId="15839" xr:uid="{96120A62-3CAB-4AF0-B1B9-ED3565116460}"/>
    <cellStyle name="Normal 7 2 4" xfId="6044" xr:uid="{1C3674B9-0C4D-48A5-A241-0A118464313C}"/>
    <cellStyle name="Normal 7 2 4 2" xfId="8187" xr:uid="{DE4CFAD3-FD45-4D51-AFB9-E923888F2401}"/>
    <cellStyle name="Normal 7 2 4 2 2" xfId="17380" xr:uid="{57727C4A-9AA3-40CB-A4A2-01176371E5A9}"/>
    <cellStyle name="Normal 7 2 4 3" xfId="8188" xr:uid="{7B6FBF81-A8CE-4FFA-B837-FE89B24729F2}"/>
    <cellStyle name="Normal 7 2 4 3 2" xfId="17994" xr:uid="{CD7AEBCE-854A-48D3-94F9-E82F8ECEA585}"/>
    <cellStyle name="Normal 7 2 4 4" xfId="9870" xr:uid="{1FEB24D9-0B04-4D78-BDC6-4F9A8244ED28}"/>
    <cellStyle name="Normal 7 2 4 5" xfId="10821" xr:uid="{F601F6D4-3CE7-4D48-A1CB-2684B80DB465}"/>
    <cellStyle name="Normal 7 2 5" xfId="418" xr:uid="{FDF216CF-C7CF-4784-9488-04087D94B13E}"/>
    <cellStyle name="Normal 7 2 5 2" xfId="19642" xr:uid="{0241FED8-6F01-4406-93A3-2AFDA3FDA7CD}"/>
    <cellStyle name="Normal 7 2 6" xfId="8189" xr:uid="{4FB3424A-99A6-450D-8A55-F38D0543922E}"/>
    <cellStyle name="Normal 7 2 7" xfId="8190" xr:uid="{28DE25F4-6BE1-4F39-8578-6C9F2925EA21}"/>
    <cellStyle name="Normal 7 2 7 2" xfId="17233" xr:uid="{C43F57B0-E5C4-445D-B128-44F31480F469}"/>
    <cellStyle name="Normal 7 2 8" xfId="8191" xr:uid="{FF05099D-10C6-45B8-AB89-9797147247B7}"/>
    <cellStyle name="Normal 7 2 8 2" xfId="17843" xr:uid="{B2AF80BE-A2D2-4345-AD2F-E16A7A58DD1E}"/>
    <cellStyle name="Normal 7 2 9" xfId="9724" xr:uid="{BF2EB409-A2EE-4234-9B58-E33F53C614B2}"/>
    <cellStyle name="Normal 7 20" xfId="11092" xr:uid="{A376E96D-514F-498E-AC74-23558EEC54FD}"/>
    <cellStyle name="Normal 7 21" xfId="12910" xr:uid="{95B5FAEF-2C9D-4D8F-B692-1C402B5CB813}"/>
    <cellStyle name="Normal 7 22" xfId="12398" xr:uid="{1F0EFE00-4613-4FE7-8988-C0D663A7196F}"/>
    <cellStyle name="Normal 7 23" xfId="12599" xr:uid="{AECA5DBE-FD9A-4E4F-9E6C-97B08F717DF3}"/>
    <cellStyle name="Normal 7 24" xfId="12016" xr:uid="{9EFE49A9-1B43-4F36-A2D9-3EF811F5F057}"/>
    <cellStyle name="Normal 7 3" xfId="2915" xr:uid="{85D5B9A5-A579-4509-8247-57D6495DA25A}"/>
    <cellStyle name="Normal 7 3 2" xfId="8192" xr:uid="{E2620459-1153-40B2-8031-EF5CAD477AAE}"/>
    <cellStyle name="Normal 7 3 2 2" xfId="8821" xr:uid="{53CE790B-AE3E-41C7-ABB6-C21FEC261A75}"/>
    <cellStyle name="Normal 7 3 2 2 2" xfId="18873" xr:uid="{97C4175D-9863-4853-BF0D-6294A23BF105}"/>
    <cellStyle name="Normal 7 3 2 3" xfId="16335" xr:uid="{07C87668-16FE-4065-A911-4801BAF69A7D}"/>
    <cellStyle name="Normal 7 3 2 4" xfId="14162" xr:uid="{B8054A99-B79A-4EDB-A091-C5F592642FFA}"/>
    <cellStyle name="Normal 7 3 3" xfId="8193" xr:uid="{E6BEEC51-9FDD-4217-8003-8C121E097378}"/>
    <cellStyle name="Normal 7 3 3 2" xfId="9269" xr:uid="{4D38AABC-1672-46E9-BBE1-579601B00461}"/>
    <cellStyle name="Normal 7 3 3 2 2" xfId="19321" xr:uid="{F1CA3B8E-9A28-4E68-A51E-3A5F25A795FC}"/>
    <cellStyle name="Normal 7 3 3 3" xfId="16772" xr:uid="{6C72A019-9F1E-409E-9078-4D6EF1A93882}"/>
    <cellStyle name="Normal 7 3 3 4" xfId="14897" xr:uid="{75AB35F6-B624-4DC8-9393-BEDD1E27C78F}"/>
    <cellStyle name="Normal 7 3 4" xfId="8194" xr:uid="{FA1572CC-BE12-4221-AF76-2E73D7C50970}"/>
    <cellStyle name="Normal 7 3 4 2" xfId="17654" xr:uid="{069DDDF2-7281-48DE-856A-904B3F7EA3B9}"/>
    <cellStyle name="Normal 7 3 4 3" xfId="14555" xr:uid="{0B5B151E-91B7-4D32-9FCD-9F711A3C278D}"/>
    <cellStyle name="Normal 7 3 5" xfId="8195" xr:uid="{3EBB3811-C570-417E-B14C-EFF5F19C920C}"/>
    <cellStyle name="Normal 7 3 5 2" xfId="18265" xr:uid="{36B5905F-5B0E-4CBA-BDCB-0367DF883EAC}"/>
    <cellStyle name="Normal 7 3 5 3" xfId="14214" xr:uid="{A90C4C9E-E4D4-4C23-96F8-5696ED76AB78}"/>
    <cellStyle name="Normal 7 3 6" xfId="8393" xr:uid="{5858116A-5622-4AC6-A8B1-B3F6A8BE376C}"/>
    <cellStyle name="Normal 7 3 6 2" xfId="18445" xr:uid="{FD4761BD-AE7F-4B00-809E-DA49A23691BC}"/>
    <cellStyle name="Normal 7 3 7" xfId="10140" xr:uid="{D857C137-39DC-42F7-855B-2355D01A8B46}"/>
    <cellStyle name="Normal 7 3 8" xfId="10822" xr:uid="{7D5A9A03-2FAD-48EF-903D-DF29C3DDCC10}"/>
    <cellStyle name="Normal 7 3 9" xfId="12771" xr:uid="{4CD6DED2-55AC-4573-9754-F12E599B0172}"/>
    <cellStyle name="Normal 7 3 9 2" xfId="15429" xr:uid="{8FC581E1-70E6-41B3-8DFC-E0FCBE0C9E68}"/>
    <cellStyle name="Normal 7 3 9 3" xfId="20722" xr:uid="{480AA099-87EE-45B4-99EC-7F005D6215A8}"/>
    <cellStyle name="Normal 7 4" xfId="4670" xr:uid="{B235CBB8-F9D1-4346-B415-1882F7BEAC05}"/>
    <cellStyle name="Normal 7 4 2" xfId="8196" xr:uid="{45272E2C-5696-4A99-8EF0-BD7951F17E6B}"/>
    <cellStyle name="Normal 7 4 2 2" xfId="9100" xr:uid="{C428557D-4FD7-4574-810E-2A86226B9A48}"/>
    <cellStyle name="Normal 7 4 2 2 2" xfId="19152" xr:uid="{AF158F5B-65A2-4560-BC61-A082593F9780}"/>
    <cellStyle name="Normal 7 4 2 3" xfId="16605" xr:uid="{0EA3BD84-A803-4A9C-A23D-0733ED758ADB}"/>
    <cellStyle name="Normal 7 4 2 4" xfId="15040" xr:uid="{3DB3EE10-1C36-4D0A-873F-BC941A1756D1}"/>
    <cellStyle name="Normal 7 4 3" xfId="8197" xr:uid="{5C6149D1-0F9D-4CE3-A0AB-30D1D745ED36}"/>
    <cellStyle name="Normal 7 4 3 2" xfId="9548" xr:uid="{B8A0F513-D9D8-4BC1-A29D-DD155ACF08B3}"/>
    <cellStyle name="Normal 7 4 3 2 2" xfId="19600" xr:uid="{4A36FC4C-F6B0-4752-9F2C-3A96601FD3B1}"/>
    <cellStyle name="Normal 7 4 3 3" xfId="17051" xr:uid="{91A7E1D2-6D32-4044-B3AC-FD9F0071B420}"/>
    <cellStyle name="Normal 7 4 3 4" xfId="15629" xr:uid="{2594E22F-E6E9-4F98-8340-6677CC3C18E5}"/>
    <cellStyle name="Normal 7 4 4" xfId="8198" xr:uid="{7B78B631-8D0E-45CD-8A78-9831071C60BF}"/>
    <cellStyle name="Normal 7 4 4 2" xfId="17655" xr:uid="{7678C4E4-121C-490A-AC2B-AD99F6097706}"/>
    <cellStyle name="Normal 7 4 4 3" xfId="14554" xr:uid="{10C2AC23-31ED-4F5B-8634-4839B89D5A54}"/>
    <cellStyle name="Normal 7 4 5" xfId="8199" xr:uid="{E9A1C429-CD09-4667-990D-2E3F5D077B9B}"/>
    <cellStyle name="Normal 7 4 5 2" xfId="18266" xr:uid="{EF128037-FE40-47CF-BEA1-E3E752F63780}"/>
    <cellStyle name="Normal 7 4 5 3" xfId="14213" xr:uid="{3C0286BB-0B58-41A0-8C67-074F2C3F08DC}"/>
    <cellStyle name="Normal 7 4 6" xfId="8672" xr:uid="{314B26AA-A97A-41EF-996D-8B769645AB09}"/>
    <cellStyle name="Normal 7 4 6 2" xfId="18724" xr:uid="{B0D09450-FDA8-4A34-A3C2-87B2BA8DAEBD}"/>
    <cellStyle name="Normal 7 4 7" xfId="10141" xr:uid="{A41DD1A7-CDBD-489B-9595-AAD6DDD8BC85}"/>
    <cellStyle name="Normal 7 4 8" xfId="10823" xr:uid="{C54697B2-AC2C-475B-B6DD-F9379076CF55}"/>
    <cellStyle name="Normal 7 4 9" xfId="11390" xr:uid="{BB60D06D-862E-4FB4-867B-556B01FC9DFD}"/>
    <cellStyle name="Normal 7 4 9 2" xfId="15838" xr:uid="{A1BC263B-AB10-4CA2-8D8C-707E43731977}"/>
    <cellStyle name="Normal 7 4 9 3" xfId="20561" xr:uid="{F1FEA20A-8755-4253-94F6-5F4DF827E23F}"/>
    <cellStyle name="Normal 7 5" xfId="6057" xr:uid="{17B7B9B7-0E2B-49BD-9473-5409384C9DE3}"/>
    <cellStyle name="Normal 7 5 2" xfId="8200" xr:uid="{DF371D16-3D96-49E0-85DC-541B5407067A}"/>
    <cellStyle name="Normal 7 5 2 2" xfId="17379" xr:uid="{C69F005E-9F4A-44A8-8505-85B0F7C68AD4}"/>
    <cellStyle name="Normal 7 5 2 3" xfId="14122" xr:uid="{077820F9-02D1-4CFC-BF37-49406282322E}"/>
    <cellStyle name="Normal 7 5 2 4" xfId="15458" xr:uid="{19AF9667-EEED-4985-9111-29C77107B19E}"/>
    <cellStyle name="Normal 7 5 3" xfId="8201" xr:uid="{38F4129E-9C97-48A2-8405-090A382D5F79}"/>
    <cellStyle name="Normal 7 5 3 2" xfId="17993" xr:uid="{A0B67765-9FE2-4CE2-B19A-8730FE3ED3A5}"/>
    <cellStyle name="Normal 7 5 4" xfId="9869" xr:uid="{70DE1130-00F1-4748-B2FD-99B02404BEA7}"/>
    <cellStyle name="Normal 7 5 5" xfId="10824" xr:uid="{AACFAD47-718F-4742-87D1-62F1182C6B62}"/>
    <cellStyle name="Normal 7 5 6" xfId="12571" xr:uid="{2D918258-B97F-45DF-A7B9-9F18767C29C2}"/>
    <cellStyle name="Normal 7 6" xfId="417" xr:uid="{F8F5ED68-881A-4347-B9DA-E13C47939E3B}"/>
    <cellStyle name="Normal 7 6 2" xfId="12911" xr:uid="{5E795B34-8BFC-46D2-B7B4-38BFCEA18BF8}"/>
    <cellStyle name="Normal 7 6 2 2" xfId="19641" xr:uid="{D7581FFB-ED0D-4071-8D0A-0D88B2438E03}"/>
    <cellStyle name="Normal 7 6 2 3" xfId="20747" xr:uid="{52336C9F-0055-4919-8153-785CDF9E9A42}"/>
    <cellStyle name="Normal 7 7" xfId="8202" xr:uid="{68C3CA1B-B58E-403A-BEFF-8C4D9AA5087E}"/>
    <cellStyle name="Normal 7 7 2" xfId="12912" xr:uid="{7AD1F5DD-465A-48F6-824C-108F8A664A95}"/>
    <cellStyle name="Normal 7 7 2 2" xfId="17232" xr:uid="{C9EFBF37-3FB1-4926-9011-4ED696794711}"/>
    <cellStyle name="Normal 7 7 2 3" xfId="20748" xr:uid="{1FE53D5B-F47B-463B-9210-C386C8F0A3FB}"/>
    <cellStyle name="Normal 7 8" xfId="8203" xr:uid="{3E16B2BC-FF9D-4225-AA31-A0595675D1AC}"/>
    <cellStyle name="Normal 7 8 2" xfId="12913" xr:uid="{2BE49440-E22B-4FE0-96C6-D2C3654E7DF3}"/>
    <cellStyle name="Normal 7 8 2 2" xfId="17842" xr:uid="{520422DA-1B7F-454C-83C1-1F66E5DC8245}"/>
    <cellStyle name="Normal 7 8 2 3" xfId="20749" xr:uid="{3700126F-E9F7-48CC-99EC-05B1D3CD131F}"/>
    <cellStyle name="Normal 7 9" xfId="9723" xr:uid="{9089D2F0-414A-447F-A526-4649F5112CE4}"/>
    <cellStyle name="Normal 7 9 2" xfId="11453" xr:uid="{A5EFD322-4CA2-469D-9A11-981E70493B64}"/>
    <cellStyle name="Normal 8" xfId="93" xr:uid="{5654EB3B-F660-471F-9E7B-BB9016BED88B}"/>
    <cellStyle name="Normal 8 10" xfId="10957" xr:uid="{979711C4-2AA4-49BF-8516-8BB0D1437639}"/>
    <cellStyle name="Normal 8 11" xfId="11887" xr:uid="{8E4615DF-5EA1-4D2C-A9C6-8430F8A80946}"/>
    <cellStyle name="Normal 8 12" xfId="12914" xr:uid="{84F36671-A704-4C18-A8B4-4142343A7146}"/>
    <cellStyle name="Normal 8 13" xfId="12556" xr:uid="{3A3ECECF-7433-4A17-BF6F-4D027C047FF5}"/>
    <cellStyle name="Normal 8 14" xfId="12915" xr:uid="{10520C12-DDF6-44BE-AC8B-A0649620859D}"/>
    <cellStyle name="Normal 8 15" xfId="12604" xr:uid="{2BB8F289-2509-408B-B527-BE6AB8000610}"/>
    <cellStyle name="Normal 8 16" xfId="12916" xr:uid="{80E9B3CD-2312-4100-B16D-1FFA060E7236}"/>
    <cellStyle name="Normal 8 17" xfId="13164" xr:uid="{2DE5DBBB-E095-469F-A793-A40DA584446A}"/>
    <cellStyle name="Normal 8 18" xfId="11341" xr:uid="{C362B987-4576-4303-AE44-425B54E43C9B}"/>
    <cellStyle name="Normal 8 19" xfId="12711" xr:uid="{60F79FD7-7A5E-47A9-9DD1-D6E4895A58A8}"/>
    <cellStyle name="Normal 8 2" xfId="2916" xr:uid="{8E51DBBE-BEAE-4AE9-81EA-520C5C8E8C53}"/>
    <cellStyle name="Normal 8 2 2" xfId="10958" xr:uid="{9B623294-024C-49B8-8842-97DF388E13CC}"/>
    <cellStyle name="Normal 8 20" xfId="12917" xr:uid="{3E7D4512-79D1-4351-AA21-0DB3DFCDF031}"/>
    <cellStyle name="Normal 8 21" xfId="11228" xr:uid="{3B3F7F60-6B65-4793-9CE4-7C61145F88EA}"/>
    <cellStyle name="Normal 8 22" xfId="11418" xr:uid="{33D41C17-3C98-447E-8E6E-CA891CC622C4}"/>
    <cellStyle name="Normal 8 23" xfId="12918" xr:uid="{B9C594F1-AA90-43F2-B1E8-453886D81215}"/>
    <cellStyle name="Normal 8 24" xfId="11237" xr:uid="{31A79226-AE08-4F1F-9230-640313787708}"/>
    <cellStyle name="Normal 8 25" xfId="11125" xr:uid="{077B70DD-95AF-4D97-B685-CA3DB6413079}"/>
    <cellStyle name="Normal 8 3" xfId="6043" xr:uid="{EDB5A82D-0599-4BCD-A3E1-4F63609C1A2B}"/>
    <cellStyle name="Normal 8 3 2" xfId="8204" xr:uid="{866A22FD-FC48-4D59-A535-3666CCF16D03}"/>
    <cellStyle name="Normal 8 3 2 2" xfId="15614" xr:uid="{6A3B71E6-1BB8-4BE6-BAA6-B135C9E62973}"/>
    <cellStyle name="Normal 8 3 2 3" xfId="15464" xr:uid="{69D1CD97-9FA0-48ED-B65C-9E31ACF55921}"/>
    <cellStyle name="Normal 8 3 3" xfId="8682" xr:uid="{65056430-C255-4859-B8F3-0F9E9AC62C6D}"/>
    <cellStyle name="Normal 8 3 3 2" xfId="18734" xr:uid="{158DA251-EA7E-49F9-8E5A-631B4CA8E62C}"/>
    <cellStyle name="Normal 8 3 4" xfId="8245" xr:uid="{A4ADB92A-8107-45CD-A1BE-57E93E0A0348}"/>
    <cellStyle name="Normal 8 3 5" xfId="15830" xr:uid="{9E57B543-76D7-447D-9ECC-6A5742DAD8CE}"/>
    <cellStyle name="Normal 8 4" xfId="160" xr:uid="{3039D670-D9EA-4D00-8F5B-2CF31342DC48}"/>
    <cellStyle name="Normal 8 4 2" xfId="9129" xr:uid="{5D281260-71D6-46A7-B47B-834359C2560F}"/>
    <cellStyle name="Normal 8 4 2 2" xfId="19181" xr:uid="{17E02C40-0A32-4101-8155-2A0BB9F5BDDA}"/>
    <cellStyle name="Normal 8 4 2 3" xfId="16262" xr:uid="{524FBB48-4A8A-41C3-8595-DC3E72F3864E}"/>
    <cellStyle name="Normal 8 4 3" xfId="11904" xr:uid="{45A48D11-F399-4817-B54F-9D0053F8F85D}"/>
    <cellStyle name="Normal 8 4 3 2" xfId="16632" xr:uid="{05E4A8E0-49C4-4CC3-8649-165BCEBE8284}"/>
    <cellStyle name="Normal 8 4 3 3" xfId="15451" xr:uid="{57A125B3-AE51-46B0-B24F-3C5C81200645}"/>
    <cellStyle name="Normal 8 4 3 4" xfId="20635" xr:uid="{1D0FF015-53DC-47CD-90E0-6910EB921A38}"/>
    <cellStyle name="Normal 8 4 4" xfId="15014" xr:uid="{0B895A72-8923-450D-8A6E-D6AD5E302F3C}"/>
    <cellStyle name="Normal 8 5" xfId="8205" xr:uid="{30AF77A0-BFF6-4A0E-A137-E76E3FE0B01E}"/>
    <cellStyle name="Normal 8 5 2" xfId="11655" xr:uid="{7271725E-7CA6-44CC-8729-EA65EB684C27}"/>
    <cellStyle name="Normal 8 6" xfId="8254" xr:uid="{F700AC62-59EB-4015-A470-7150C397F1F6}"/>
    <cellStyle name="Normal 8 6 2" xfId="12582" xr:uid="{29BA032D-5EF3-4A3D-B2FF-4DA946479F10}"/>
    <cellStyle name="Normal 8 6 2 2" xfId="18306" xr:uid="{C049FF53-6B8C-4904-A552-F5FF4F637027}"/>
    <cellStyle name="Normal 8 6 2 3" xfId="20708" xr:uid="{1E5139FE-B220-4ABF-9EE2-126BFC050439}"/>
    <cellStyle name="Normal 8 7" xfId="12923" xr:uid="{7FA72070-D403-4970-9F8A-28D8519CBF77}"/>
    <cellStyle name="Normal 8 7 2" xfId="16292" xr:uid="{3A9C2F3E-780A-45E0-888B-058E438D71DC}"/>
    <cellStyle name="Normal 8 7 3" xfId="20750" xr:uid="{DB802EF7-CACA-45B9-BCFC-00BEDB11EA91}"/>
    <cellStyle name="Normal 8 8" xfId="12924" xr:uid="{AF6B0E00-6369-4A96-BC43-584BD0C5F005}"/>
    <cellStyle name="Normal 8 8 2" xfId="16201" xr:uid="{21A300FF-13E8-443D-8F27-C03390996596}"/>
    <cellStyle name="Normal 8 8 3" xfId="20751" xr:uid="{C8B3337C-3B78-478B-9DEB-038B4F5C88E4}"/>
    <cellStyle name="Normal 8 9" xfId="11436" xr:uid="{BF831698-17E1-46F0-8C87-FA91BA2810A7}"/>
    <cellStyle name="Normal 9" xfId="94" xr:uid="{6ECC4D5F-29A8-4986-9C8A-176B7AC2CB41}"/>
    <cellStyle name="Normal 9 2" xfId="3525" xr:uid="{46BF1656-2B32-4CC1-9270-FB2315A75E6D}"/>
    <cellStyle name="Normal 9 2 10" xfId="10379" xr:uid="{0C317451-DD5B-40D9-BC2D-0DD6C39248BD}"/>
    <cellStyle name="Normal 9 2 11" xfId="16065" xr:uid="{97981D92-5A14-4F57-AB59-FF4D5F6D9BF1}"/>
    <cellStyle name="Normal 9 2 2" xfId="4671" xr:uid="{972F9506-223E-48AF-ACB5-08C7873AE76A}"/>
    <cellStyle name="Normal 9 2 2 2" xfId="8206" xr:uid="{B5B9BFE4-7071-40F4-9974-76BDB100BF90}"/>
    <cellStyle name="Normal 9 2 2 2 2" xfId="9101" xr:uid="{C7F709AE-112F-4872-9620-A5D943785DB8}"/>
    <cellStyle name="Normal 9 2 2 2 2 2" xfId="19153" xr:uid="{7C314F25-2938-4703-AA11-970F9BDF3DDD}"/>
    <cellStyle name="Normal 9 2 2 2 3" xfId="16606" xr:uid="{E48A9D99-3A2D-45C5-9080-1D5CA98861C9}"/>
    <cellStyle name="Normal 9 2 2 2 4" xfId="15039" xr:uid="{F7B03366-A389-4E2A-B30F-10A44AA41807}"/>
    <cellStyle name="Normal 9 2 2 3" xfId="8207" xr:uid="{A27BC4F8-D424-4D85-ABA5-7A83E21980D6}"/>
    <cellStyle name="Normal 9 2 2 3 2" xfId="9549" xr:uid="{2CCF973E-5BC3-4D40-8E8A-B3149755BD9C}"/>
    <cellStyle name="Normal 9 2 2 3 2 2" xfId="19601" xr:uid="{90E127AA-28DA-4663-82F5-432F9486A71E}"/>
    <cellStyle name="Normal 9 2 2 3 3" xfId="17052" xr:uid="{6CB91DC8-3479-41C4-BFB8-04EC32E88071}"/>
    <cellStyle name="Normal 9 2 2 3 4" xfId="15628" xr:uid="{DCA9D0A2-A234-4F7F-916D-98844B0115E3}"/>
    <cellStyle name="Normal 9 2 2 4" xfId="8208" xr:uid="{C6DF7671-3357-4DA3-B1A6-A6F16378D98C}"/>
    <cellStyle name="Normal 9 2 2 4 2" xfId="17656" xr:uid="{6CC4D153-959B-4C1E-8747-56191228C2EB}"/>
    <cellStyle name="Normal 9 2 2 4 3" xfId="14553" xr:uid="{D2421CB8-94CB-453E-AA4F-0E390A09FF45}"/>
    <cellStyle name="Normal 9 2 2 5" xfId="8209" xr:uid="{643EB605-C24A-4290-BFC6-2147BC706F19}"/>
    <cellStyle name="Normal 9 2 2 5 2" xfId="18267" xr:uid="{3A72DEB2-9C65-4BB8-ABF2-BA13A84D475E}"/>
    <cellStyle name="Normal 9 2 2 5 3" xfId="14212" xr:uid="{D3D25CEC-96D9-44D5-AE6D-42A124E1421F}"/>
    <cellStyle name="Normal 9 2 2 6" xfId="8673" xr:uid="{CAF15DFC-A7E7-4044-8D28-EC682CBAC06E}"/>
    <cellStyle name="Normal 9 2 2 6 2" xfId="18725" xr:uid="{DE450B3C-3430-4850-BB6E-A9DD1B7E56AB}"/>
    <cellStyle name="Normal 9 2 2 7" xfId="10142" xr:uid="{0601B1FF-7520-4BE1-904C-1C00AFF06F1F}"/>
    <cellStyle name="Normal 9 2 2 8" xfId="10825" xr:uid="{3D090850-FF7B-4AD2-9CF4-EC00532B5EA2}"/>
    <cellStyle name="Normal 9 2 2 9" xfId="15392" xr:uid="{02E634E6-69AD-45BC-B361-57CDA46AE0CE}"/>
    <cellStyle name="Normal 9 2 3" xfId="4672" xr:uid="{CF95574C-552A-4209-9C68-820EAD9468B9}"/>
    <cellStyle name="Normal 9 2 3 2" xfId="8210" xr:uid="{DAF47715-1334-473D-B1BA-36C2C3B63C9B}"/>
    <cellStyle name="Normal 9 2 3 2 2" xfId="9102" xr:uid="{5BC29B07-C878-40E7-976A-461A1C529AD0}"/>
    <cellStyle name="Normal 9 2 3 2 2 2" xfId="19154" xr:uid="{22F742A4-3AB9-439C-8551-C92A651DC3A1}"/>
    <cellStyle name="Normal 9 2 3 2 3" xfId="16607" xr:uid="{9EE7D93E-292B-48BE-A414-44EEA4581CEE}"/>
    <cellStyle name="Normal 9 2 3 2 4" xfId="15038" xr:uid="{614FB505-3289-4D22-8F1F-88C6CA9E0D9B}"/>
    <cellStyle name="Normal 9 2 3 3" xfId="8211" xr:uid="{FE574A3A-8AA2-407B-9FFA-6FC9CEE9E9FA}"/>
    <cellStyle name="Normal 9 2 3 3 2" xfId="9550" xr:uid="{4FEB50C2-55DC-4B5C-8640-DD130836D90E}"/>
    <cellStyle name="Normal 9 2 3 3 2 2" xfId="19602" xr:uid="{25E1653F-25FC-40E6-81D7-4A76283D9731}"/>
    <cellStyle name="Normal 9 2 3 3 3" xfId="17053" xr:uid="{382B1240-CCFF-4F06-B0AA-E88F92A45855}"/>
    <cellStyle name="Normal 9 2 3 3 4" xfId="15627" xr:uid="{2016DAE5-9A74-4C25-96BC-D8B13F5D86BE}"/>
    <cellStyle name="Normal 9 2 3 4" xfId="8212" xr:uid="{F281D779-A10D-4C0A-BDF4-016156C0A5E4}"/>
    <cellStyle name="Normal 9 2 3 4 2" xfId="17657" xr:uid="{E4C3479D-C033-4E67-A761-AC78DD5DAC86}"/>
    <cellStyle name="Normal 9 2 3 4 3" xfId="14552" xr:uid="{5AEE64D9-FED8-45B9-9103-B4E18E84C083}"/>
    <cellStyle name="Normal 9 2 3 5" xfId="8213" xr:uid="{1B3FFEE8-9FEF-4441-80DD-A5B28285441A}"/>
    <cellStyle name="Normal 9 2 3 5 2" xfId="18268" xr:uid="{22E40BEA-EA24-4885-BBC7-ABD6EFB493AE}"/>
    <cellStyle name="Normal 9 2 3 5 3" xfId="14211" xr:uid="{EEFCC1DD-689B-49CE-BC88-45525E6AFA41}"/>
    <cellStyle name="Normal 9 2 3 6" xfId="8674" xr:uid="{6A48473B-2FA0-4FCD-AE34-907C6CF9A382}"/>
    <cellStyle name="Normal 9 2 3 6 2" xfId="18726" xr:uid="{04FC71F4-830A-4C2A-8EA7-44FD530A1ACC}"/>
    <cellStyle name="Normal 9 2 3 7" xfId="10143" xr:uid="{B3C9B92B-8833-4B7E-9395-DF3061411B85}"/>
    <cellStyle name="Normal 9 2 3 8" xfId="10826" xr:uid="{19635B04-7A1B-418F-9C77-11124D34C938}"/>
    <cellStyle name="Normal 9 2 3 9" xfId="15837" xr:uid="{BD6EEDD1-7E52-4236-9734-222102A43F17}"/>
    <cellStyle name="Normal 9 2 4" xfId="8214" xr:uid="{9C82945C-8D3B-4788-ACC5-6E1256B81290}"/>
    <cellStyle name="Normal 9 2 4 2" xfId="8215" xr:uid="{8261190A-19D9-4BE1-AC5C-6A75DCD2731E}"/>
    <cellStyle name="Normal 9 2 4 2 2" xfId="17381" xr:uid="{98F1AFF1-41DD-44FC-8DCD-CFDF04CF7D07}"/>
    <cellStyle name="Normal 9 2 4 3" xfId="8216" xr:uid="{319FA34E-5BDA-46A1-B3CF-398ED7111044}"/>
    <cellStyle name="Normal 9 2 4 3 2" xfId="17995" xr:uid="{06B7807C-3D57-401C-AC6F-CAE85DEC1341}"/>
    <cellStyle name="Normal 9 2 4 4" xfId="8827" xr:uid="{A4FA5011-A3D0-4CF6-B1E0-364E7A9E19AB}"/>
    <cellStyle name="Normal 9 2 4 4 2" xfId="18879" xr:uid="{E80E9E1F-EE85-4F58-A448-6230A7A45884}"/>
    <cellStyle name="Normal 9 2 4 5" xfId="9871" xr:uid="{28FEC1C8-1100-4097-B679-F9FC4319B470}"/>
    <cellStyle name="Normal 9 2 4 6" xfId="10827" xr:uid="{C4DB6CD6-D3E3-42FC-BE34-A34DA19923C5}"/>
    <cellStyle name="Normal 9 2 4 7" xfId="15286" xr:uid="{9836E5BB-6904-4E5D-8F29-F7C4F7A9CEF8}"/>
    <cellStyle name="Normal 9 2 5" xfId="8217" xr:uid="{9C1654E0-8094-40EF-A959-C16287570C5E}"/>
    <cellStyle name="Normal 9 2 5 2" xfId="9275" xr:uid="{E654A8A8-6A7A-44CD-A52E-9DEBFF1C965C}"/>
    <cellStyle name="Normal 9 2 5 2 2" xfId="19327" xr:uid="{CFAAD53F-D629-4182-BC0A-8CC95CB9957C}"/>
    <cellStyle name="Normal 9 2 5 3" xfId="16778" xr:uid="{881EB013-5C2E-49E3-A2F6-8D17867D81FF}"/>
    <cellStyle name="Normal 9 2 5 4" xfId="14891" xr:uid="{B370AB07-C80B-4C27-BA2E-2337DA93DE2C}"/>
    <cellStyle name="Normal 9 2 6" xfId="8218" xr:uid="{5E796CC8-0020-475B-B48B-F1038F2F6534}"/>
    <cellStyle name="Normal 9 2 6 2" xfId="17234" xr:uid="{D305C963-2FBC-4767-B017-800A48B4E745}"/>
    <cellStyle name="Normal 9 2 6 3" xfId="15493" xr:uid="{8FB03AC8-2B04-4035-ACD6-F214AEB2B03D}"/>
    <cellStyle name="Normal 9 2 7" xfId="8219" xr:uid="{CF09CFF9-2DFD-4837-847F-46AD96D22490}"/>
    <cellStyle name="Normal 9 2 7 2" xfId="17844" xr:uid="{CACC75AD-D2D4-4F9C-B528-3541A3398FB7}"/>
    <cellStyle name="Normal 9 2 7 3" xfId="14018" xr:uid="{47CC7F75-E41B-4051-AE36-1D5F30A56F15}"/>
    <cellStyle name="Normal 9 2 8" xfId="8399" xr:uid="{A7B98D6F-96BE-451F-A399-E12D0EEC378E}"/>
    <cellStyle name="Normal 9 2 8 2" xfId="18451" xr:uid="{B082CA91-D08C-4F7F-B44B-B7C7E7E098E0}"/>
    <cellStyle name="Normal 9 2 9" xfId="9725" xr:uid="{1858A33B-082A-42AE-AB36-920A9FC3F8C2}"/>
    <cellStyle name="Normal 9 3" xfId="2917" xr:uid="{723B6E6B-BF48-46AE-A2A2-00A7B5A6B834}"/>
    <cellStyle name="Normal 9 4" xfId="6052" xr:uid="{4B67817E-7F3C-45BD-97E3-73EED739097D}"/>
    <cellStyle name="Normal 9 5" xfId="471" xr:uid="{B2E514C1-A52D-4662-A10F-31D89C216B81}"/>
    <cellStyle name="Normal 9 6" xfId="8220" xr:uid="{35EB7563-865C-4B60-956E-58723203B278}"/>
    <cellStyle name="Notas 10" xfId="2918" xr:uid="{C0950BA9-5944-4E6A-8FC5-DD3F93F20F37}"/>
    <cellStyle name="Notas 10 2" xfId="4673" xr:uid="{E9A59A52-A8DF-477F-B667-5517FD5BF485}"/>
    <cellStyle name="Notas 10 2 2" xfId="19968" xr:uid="{3A48B629-63DB-419A-8255-F4B54F09B847}"/>
    <cellStyle name="Notas 10 3" xfId="4674" xr:uid="{F1C137D0-54FC-43C7-B1F6-A9EE8EFA81FC}"/>
    <cellStyle name="Notas 10 3 2" xfId="19969" xr:uid="{B568DEA7-317C-4724-A342-51E7D7C50CCA}"/>
    <cellStyle name="Notas 10 4" xfId="4675" xr:uid="{29AEBD2F-9A05-4257-B19A-B13936D76D1B}"/>
    <cellStyle name="Notas 10 4 2" xfId="19970" xr:uid="{DB59E03B-8853-469B-B3AC-81726A1900E4}"/>
    <cellStyle name="Notas 10 5" xfId="4676" xr:uid="{15F5AF87-78DF-4C4C-A641-5D5595D2DE10}"/>
    <cellStyle name="Notas 10 5 2" xfId="19971" xr:uid="{512E6433-1DA2-4D6C-A8E9-4F6FFEF4394B}"/>
    <cellStyle name="Notas 10 6" xfId="4677" xr:uid="{8849AB1C-E2B2-4166-8B37-E1CF7648BE56}"/>
    <cellStyle name="Notas 10 6 2" xfId="19972" xr:uid="{405C2E67-1FF0-4718-BD0B-9F69AC38B866}"/>
    <cellStyle name="Notas 10 7" xfId="4678" xr:uid="{38193ACD-0DCB-498E-8233-3F980DB0BB05}"/>
    <cellStyle name="Notas 10 7 2" xfId="19973" xr:uid="{FFF07DBD-69BD-4C94-A0B4-AE4CC59B1F2C}"/>
    <cellStyle name="Notas 10 8" xfId="19870" xr:uid="{205B57C0-FE3D-4272-86ED-7B76762400CE}"/>
    <cellStyle name="Notas 11" xfId="2919" xr:uid="{DB31DA63-CA67-41EA-8A7D-63866FB50BDD}"/>
    <cellStyle name="Notas 11 2" xfId="4679" xr:uid="{B2863B82-4568-4074-91C9-D266179C5C74}"/>
    <cellStyle name="Notas 11 2 2" xfId="19974" xr:uid="{082720C0-2111-4DE8-93CE-56B7A92826C2}"/>
    <cellStyle name="Notas 11 3" xfId="4680" xr:uid="{A50ACAD3-59FE-42E1-A22A-56D97DEA83BC}"/>
    <cellStyle name="Notas 11 3 2" xfId="19975" xr:uid="{C83CA74F-592F-490F-A791-2BA38FFAA390}"/>
    <cellStyle name="Notas 11 4" xfId="4681" xr:uid="{8EEE7A99-60B5-42E4-BCFC-421F958D4228}"/>
    <cellStyle name="Notas 11 4 2" xfId="19976" xr:uid="{6B041D85-31F3-47F4-AFF5-661C48F9F93B}"/>
    <cellStyle name="Notas 11 5" xfId="4682" xr:uid="{B919C1B8-8A98-4323-ADC8-F95BC3839694}"/>
    <cellStyle name="Notas 11 5 2" xfId="19977" xr:uid="{D35D5477-7DEE-4758-B75C-CF1F11CD95BE}"/>
    <cellStyle name="Notas 11 6" xfId="4683" xr:uid="{B2BBDBB3-B029-4611-A42B-B97AF9201ECE}"/>
    <cellStyle name="Notas 11 6 2" xfId="19978" xr:uid="{ABCB092C-2756-4976-9EC4-0DD0FFD11C9A}"/>
    <cellStyle name="Notas 11 7" xfId="4684" xr:uid="{8E2F234E-8B70-440D-A64B-2644827CE1BA}"/>
    <cellStyle name="Notas 11 7 2" xfId="19979" xr:uid="{10C92312-FBF8-4839-86C8-405BF028F498}"/>
    <cellStyle name="Notas 11 8" xfId="19871" xr:uid="{3B085BD3-BC08-4E21-A8E6-87D7DF4A3095}"/>
    <cellStyle name="Notas 12" xfId="2920" xr:uid="{E221E48E-78FB-48A5-9960-0D1CE7A00912}"/>
    <cellStyle name="Notas 12 2" xfId="4685" xr:uid="{3D19EAB3-4208-4588-96A5-BCE62914707C}"/>
    <cellStyle name="Notas 12 2 2" xfId="19980" xr:uid="{A7C9043D-4DC6-44E7-A960-3529E59EE754}"/>
    <cellStyle name="Notas 12 3" xfId="4686" xr:uid="{2E9B3BB1-132C-4580-A3F3-6C35F111CCE0}"/>
    <cellStyle name="Notas 12 3 2" xfId="19981" xr:uid="{8A6CBD63-9F25-427C-9744-90A145D8E97D}"/>
    <cellStyle name="Notas 12 4" xfId="4687" xr:uid="{47147ABC-92B3-44EB-BF33-AE46F4D776A9}"/>
    <cellStyle name="Notas 12 4 2" xfId="19982" xr:uid="{8A384DC4-6178-49B5-BBC7-F35F3F553775}"/>
    <cellStyle name="Notas 12 5" xfId="4688" xr:uid="{CF96CE38-D330-4404-A926-E8A16924F060}"/>
    <cellStyle name="Notas 12 5 2" xfId="19983" xr:uid="{91805DAF-D9A9-4F56-ACF0-92E4469B1A09}"/>
    <cellStyle name="Notas 12 6" xfId="4689" xr:uid="{FF97F28F-C7EC-41F6-8DA4-6773858E454D}"/>
    <cellStyle name="Notas 12 6 2" xfId="19984" xr:uid="{E024776A-34F7-4CC1-95D6-B1B9EC8C51FC}"/>
    <cellStyle name="Notas 12 7" xfId="4690" xr:uid="{8517DFEA-472A-49F1-BBF0-CB687186ECC9}"/>
    <cellStyle name="Notas 12 7 2" xfId="19985" xr:uid="{7D96A1C0-6F68-4003-B521-AA2FBA135A6C}"/>
    <cellStyle name="Notas 12 8" xfId="19872" xr:uid="{3198D7F3-D239-49F2-9A83-680ACC681242}"/>
    <cellStyle name="Notas 13" xfId="2921" xr:uid="{D13FF82A-72E8-4862-AA90-8E53559F6AB3}"/>
    <cellStyle name="Notas 13 2" xfId="4691" xr:uid="{10FAADAD-FC9B-414F-8302-14E14FCBE47D}"/>
    <cellStyle name="Notas 13 2 2" xfId="19986" xr:uid="{12162031-6EA5-49E0-B3C1-D284DE0AD253}"/>
    <cellStyle name="Notas 13 3" xfId="4692" xr:uid="{5FCD2A5E-6263-49AB-958D-4C7080DAA21A}"/>
    <cellStyle name="Notas 13 3 2" xfId="19987" xr:uid="{A902D0A9-7D7D-4C97-9151-375F0408800D}"/>
    <cellStyle name="Notas 13 4" xfId="4693" xr:uid="{09A85BEE-46CF-4D7A-88CC-C3E216990D36}"/>
    <cellStyle name="Notas 13 4 2" xfId="19988" xr:uid="{1AB176AE-FC4F-4728-8D68-A784FF57A4D0}"/>
    <cellStyle name="Notas 13 5" xfId="4694" xr:uid="{4EF80260-AC26-435B-A44A-C9ADB72A7E72}"/>
    <cellStyle name="Notas 13 5 2" xfId="19989" xr:uid="{E6E8FB61-F8FA-4D52-B2C0-3C92C51F1321}"/>
    <cellStyle name="Notas 13 6" xfId="4695" xr:uid="{C795D814-B1FA-4976-98BD-2812AF61CD3F}"/>
    <cellStyle name="Notas 13 6 2" xfId="19990" xr:uid="{121269F7-82B6-4090-8C6E-FAF174D7FB77}"/>
    <cellStyle name="Notas 13 7" xfId="4696" xr:uid="{BCD4F1FA-6634-49E6-BBA3-3125313B1EC6}"/>
    <cellStyle name="Notas 13 7 2" xfId="19991" xr:uid="{4DD4F0B7-CB4D-46CE-B439-66CC00338104}"/>
    <cellStyle name="Notas 13 8" xfId="19873" xr:uid="{59A898AA-2E47-48E5-B06C-C552FE4E09D8}"/>
    <cellStyle name="Notas 14" xfId="2922" xr:uid="{99A1D029-D43D-4051-8CD4-1DBBD9D2EE1B}"/>
    <cellStyle name="Notas 14 2" xfId="4697" xr:uid="{42DCB221-433A-4453-BD46-A0C413CE2C4B}"/>
    <cellStyle name="Notas 14 2 2" xfId="19992" xr:uid="{129CA6B9-B104-4FEB-B930-E4C68BC7DDFA}"/>
    <cellStyle name="Notas 14 3" xfId="4698" xr:uid="{FA86E834-BE0F-46D2-9493-8994526589C2}"/>
    <cellStyle name="Notas 14 3 2" xfId="19993" xr:uid="{2182A158-B16F-403D-A30B-D0CC387AA528}"/>
    <cellStyle name="Notas 14 4" xfId="4699" xr:uid="{77D5FC6E-9D51-4953-870A-EC4DFB17A208}"/>
    <cellStyle name="Notas 14 4 2" xfId="19994" xr:uid="{86AC081A-89CA-439F-9706-0B5CEAFC6C2C}"/>
    <cellStyle name="Notas 14 5" xfId="4700" xr:uid="{E681853B-9382-4BD6-8865-1CF0073425F0}"/>
    <cellStyle name="Notas 14 5 2" xfId="19995" xr:uid="{D4EB955C-08B9-47B4-B089-B17995C37B37}"/>
    <cellStyle name="Notas 14 6" xfId="4701" xr:uid="{417EFAE6-43FA-4763-AF40-FDEF531E4D26}"/>
    <cellStyle name="Notas 14 6 2" xfId="19996" xr:uid="{19BA4D65-B898-4E2A-89B3-D668B50574B2}"/>
    <cellStyle name="Notas 14 7" xfId="4702" xr:uid="{11EE9E04-7DA3-467C-8B6B-46FAB885D43A}"/>
    <cellStyle name="Notas 14 7 2" xfId="19997" xr:uid="{DFEF7697-E74B-4D7B-A8C9-DF6147B6DDDA}"/>
    <cellStyle name="Notas 14 8" xfId="19874" xr:uid="{173CE62F-2A72-4FDE-9C62-51BF1BA4DF88}"/>
    <cellStyle name="Notas 15" xfId="2923" xr:uid="{16EEF7A2-CBC6-473D-B631-0239597110E1}"/>
    <cellStyle name="Notas 15 2" xfId="4703" xr:uid="{BBB71754-8D0D-4BF2-854C-C384785834E0}"/>
    <cellStyle name="Notas 15 2 2" xfId="19998" xr:uid="{14A05CB7-CDFC-485E-A46E-11945249A9BA}"/>
    <cellStyle name="Notas 15 3" xfId="4704" xr:uid="{F5E0812C-969B-425D-B537-4964F332D4CC}"/>
    <cellStyle name="Notas 15 3 2" xfId="19999" xr:uid="{34CBA7E6-A973-4E0E-8093-E408426EA140}"/>
    <cellStyle name="Notas 15 4" xfId="4705" xr:uid="{ACBA047D-CFF9-43BD-9CB6-AEAB0DFD87D0}"/>
    <cellStyle name="Notas 15 4 2" xfId="20000" xr:uid="{69714306-9470-4A17-85C5-4270E2FC1FE5}"/>
    <cellStyle name="Notas 15 5" xfId="4706" xr:uid="{089600FF-ABBF-4CDC-96A0-6CF8849B8F79}"/>
    <cellStyle name="Notas 15 5 2" xfId="20001" xr:uid="{675C10F8-5F1B-4BA3-B771-37C92491A49D}"/>
    <cellStyle name="Notas 15 6" xfId="4707" xr:uid="{3B5EDED0-3C20-4134-BA77-3827F7A83680}"/>
    <cellStyle name="Notas 15 6 2" xfId="20002" xr:uid="{E0D0A122-7042-42DB-A9F9-6478480046BC}"/>
    <cellStyle name="Notas 15 7" xfId="4708" xr:uid="{D42D1D8C-91B6-46DB-BB43-A18981A0AC28}"/>
    <cellStyle name="Notas 15 7 2" xfId="20003" xr:uid="{99C73060-A978-46A4-A60B-D7D6EE2220BF}"/>
    <cellStyle name="Notas 15 8" xfId="19875" xr:uid="{A069A58A-25BB-4E83-B937-0DD407A35D5E}"/>
    <cellStyle name="Notas 16" xfId="2924" xr:uid="{1CDB81B0-BBD1-4263-B37A-C313101434A1}"/>
    <cellStyle name="Notas 16 2" xfId="4709" xr:uid="{AB39BA17-93F8-4FA8-A506-2B4ABDCA5E09}"/>
    <cellStyle name="Notas 16 2 2" xfId="20004" xr:uid="{55E143B8-845B-461F-ACD8-AB106F26886D}"/>
    <cellStyle name="Notas 16 3" xfId="4710" xr:uid="{652BEED6-5422-45E5-9DAF-2FF6614B6042}"/>
    <cellStyle name="Notas 16 3 2" xfId="20005" xr:uid="{89CD37FC-D528-4868-869A-DFA272459677}"/>
    <cellStyle name="Notas 16 4" xfId="4711" xr:uid="{D5718D70-20BD-4FED-BA82-62579CF156B9}"/>
    <cellStyle name="Notas 16 4 2" xfId="20006" xr:uid="{7F2EEC70-F60A-4DD0-9EFA-BB34FCC3E01D}"/>
    <cellStyle name="Notas 16 5" xfId="4712" xr:uid="{BE2CB029-913B-407F-B72E-D2569BA8CF2F}"/>
    <cellStyle name="Notas 16 5 2" xfId="20007" xr:uid="{D86E94D4-A7D7-429F-946D-CC4D29BD87FC}"/>
    <cellStyle name="Notas 16 6" xfId="4713" xr:uid="{5C670179-B60A-4A46-B8AE-E1AC7E438485}"/>
    <cellStyle name="Notas 16 6 2" xfId="20008" xr:uid="{481DE766-F14F-4768-8831-3EB017752F55}"/>
    <cellStyle name="Notas 16 7" xfId="4714" xr:uid="{B6AFA64A-A5B0-480F-A8F5-EDD51EBCFDC5}"/>
    <cellStyle name="Notas 16 7 2" xfId="20009" xr:uid="{4A337E32-DEB4-445C-B2AF-9A78C4BB1981}"/>
    <cellStyle name="Notas 16 8" xfId="19876" xr:uid="{B4982181-ABB8-4345-8885-EEEBA4255C67}"/>
    <cellStyle name="Notas 17" xfId="2925" xr:uid="{F01B7C5C-2730-465D-BD72-0C8CAC9C0705}"/>
    <cellStyle name="Notas 17 2" xfId="4715" xr:uid="{E2C36E7E-531F-4084-92F4-B3139AA70A7B}"/>
    <cellStyle name="Notas 17 2 2" xfId="20010" xr:uid="{7B0CC0A1-A8D3-4D61-AB1C-CA11DC5A2D98}"/>
    <cellStyle name="Notas 17 3" xfId="4716" xr:uid="{3E5A86B9-910E-4612-BB85-AA1F07F72B50}"/>
    <cellStyle name="Notas 17 3 2" xfId="20011" xr:uid="{6B98BABB-F976-4ACD-A207-48E2116BB258}"/>
    <cellStyle name="Notas 17 4" xfId="4717" xr:uid="{5958FD1D-6F87-4FD4-802A-58749C810294}"/>
    <cellStyle name="Notas 17 4 2" xfId="20012" xr:uid="{2287AD85-BFD5-4CCE-A0DD-A945D29EC884}"/>
    <cellStyle name="Notas 17 5" xfId="4718" xr:uid="{2FF5098B-7532-4EF0-862F-7F3493FACE02}"/>
    <cellStyle name="Notas 17 5 2" xfId="20013" xr:uid="{956A9298-6B72-4016-A81F-48AB6974ECAE}"/>
    <cellStyle name="Notas 17 6" xfId="4719" xr:uid="{5A689992-A00D-4C88-AFDA-D60B9AF4C69A}"/>
    <cellStyle name="Notas 17 6 2" xfId="20014" xr:uid="{BD2054E5-9E87-4ADF-B516-03B8B3318AF1}"/>
    <cellStyle name="Notas 17 7" xfId="4720" xr:uid="{40FC2A54-0121-4810-A6AD-BC93A1597848}"/>
    <cellStyle name="Notas 17 7 2" xfId="20015" xr:uid="{19E26B60-871E-4517-A82B-BF5DEBCDA120}"/>
    <cellStyle name="Notas 17 8" xfId="19877" xr:uid="{2617CC22-F344-45F3-A88C-7B889CE0D10D}"/>
    <cellStyle name="Notas 18" xfId="2926" xr:uid="{C0560B11-EEC9-4AD2-AC98-EDC466265841}"/>
    <cellStyle name="Notas 18 2" xfId="4721" xr:uid="{547F9FE2-CE15-45EF-9041-08B37A2D0224}"/>
    <cellStyle name="Notas 18 2 2" xfId="20016" xr:uid="{F96E669C-E97A-424E-B4DF-DF310F17FF34}"/>
    <cellStyle name="Notas 18 3" xfId="4722" xr:uid="{0AE4E607-7938-43B7-84A0-EE0FBF2A9672}"/>
    <cellStyle name="Notas 18 3 2" xfId="20017" xr:uid="{CF873797-3337-41DD-88F4-CFA83CF6EC76}"/>
    <cellStyle name="Notas 18 4" xfId="4723" xr:uid="{C07C1C08-4405-486B-9EE5-A61B8D228477}"/>
    <cellStyle name="Notas 18 4 2" xfId="20018" xr:uid="{FC612D9F-27B4-4E2B-A3A0-62758B91F468}"/>
    <cellStyle name="Notas 18 5" xfId="4724" xr:uid="{0020A55A-8E2B-4D6B-9E13-F6B2D881A76E}"/>
    <cellStyle name="Notas 18 5 2" xfId="20019" xr:uid="{75639516-8B7E-4873-A771-76BB64C8188B}"/>
    <cellStyle name="Notas 18 6" xfId="4725" xr:uid="{02D026A3-0521-4B8A-BEB3-8BA9104053B0}"/>
    <cellStyle name="Notas 18 6 2" xfId="20020" xr:uid="{E4A52084-BA22-46D8-A6A6-E33621193B48}"/>
    <cellStyle name="Notas 18 7" xfId="4726" xr:uid="{5C35D678-71DB-4082-B838-8CA5318C44B3}"/>
    <cellStyle name="Notas 18 7 2" xfId="20021" xr:uid="{CBDEFCDE-127A-4A1D-A7B2-192F99DB05AD}"/>
    <cellStyle name="Notas 18 8" xfId="19878" xr:uid="{DA1722F6-C526-436C-BC6D-16FE498321E0}"/>
    <cellStyle name="Notas 19" xfId="2927" xr:uid="{3B5C1F5A-D2AC-49FE-A68A-10757F1ABD1D}"/>
    <cellStyle name="Notas 19 2" xfId="4727" xr:uid="{3DE6EE08-DDF0-4DEB-890A-05DADF443195}"/>
    <cellStyle name="Notas 19 2 2" xfId="20022" xr:uid="{8D2131AB-6653-4E43-B4ED-91517B6A2A31}"/>
    <cellStyle name="Notas 19 3" xfId="4728" xr:uid="{CD190D86-9242-4EFA-98DA-2A48A2464F25}"/>
    <cellStyle name="Notas 19 3 2" xfId="20023" xr:uid="{CECEFDC0-AC13-4F87-82FA-9793CB6E21AD}"/>
    <cellStyle name="Notas 19 4" xfId="4729" xr:uid="{78473F3C-E4D9-4FB5-BEC3-5D2ADAA97134}"/>
    <cellStyle name="Notas 19 4 2" xfId="20024" xr:uid="{8D36B352-40FC-476A-A59E-5CA83A13B6EE}"/>
    <cellStyle name="Notas 19 5" xfId="4730" xr:uid="{33BDBB0C-DD33-4707-A30C-EC54AF37C5D7}"/>
    <cellStyle name="Notas 19 5 2" xfId="20025" xr:uid="{350FA7E1-4A88-4814-BD97-F5A2EF9693B0}"/>
    <cellStyle name="Notas 19 6" xfId="4731" xr:uid="{0E6E3C66-037C-4DDA-9564-1CEED4BA9652}"/>
    <cellStyle name="Notas 19 6 2" xfId="20026" xr:uid="{772BC645-BB37-4807-84CE-0CC34700ADC8}"/>
    <cellStyle name="Notas 19 7" xfId="4732" xr:uid="{508ACBFA-8C23-4899-AA5B-4D0F141E41B1}"/>
    <cellStyle name="Notas 19 7 2" xfId="20027" xr:uid="{94ADFB0F-CF56-4B95-8FFF-D2EBC15F65E7}"/>
    <cellStyle name="Notas 19 8" xfId="19879" xr:uid="{AA254177-5C4D-4E5F-9E23-187AE8D7BB30}"/>
    <cellStyle name="Notas 2" xfId="49" xr:uid="{BCE1C417-DB5D-40DF-BD02-0B9329F33EE2}"/>
    <cellStyle name="Notas 2 10" xfId="4733" xr:uid="{BFE7F528-8E9C-46FB-A8AF-98E634ADF472}"/>
    <cellStyle name="Notas 2 10 2" xfId="11361" xr:uid="{06771C0C-FF5A-40A9-8782-A35B0448214F}"/>
    <cellStyle name="Notas 2 10 2 2" xfId="20028" xr:uid="{C5AAAA57-6AE2-4A98-80A6-C5A871A94ACD}"/>
    <cellStyle name="Notas 2 10 2 3" xfId="20552" xr:uid="{E4FAC7BB-D06D-4970-A4E2-6498230138F7}"/>
    <cellStyle name="Notas 2 11" xfId="4734" xr:uid="{A1AE2BF7-3806-4677-893B-59369AF289DF}"/>
    <cellStyle name="Notas 2 11 2" xfId="12573" xr:uid="{1D7538E2-C93A-4C9C-963B-F66BD16F9A45}"/>
    <cellStyle name="Notas 2 11 2 2" xfId="20029" xr:uid="{BE6B492E-4DB1-4EC8-8EF3-BFADD80B5E7D}"/>
    <cellStyle name="Notas 2 11 2 3" xfId="20707" xr:uid="{15FF728F-FF4F-4661-AADE-2DDB82CC9300}"/>
    <cellStyle name="Notas 2 12" xfId="8221" xr:uid="{ABFC003E-582A-43FF-AC55-487AFBA217BF}"/>
    <cellStyle name="Notas 2 12 2" xfId="12925" xr:uid="{E2B8FB98-F452-497A-9778-C327AB210228}"/>
    <cellStyle name="Notas 2 13" xfId="12926" xr:uid="{11D3D803-A98A-41FE-9BE5-81603BF9EA2B}"/>
    <cellStyle name="Notas 2 14" xfId="12018" xr:uid="{AE2E32EF-63A8-45BF-9DF8-61187FF78C92}"/>
    <cellStyle name="Notas 2 15" xfId="11454" xr:uid="{6FAB0891-9EAB-4BA1-96EE-2667030358F1}"/>
    <cellStyle name="Notas 2 16" xfId="11939" xr:uid="{619B7639-0A60-449E-938B-F94E274449D8}"/>
    <cellStyle name="Notas 2 17" xfId="11065" xr:uid="{D99DDFE0-54CD-4E40-9B97-729EE5E8C6AC}"/>
    <cellStyle name="Notas 2 18" xfId="11126" xr:uid="{FF8FF003-0FBE-480B-A814-A986B838C38E}"/>
    <cellStyle name="Notas 2 19" xfId="12927" xr:uid="{76EC6F51-3CE7-494A-A9B1-F55BE8B2D467}"/>
    <cellStyle name="Notas 2 2" xfId="2929" xr:uid="{AB4F9EB8-8E0C-4CE5-B3F7-E9E606ECD75D}"/>
    <cellStyle name="Notas 2 2 10" xfId="12928" xr:uid="{9E454E38-610A-4C99-9571-52FC0F614F1B}"/>
    <cellStyle name="Notas 2 2 11" xfId="11741" xr:uid="{1C40771F-8647-4176-A718-F7E968B6264C}"/>
    <cellStyle name="Notas 2 2 12" xfId="12929" xr:uid="{DCD785B0-601B-48B0-ACE2-F60E38E9F20C}"/>
    <cellStyle name="Notas 2 2 13" xfId="13954" xr:uid="{55A8610C-370C-4741-AE3A-67E80AD4EF23}"/>
    <cellStyle name="Notas 2 2 14" xfId="11996" xr:uid="{1961C46C-D2F5-41A6-B925-87F2B5BC26D4}"/>
    <cellStyle name="Notas 2 2 15" xfId="11940" xr:uid="{A3D96949-97B6-449A-A9AC-38768B7BDCBE}"/>
    <cellStyle name="Notas 2 2 16" xfId="11066" xr:uid="{9B8C0158-3AE3-427F-8CDC-86B510896310}"/>
    <cellStyle name="Notas 2 2 17" xfId="12930" xr:uid="{0846DF80-5280-4D9F-8051-7E6A3AE7EB94}"/>
    <cellStyle name="Notas 2 2 18" xfId="12507" xr:uid="{24B44643-8727-4CA3-8C3B-F2BF81B82451}"/>
    <cellStyle name="Notas 2 2 19" xfId="11420" xr:uid="{4EF15B2D-A6D4-4FBC-BEEE-6974A3E0EADA}"/>
    <cellStyle name="Notas 2 2 2" xfId="4735" xr:uid="{CD40414E-81D5-404A-B650-2F109D34340A}"/>
    <cellStyle name="Notas 2 2 2 2" xfId="20030" xr:uid="{DDE79487-B219-4BA5-85D3-12FAB8402143}"/>
    <cellStyle name="Notas 2 2 20" xfId="11742" xr:uid="{12D001F8-99FD-4E0E-AA66-47893FCACC07}"/>
    <cellStyle name="Notas 2 2 21" xfId="11127" xr:uid="{9A82D01C-E7FA-4CBE-8AC8-CE51F01ACBF4}"/>
    <cellStyle name="Notas 2 2 22" xfId="11700" xr:uid="{43C008A9-ED4A-40FA-94DD-2F9808B1C20C}"/>
    <cellStyle name="Notas 2 2 23" xfId="12544" xr:uid="{BE2E24E8-C5AA-490E-85AE-66A708F57C79}"/>
    <cellStyle name="Notas 2 2 24" xfId="11419" xr:uid="{6639BA44-945B-4104-BA23-C9DFE420DEF8}"/>
    <cellStyle name="Notas 2 2 3" xfId="4736" xr:uid="{CDB9CB82-A8EB-4049-8889-DCE0645D8DD1}"/>
    <cellStyle name="Notas 2 2 3 2" xfId="20031" xr:uid="{E2692BB5-521E-4218-9E6F-EC2F84F02C1F}"/>
    <cellStyle name="Notas 2 2 4" xfId="4737" xr:uid="{00222A1E-8D11-469C-B0BF-838FB47A45AF}"/>
    <cellStyle name="Notas 2 2 4 2" xfId="20032" xr:uid="{7AE5A159-FD76-4B7B-A8C1-002AE5F3F2E6}"/>
    <cellStyle name="Notas 2 2 5" xfId="4738" xr:uid="{3E464D02-4B00-42DF-9583-6188BF588730}"/>
    <cellStyle name="Notas 2 2 5 2" xfId="20033" xr:uid="{26F97AC8-28D8-4548-A4BC-03C1E17A5587}"/>
    <cellStyle name="Notas 2 2 6" xfId="4739" xr:uid="{C201CADF-5E65-4025-99CA-A25783D959B7}"/>
    <cellStyle name="Notas 2 2 6 2" xfId="20034" xr:uid="{522683C6-0FBB-478D-8F46-E8B1C5931258}"/>
    <cellStyle name="Notas 2 2 7" xfId="4740" xr:uid="{ACF2D682-720B-4E4B-BFA8-9F8A3F5E3126}"/>
    <cellStyle name="Notas 2 2 7 2" xfId="20035" xr:uid="{72226CC9-2527-430D-B87B-4BE019CCE869}"/>
    <cellStyle name="Notas 2 2 8" xfId="12772" xr:uid="{5EF4EE23-F941-4473-886D-401375B385CC}"/>
    <cellStyle name="Notas 2 2 9" xfId="11391" xr:uid="{8B2D916A-7144-412E-AEE2-59EF9DA91FCC}"/>
    <cellStyle name="Notas 2 20" xfId="12572" xr:uid="{0C663D9F-C195-45B2-91FA-60EFC32F237A}"/>
    <cellStyle name="Notas 2 21" xfId="12931" xr:uid="{29D0C2A2-42B9-4E4B-B824-E9551B7E8180}"/>
    <cellStyle name="Notas 2 22" xfId="12932" xr:uid="{944BC93D-D359-4B96-89E7-42E59F1D42F5}"/>
    <cellStyle name="Notas 2 23" xfId="12933" xr:uid="{5B6E460F-554A-4F2C-B94D-662A85F2D89C}"/>
    <cellStyle name="Notas 2 24" xfId="12773" xr:uid="{0AB59F46-CDBB-4155-9CB7-49E6405B3D80}"/>
    <cellStyle name="Notas 2 25" xfId="12802" xr:uid="{3EBE9D8E-5365-46DB-B334-0B44EA2371E8}"/>
    <cellStyle name="Notas 2 3" xfId="2930" xr:uid="{B32811F7-5965-4E68-B300-EC2B8744B237}"/>
    <cellStyle name="Notas 2 3 2" xfId="4741" xr:uid="{B94DA19D-9639-43E1-B1F6-3EB52A0E8C69}"/>
    <cellStyle name="Notas 2 3 2 2" xfId="20036" xr:uid="{43144BE1-85C3-4FBD-96B1-339CB836878F}"/>
    <cellStyle name="Notas 2 3 3" xfId="4742" xr:uid="{D39AB130-7BEC-4363-8592-3802794D75C3}"/>
    <cellStyle name="Notas 2 3 3 2" xfId="20037" xr:uid="{5BFE4C29-0069-41AC-979E-36CAF08B0675}"/>
    <cellStyle name="Notas 2 3 4" xfId="4743" xr:uid="{3324E181-91CE-4039-8FAD-2F020C8D9570}"/>
    <cellStyle name="Notas 2 3 4 2" xfId="20038" xr:uid="{D78ACA64-92B0-4546-8B17-72C16A839C4D}"/>
    <cellStyle name="Notas 2 3 5" xfId="4744" xr:uid="{03DBC97B-D30D-404C-987E-9EAFBBD639D7}"/>
    <cellStyle name="Notas 2 3 5 2" xfId="20039" xr:uid="{18A0983F-C7A2-4D3C-9A38-01CC72A6A52D}"/>
    <cellStyle name="Notas 2 3 6" xfId="4745" xr:uid="{330B3D60-9A9D-4B83-9B50-EFA91621A710}"/>
    <cellStyle name="Notas 2 3 6 2" xfId="20040" xr:uid="{4CC7C749-F14E-4E8D-B766-7919C407199C}"/>
    <cellStyle name="Notas 2 3 7" xfId="4746" xr:uid="{81FE38A1-9AEB-40F1-B6B3-06DA7BEDCC74}"/>
    <cellStyle name="Notas 2 3 7 2" xfId="20041" xr:uid="{A098B22F-AE5D-4082-9F09-E88693F26300}"/>
    <cellStyle name="Notas 2 3 8" xfId="19881" xr:uid="{C3FEF928-3154-42C7-9137-8E384E1E1A74}"/>
    <cellStyle name="Notas 2 4" xfId="2931" xr:uid="{9199AA12-E178-466A-9F84-0DD1CD17E3AD}"/>
    <cellStyle name="Notas 2 4 2" xfId="4747" xr:uid="{51F6644B-9FB6-428E-AF29-76A205D875B6}"/>
    <cellStyle name="Notas 2 4 2 2" xfId="20042" xr:uid="{3535F6D5-7A9A-4D48-983D-40B0A45D6E4E}"/>
    <cellStyle name="Notas 2 4 3" xfId="4748" xr:uid="{578B453A-5363-4EC8-9236-F2B9ACD29D49}"/>
    <cellStyle name="Notas 2 4 3 2" xfId="20043" xr:uid="{457CFC82-AD50-4C37-BF67-2037B8ED978B}"/>
    <cellStyle name="Notas 2 4 4" xfId="4749" xr:uid="{9BBDC23F-9F71-4027-B830-DC49E14B748C}"/>
    <cellStyle name="Notas 2 4 4 2" xfId="20044" xr:uid="{8B4D13EC-FDFB-441A-BACC-C80D140D830F}"/>
    <cellStyle name="Notas 2 4 5" xfId="4750" xr:uid="{1EA0A33E-12B4-4A1B-90E2-8EB7DB99F439}"/>
    <cellStyle name="Notas 2 4 5 2" xfId="20045" xr:uid="{31ED0A83-B3FD-4170-904B-889BB4E14978}"/>
    <cellStyle name="Notas 2 4 6" xfId="4751" xr:uid="{F92F0801-6426-4E53-AC4D-CBFCE60D2B75}"/>
    <cellStyle name="Notas 2 4 6 2" xfId="20046" xr:uid="{8F0EDB34-4776-4AAC-B791-0F4F56C9BD05}"/>
    <cellStyle name="Notas 2 4 7" xfId="4752" xr:uid="{E6AB6EB3-683F-4C6A-89BA-9A36E3E93878}"/>
    <cellStyle name="Notas 2 4 7 2" xfId="20047" xr:uid="{D499CFB4-1E73-496D-B74E-27ADFC4D9267}"/>
    <cellStyle name="Notas 2 4 8" xfId="19882" xr:uid="{054C3805-F9CD-4F73-9982-49B893FC7400}"/>
    <cellStyle name="Notas 2 5" xfId="2932" xr:uid="{F13B49AE-148F-4C3D-A219-B8BCB1425F63}"/>
    <cellStyle name="Notas 2 5 2" xfId="4753" xr:uid="{8C5B7B25-4563-46C3-8706-7C8A3DE680A0}"/>
    <cellStyle name="Notas 2 5 2 2" xfId="20048" xr:uid="{D69FFBF2-1FE0-487F-8143-D9876A7910B7}"/>
    <cellStyle name="Notas 2 5 3" xfId="4754" xr:uid="{6025D66A-16CF-47F8-926D-0B19A742D087}"/>
    <cellStyle name="Notas 2 5 3 2" xfId="20049" xr:uid="{A4AC5A2B-6111-46DC-8D2C-AFA3497EA9E4}"/>
    <cellStyle name="Notas 2 5 4" xfId="4755" xr:uid="{5AB6FEAF-83BC-4358-B57A-F2DCFED2ED0E}"/>
    <cellStyle name="Notas 2 5 4 2" xfId="20050" xr:uid="{EF7894E9-E661-45CA-9570-F71AF78FDC70}"/>
    <cellStyle name="Notas 2 5 5" xfId="4756" xr:uid="{C51D6085-A83A-436C-AC29-70A1C072A9AB}"/>
    <cellStyle name="Notas 2 5 5 2" xfId="20051" xr:uid="{BA218884-AA9D-40D8-B3FD-03515CCA7787}"/>
    <cellStyle name="Notas 2 5 6" xfId="4757" xr:uid="{DF2C3318-CB64-47C7-BF45-BC84FE9A8694}"/>
    <cellStyle name="Notas 2 5 6 2" xfId="20052" xr:uid="{8357D30E-49F1-4F64-A5E0-34C073AB4557}"/>
    <cellStyle name="Notas 2 5 7" xfId="4758" xr:uid="{89CF3E01-4818-444F-9284-8CC8B5C2D305}"/>
    <cellStyle name="Notas 2 5 7 2" xfId="20053" xr:uid="{39B06530-864A-4F1A-B2FB-A64E4661F60A}"/>
    <cellStyle name="Notas 2 5 8" xfId="12934" xr:uid="{BD6BA886-C0A9-42D4-AC28-8752D3047223}"/>
    <cellStyle name="Notas 2 5 8 2" xfId="19883" xr:uid="{8D689D83-EA59-49A0-B1DF-05DD0D0C8111}"/>
    <cellStyle name="Notas 2 5 8 3" xfId="20752" xr:uid="{765E0333-9C32-40EE-A9A4-3299937E5884}"/>
    <cellStyle name="Notas 2 6" xfId="2928" xr:uid="{70D93D15-47FE-4357-B47B-7E2D7D40DE2D}"/>
    <cellStyle name="Notas 2 6 2" xfId="11421" xr:uid="{60DAC72C-1F5F-491A-9237-8E71674D0AF0}"/>
    <cellStyle name="Notas 2 6 2 2" xfId="19880" xr:uid="{1F0A5FD5-5C63-425E-96C0-2ABE25F82200}"/>
    <cellStyle name="Notas 2 6 2 3" xfId="20570" xr:uid="{5AFC4CE9-2D08-4EB4-9E48-7ECCD00CE86C}"/>
    <cellStyle name="Notas 2 7" xfId="4759" xr:uid="{BEC4E798-FB97-4153-8F5D-00E9BE378581}"/>
    <cellStyle name="Notas 2 7 2" xfId="12935" xr:uid="{555D1FD8-C474-4616-82A2-92EDB1C75BB4}"/>
    <cellStyle name="Notas 2 7 2 2" xfId="20054" xr:uid="{29DA1E94-C75C-4448-A703-4DF213224512}"/>
    <cellStyle name="Notas 2 7 2 3" xfId="20753" xr:uid="{D90B60A7-9033-4BBB-976E-BB30D7F423AB}"/>
    <cellStyle name="Notas 2 8" xfId="4760" xr:uid="{0D43A12E-990A-41B1-A612-48740E6625FA}"/>
    <cellStyle name="Notas 2 8 2" xfId="11743" xr:uid="{F3DBB1B6-7A96-4D1D-9754-D79B0ED1D876}"/>
    <cellStyle name="Notas 2 8 2 2" xfId="20055" xr:uid="{4AC8397D-84CE-404E-990C-B57E558CDA5F}"/>
    <cellStyle name="Notas 2 8 2 3" xfId="20598" xr:uid="{C8CFB041-446C-48D7-BC25-DBC2A6C08A5A}"/>
    <cellStyle name="Notas 2 9" xfId="4761" xr:uid="{38D692BB-FF39-47D5-B062-BE79716A567F}"/>
    <cellStyle name="Notas 2 9 2" xfId="12936" xr:uid="{26638D97-D650-46AE-AAD8-B9134CE191F7}"/>
    <cellStyle name="Notas 2 9 2 2" xfId="20056" xr:uid="{25DCCFB8-4E6C-4385-B9BB-52BFA49FC34E}"/>
    <cellStyle name="Notas 2 9 2 3" xfId="20754" xr:uid="{552CA00D-7A38-4F06-8C2E-952B3674CE60}"/>
    <cellStyle name="Notas 20" xfId="2933" xr:uid="{F8105C8B-960A-46BC-A0E7-2D53146B404C}"/>
    <cellStyle name="Notas 20 2" xfId="4762" xr:uid="{2DF4E7C4-2E14-4181-B767-0806C2C88ED8}"/>
    <cellStyle name="Notas 20 2 2" xfId="20057" xr:uid="{6C764BB7-9F07-4C7E-A197-CD4198486B9B}"/>
    <cellStyle name="Notas 20 3" xfId="4763" xr:uid="{43A36634-6F64-4332-8F06-929EFA13E636}"/>
    <cellStyle name="Notas 20 3 2" xfId="20058" xr:uid="{8EF60B78-B6B5-474C-8A9F-0764B08CAD79}"/>
    <cellStyle name="Notas 20 4" xfId="4764" xr:uid="{0202F956-25E2-43C1-A874-5C28779BFD2C}"/>
    <cellStyle name="Notas 20 4 2" xfId="20059" xr:uid="{1CC41F13-39E6-4432-884D-4989E07C6366}"/>
    <cellStyle name="Notas 20 5" xfId="4765" xr:uid="{6D248194-1127-40D1-9012-F3979ECDA973}"/>
    <cellStyle name="Notas 20 5 2" xfId="20060" xr:uid="{7B49A15E-64FA-4AFC-A419-6F8A19508142}"/>
    <cellStyle name="Notas 20 6" xfId="4766" xr:uid="{F71F421D-F5C1-461A-9444-37973D05E9AE}"/>
    <cellStyle name="Notas 20 6 2" xfId="20061" xr:uid="{09BD2288-ECE6-49E6-BE83-5464D9BE498B}"/>
    <cellStyle name="Notas 20 7" xfId="4767" xr:uid="{02C34389-602F-4C0B-B600-610F39DE5323}"/>
    <cellStyle name="Notas 20 7 2" xfId="20062" xr:uid="{9B8B96E0-1090-4D00-AE9D-52AB320BA840}"/>
    <cellStyle name="Notas 20 8" xfId="19884" xr:uid="{30F0DCA2-7173-4064-A5BA-EB5EF5BC2B34}"/>
    <cellStyle name="Notas 21" xfId="2934" xr:uid="{9EC82629-A367-49CD-A70F-8507D507FFCC}"/>
    <cellStyle name="Notas 21 2" xfId="4768" xr:uid="{5FE0C707-1FF6-4C57-8847-BC8DDB6C15B9}"/>
    <cellStyle name="Notas 21 2 2" xfId="20063" xr:uid="{5A04F0A6-D76D-481B-9EDF-6DBBCD3B4E37}"/>
    <cellStyle name="Notas 21 3" xfId="4769" xr:uid="{AC6E7E79-28A3-41F6-A0A9-EC544E551ADD}"/>
    <cellStyle name="Notas 21 3 2" xfId="20064" xr:uid="{56B2336C-037D-4BC9-AFEA-8080919EAE3C}"/>
    <cellStyle name="Notas 21 4" xfId="4770" xr:uid="{B4974B7E-C184-430A-B49A-8024D71247A5}"/>
    <cellStyle name="Notas 21 4 2" xfId="20065" xr:uid="{9A1099A4-D413-4848-89B8-F70CAC1F18FE}"/>
    <cellStyle name="Notas 21 5" xfId="4771" xr:uid="{96CA630D-010F-4660-89FD-3059FA6493F7}"/>
    <cellStyle name="Notas 21 5 2" xfId="20066" xr:uid="{29CA59FA-3AC5-46C0-9C62-207A6D5D7E41}"/>
    <cellStyle name="Notas 21 6" xfId="4772" xr:uid="{0E9DF198-8ABB-46F8-B9C8-AE76E5BE0827}"/>
    <cellStyle name="Notas 21 6 2" xfId="20067" xr:uid="{76084925-0F9F-40BE-A791-B7CE1A30E4C8}"/>
    <cellStyle name="Notas 21 7" xfId="4773" xr:uid="{2EC16671-E698-454E-9C2D-71C3B5CD9153}"/>
    <cellStyle name="Notas 21 7 2" xfId="20068" xr:uid="{AE9BDEC9-73BE-4952-9EF1-F6461E69C83A}"/>
    <cellStyle name="Notas 21 8" xfId="19885" xr:uid="{08BF6A46-FA0B-4F06-90E9-F184154D1CB8}"/>
    <cellStyle name="Notas 22" xfId="2935" xr:uid="{4026E547-05EF-4C3E-85B5-B1A8331F75A3}"/>
    <cellStyle name="Notas 22 2" xfId="4774" xr:uid="{B5198F48-7815-490D-80FE-7646D75F6EE9}"/>
    <cellStyle name="Notas 22 2 2" xfId="20069" xr:uid="{13963E76-B368-4126-BFD9-EFDB4DB74227}"/>
    <cellStyle name="Notas 22 3" xfId="4775" xr:uid="{DE280D18-01B5-4650-8F95-523879187ABD}"/>
    <cellStyle name="Notas 22 3 2" xfId="20070" xr:uid="{3A3DDC99-13BB-4484-833D-7E7740B112F3}"/>
    <cellStyle name="Notas 22 4" xfId="4776" xr:uid="{86F12345-0F6C-4A1B-968F-7238716CC450}"/>
    <cellStyle name="Notas 22 4 2" xfId="20071" xr:uid="{5E8CEDA6-1A9B-4E25-980B-D6786804E66B}"/>
    <cellStyle name="Notas 22 5" xfId="4777" xr:uid="{A599EA8C-4F6B-4282-A110-1F0374E9A823}"/>
    <cellStyle name="Notas 22 5 2" xfId="20072" xr:uid="{F16C95E0-3B12-4007-9FCD-A9E5B0CEEED4}"/>
    <cellStyle name="Notas 22 6" xfId="4778" xr:uid="{BFDEB559-6B08-4E28-BB44-5559A79E6284}"/>
    <cellStyle name="Notas 22 6 2" xfId="20073" xr:uid="{841BF039-B360-4529-BB2E-22E732B11ECA}"/>
    <cellStyle name="Notas 22 7" xfId="4779" xr:uid="{D6C69F87-A312-4358-9B6C-8FCEE045F5A2}"/>
    <cellStyle name="Notas 22 7 2" xfId="20074" xr:uid="{FA67F7E5-F0B8-43CD-8500-814064736266}"/>
    <cellStyle name="Notas 22 8" xfId="19886" xr:uid="{590F0D9C-186F-4A11-870B-EA66B59CDADE}"/>
    <cellStyle name="Notas 23" xfId="2936" xr:uid="{27C6C301-0C18-47E6-83B2-3B9195C29604}"/>
    <cellStyle name="Notas 23 2" xfId="4780" xr:uid="{17C7D4F0-2C8A-42D8-B65F-ABA756558E60}"/>
    <cellStyle name="Notas 23 2 2" xfId="20075" xr:uid="{0185C9C8-E788-4630-92CF-E00819985792}"/>
    <cellStyle name="Notas 23 3" xfId="4781" xr:uid="{66E2FB7E-0BDC-4982-9101-0DAF6AE94BA8}"/>
    <cellStyle name="Notas 23 3 2" xfId="20076" xr:uid="{A27D122F-AD44-467C-B365-BE6A990E8E4A}"/>
    <cellStyle name="Notas 23 4" xfId="4782" xr:uid="{0BB2FDA3-3FD7-4CEA-8345-6BD8F99D8123}"/>
    <cellStyle name="Notas 23 4 2" xfId="20077" xr:uid="{FB489ECF-BFB7-47EF-B56D-E4E6E83EBA1E}"/>
    <cellStyle name="Notas 23 5" xfId="4783" xr:uid="{93F4F0C0-990F-40DD-9BB2-B698616290A4}"/>
    <cellStyle name="Notas 23 5 2" xfId="20078" xr:uid="{F9BE3D47-9DA1-4060-A5F4-B032C0E837D0}"/>
    <cellStyle name="Notas 23 6" xfId="4784" xr:uid="{65B79802-D5A0-41F4-AA42-2F514524888E}"/>
    <cellStyle name="Notas 23 6 2" xfId="20079" xr:uid="{31ACAC08-BD02-4262-AEE9-3D95689D9F94}"/>
    <cellStyle name="Notas 23 7" xfId="4785" xr:uid="{8D0D4113-4A91-407F-95CE-BF1FB1E237C7}"/>
    <cellStyle name="Notas 23 7 2" xfId="20080" xr:uid="{4077807C-42D1-40AA-A9DA-A35E51ECD43D}"/>
    <cellStyle name="Notas 23 8" xfId="19887" xr:uid="{E10CC050-994C-4ABC-8A59-6A2A05CE79A6}"/>
    <cellStyle name="Notas 24" xfId="2937" xr:uid="{D66A360C-0AC3-445A-BD7C-076976937B17}"/>
    <cellStyle name="Notas 24 2" xfId="4786" xr:uid="{B83FD896-7847-48F3-94E8-EF633C3BAB7F}"/>
    <cellStyle name="Notas 24 2 2" xfId="20081" xr:uid="{BC7BAE57-3F19-4350-A470-3CABE2EE7286}"/>
    <cellStyle name="Notas 24 3" xfId="4787" xr:uid="{43CD9573-0304-4923-B56B-EE6DBE43A32D}"/>
    <cellStyle name="Notas 24 3 2" xfId="20082" xr:uid="{39FA940D-11F4-4E96-81C0-F34531E30688}"/>
    <cellStyle name="Notas 24 4" xfId="4788" xr:uid="{E7C8F2B4-F7C0-44ED-BE52-3331611C9E22}"/>
    <cellStyle name="Notas 24 4 2" xfId="20083" xr:uid="{CF9E2532-358F-4119-878E-1D3FB4D781B3}"/>
    <cellStyle name="Notas 24 5" xfId="4789" xr:uid="{BCC41A49-FA02-4DBF-A2C4-27300246EAD5}"/>
    <cellStyle name="Notas 24 5 2" xfId="20084" xr:uid="{3015B23E-87CC-4F4E-9635-51649F33328D}"/>
    <cellStyle name="Notas 24 6" xfId="4790" xr:uid="{6F4EC3FB-4C25-4F3F-90BE-0083611CCAFD}"/>
    <cellStyle name="Notas 24 6 2" xfId="20085" xr:uid="{FAE89D00-4795-4DAB-90A6-6807B6E44599}"/>
    <cellStyle name="Notas 24 7" xfId="4791" xr:uid="{23E8E12F-5D44-4549-BF10-A9BFD64AED81}"/>
    <cellStyle name="Notas 24 7 2" xfId="20086" xr:uid="{5EFABFCE-CC32-4F00-AF51-ABD3FDA9C447}"/>
    <cellStyle name="Notas 24 8" xfId="19888" xr:uid="{6219D755-A85B-4140-A7C3-ABEA84E2E6C4}"/>
    <cellStyle name="Notas 25" xfId="2938" xr:uid="{334C28E4-04B0-493F-9C04-3596B1BEDC2F}"/>
    <cellStyle name="Notas 25 2" xfId="4792" xr:uid="{988FA7D9-F21E-4164-95C0-301A6CC160D6}"/>
    <cellStyle name="Notas 25 2 2" xfId="20087" xr:uid="{B1B379C0-9785-4157-A37A-3AE1FB1DE398}"/>
    <cellStyle name="Notas 25 3" xfId="4793" xr:uid="{3297DA97-489D-4930-B5C7-1B5A766D79B8}"/>
    <cellStyle name="Notas 25 3 2" xfId="20088" xr:uid="{5E38C088-B025-4F38-8FA3-11EEAFCB2485}"/>
    <cellStyle name="Notas 25 4" xfId="4794" xr:uid="{4439DC67-640D-4706-AFEE-673B35E416AD}"/>
    <cellStyle name="Notas 25 4 2" xfId="20089" xr:uid="{F529903D-D959-4590-A318-7583F33D8431}"/>
    <cellStyle name="Notas 25 5" xfId="4795" xr:uid="{D6F8C644-5E52-424E-A964-954B26648E59}"/>
    <cellStyle name="Notas 25 5 2" xfId="20090" xr:uid="{9516DA75-4BF7-42B2-8550-5B21BA662022}"/>
    <cellStyle name="Notas 25 6" xfId="4796" xr:uid="{CE5347AB-D900-4A47-A574-C5A746896BA7}"/>
    <cellStyle name="Notas 25 6 2" xfId="20091" xr:uid="{C353FB5A-25BF-4F7B-A4B5-4FC9413906AA}"/>
    <cellStyle name="Notas 25 7" xfId="4797" xr:uid="{9575BB0F-4E5F-4E7E-AA73-9CA7DF79E96B}"/>
    <cellStyle name="Notas 25 7 2" xfId="20092" xr:uid="{D0004DD6-D28D-4C07-924F-FA0F37649BF1}"/>
    <cellStyle name="Notas 25 8" xfId="19889" xr:uid="{7661A084-9208-41D7-B746-912F2EAC407D}"/>
    <cellStyle name="Notas 26" xfId="2939" xr:uid="{AAB9ACE8-6A81-4F5B-8D6C-E65AA2F6FF36}"/>
    <cellStyle name="Notas 26 2" xfId="4798" xr:uid="{7014E0AD-0CA9-4A90-87D2-90CA48FD2A59}"/>
    <cellStyle name="Notas 26 2 2" xfId="20093" xr:uid="{08B5E2AA-4B69-408E-921B-BC4EE0706F38}"/>
    <cellStyle name="Notas 26 3" xfId="4799" xr:uid="{2FCF25D6-5FDB-4205-9423-BC6E3BE439FA}"/>
    <cellStyle name="Notas 26 3 2" xfId="20094" xr:uid="{D6EB1B2B-DAA9-4555-B52C-42FB74717FE8}"/>
    <cellStyle name="Notas 26 4" xfId="4800" xr:uid="{A21E4120-82E8-448A-98FA-6B25DA221B2D}"/>
    <cellStyle name="Notas 26 4 2" xfId="20095" xr:uid="{98408A8D-5835-4FAD-B99A-467026A87CDC}"/>
    <cellStyle name="Notas 26 5" xfId="4801" xr:uid="{830D1AF9-7F10-438D-9255-53B6965952DE}"/>
    <cellStyle name="Notas 26 5 2" xfId="20096" xr:uid="{93F132B7-7FF2-4FAF-9C69-59DD320DC383}"/>
    <cellStyle name="Notas 26 6" xfId="4802" xr:uid="{B14CD0CB-E9FA-4CF5-9715-6647DCA8CCB6}"/>
    <cellStyle name="Notas 26 6 2" xfId="20097" xr:uid="{4A230D1C-8E55-4692-A723-17136100E906}"/>
    <cellStyle name="Notas 26 7" xfId="4803" xr:uid="{55899C8B-5101-462D-842E-AC1BBA73BCE1}"/>
    <cellStyle name="Notas 26 7 2" xfId="20098" xr:uid="{1C7862AD-3304-4D0F-AEF7-675D9DD78A27}"/>
    <cellStyle name="Notas 26 8" xfId="19890" xr:uid="{D5E2929D-F1AE-409A-B2F6-F128DCF92F0B}"/>
    <cellStyle name="Notas 27" xfId="2940" xr:uid="{4EB95694-A2AB-4395-BD57-C65506D81A88}"/>
    <cellStyle name="Notas 27 2" xfId="4804" xr:uid="{853455F6-0057-456C-88EE-C803E32128FF}"/>
    <cellStyle name="Notas 27 2 2" xfId="20099" xr:uid="{95A7DBF8-5A2B-4832-8070-290C64B1AF3B}"/>
    <cellStyle name="Notas 27 3" xfId="4805" xr:uid="{63DAA8D3-7B91-423E-BC3A-82E6F41D6845}"/>
    <cellStyle name="Notas 27 3 2" xfId="20100" xr:uid="{7CED75A1-5F95-4996-B2DB-F66127362F1E}"/>
    <cellStyle name="Notas 27 4" xfId="4806" xr:uid="{44322D71-8BD7-4DCA-8E00-506ED39C2E7D}"/>
    <cellStyle name="Notas 27 4 2" xfId="20101" xr:uid="{662C292A-B2F9-4C0D-B853-EA5B5C4BE216}"/>
    <cellStyle name="Notas 27 5" xfId="4807" xr:uid="{23E8FDBA-C1B9-4E48-96EB-408B25D665E6}"/>
    <cellStyle name="Notas 27 5 2" xfId="20102" xr:uid="{B56A0C6D-16B5-4C9B-A173-ED6170C9A1DC}"/>
    <cellStyle name="Notas 27 6" xfId="4808" xr:uid="{CC4700AA-2E8D-4CA0-8E12-3A4672E91B62}"/>
    <cellStyle name="Notas 27 6 2" xfId="20103" xr:uid="{6DB4047B-4333-4561-B66A-14D7D5AF65AC}"/>
    <cellStyle name="Notas 27 7" xfId="4809" xr:uid="{0A9103F7-785A-48C5-A4BF-73DEC2557143}"/>
    <cellStyle name="Notas 27 7 2" xfId="20104" xr:uid="{C2DFBCF4-0F32-45EA-9539-AE8AD170965C}"/>
    <cellStyle name="Notas 27 8" xfId="19891" xr:uid="{BD1B7EDC-C25F-4C58-933A-B5E1A7F55FCC}"/>
    <cellStyle name="Notas 28" xfId="2941" xr:uid="{F128F480-1FFD-434E-A925-548A6B9D379A}"/>
    <cellStyle name="Notas 28 2" xfId="4810" xr:uid="{69A57598-D734-4835-AC7E-90D132CF98DC}"/>
    <cellStyle name="Notas 28 2 2" xfId="20105" xr:uid="{EFFD70E5-B4BF-4EB9-9C28-6D2A01F883CD}"/>
    <cellStyle name="Notas 28 3" xfId="4811" xr:uid="{94DA596D-0C7C-4447-88DC-D09EE4CF3E81}"/>
    <cellStyle name="Notas 28 3 2" xfId="20106" xr:uid="{233AD6F4-66D3-4E25-AD37-35D2F2CCF200}"/>
    <cellStyle name="Notas 28 4" xfId="4812" xr:uid="{53AC5D83-3878-405E-9E96-FDA49537A06E}"/>
    <cellStyle name="Notas 28 4 2" xfId="20107" xr:uid="{188925CD-6877-4A8E-9A9C-BC32F826B8BD}"/>
    <cellStyle name="Notas 28 5" xfId="4813" xr:uid="{984E082F-1B4B-4B0B-B672-CACB0911DB70}"/>
    <cellStyle name="Notas 28 5 2" xfId="20108" xr:uid="{75218C9D-1D40-428A-90B9-AF5F7B950194}"/>
    <cellStyle name="Notas 28 6" xfId="4814" xr:uid="{6E6EEE95-1147-41E3-A8D0-98B8A479514A}"/>
    <cellStyle name="Notas 28 6 2" xfId="20109" xr:uid="{94D73487-17A8-4422-9397-D6C9B558D37F}"/>
    <cellStyle name="Notas 28 7" xfId="4815" xr:uid="{CEA7C48E-7A15-4716-9A53-DE39A345EF68}"/>
    <cellStyle name="Notas 28 7 2" xfId="20110" xr:uid="{95767BA9-B447-4C59-990F-526281694E33}"/>
    <cellStyle name="Notas 28 8" xfId="19892" xr:uid="{95A20A3C-B372-4196-B34F-219E2BA0352F}"/>
    <cellStyle name="Notas 29" xfId="2942" xr:uid="{87CEAD16-D8EA-4355-A80C-9DC5EFB8AAD0}"/>
    <cellStyle name="Notas 29 2" xfId="4816" xr:uid="{5FD52FCF-7B66-404D-9991-17919CB8EB30}"/>
    <cellStyle name="Notas 29 2 2" xfId="20111" xr:uid="{AEED0F29-0E47-45DA-A82A-CC7CDC459E6A}"/>
    <cellStyle name="Notas 29 3" xfId="4817" xr:uid="{5F1EBE03-B695-44F3-9EBF-6F4C134E2997}"/>
    <cellStyle name="Notas 29 3 2" xfId="20112" xr:uid="{6B9AB7B1-4C46-497D-9C7C-21B86A2E5403}"/>
    <cellStyle name="Notas 29 4" xfId="4818" xr:uid="{0518B3DE-4565-487A-8AEE-9DE15FDF8AC6}"/>
    <cellStyle name="Notas 29 4 2" xfId="20113" xr:uid="{ED12D26A-DE1F-45BC-9CF9-E42AA5FB2374}"/>
    <cellStyle name="Notas 29 5" xfId="4819" xr:uid="{7CE5E10D-75B7-4F2F-AFFF-4625A5CCA3A1}"/>
    <cellStyle name="Notas 29 5 2" xfId="20114" xr:uid="{A5BB9006-C8B8-4EBE-AD0F-3F3B32366FAB}"/>
    <cellStyle name="Notas 29 6" xfId="4820" xr:uid="{2EC69556-BA32-42FF-A300-ED4D9C00CA0C}"/>
    <cellStyle name="Notas 29 6 2" xfId="20115" xr:uid="{D2750713-2873-4183-81A7-CE461E753E30}"/>
    <cellStyle name="Notas 29 7" xfId="4821" xr:uid="{78195CE2-171B-481A-9374-74E3491FFAA1}"/>
    <cellStyle name="Notas 29 7 2" xfId="20116" xr:uid="{CED2DDD5-BC55-47A3-8036-44D6DA8C16B0}"/>
    <cellStyle name="Notas 29 8" xfId="19893" xr:uid="{793C1028-D8AE-4F57-B15B-C4EE32282022}"/>
    <cellStyle name="Notas 3" xfId="419" xr:uid="{0A3E75FA-4D34-4FCC-B9FC-4D289A5016F8}"/>
    <cellStyle name="Notas 3 10" xfId="12392" xr:uid="{92AD6B24-F0D7-4ECF-B885-972B0C7E89A1}"/>
    <cellStyle name="Notas 3 11" xfId="11941" xr:uid="{5CD88B4A-2E4A-4AEA-A42F-3153A0718225}"/>
    <cellStyle name="Notas 3 12" xfId="12576" xr:uid="{67AA2A9C-1727-4EF5-9977-45BF3E0B15DF}"/>
    <cellStyle name="Notas 3 13" xfId="12473" xr:uid="{E09910B8-6029-4876-8D21-D62E7132F700}"/>
    <cellStyle name="Notas 3 14" xfId="12474" xr:uid="{AD844284-77F3-47A3-BB42-2E9F40BFB084}"/>
    <cellStyle name="Notas 3 15" xfId="11422" xr:uid="{6B5FE658-440C-4F2A-B80D-D9FFC5F50617}"/>
    <cellStyle name="Notas 3 16" xfId="12608" xr:uid="{DF6CC519-C40D-4694-BD46-CF9962AE7E39}"/>
    <cellStyle name="Notas 3 17" xfId="12605" xr:uid="{2FE54A08-A3D6-408A-903A-27345B83C811}"/>
    <cellStyle name="Notas 3 18" xfId="10969" xr:uid="{262FBB43-DF01-45E9-A6CF-0B5BE6A42B95}"/>
    <cellStyle name="Notas 3 19" xfId="13337" xr:uid="{CF198DC4-BEBB-491E-AB09-49161202CE61}"/>
    <cellStyle name="Notas 3 2" xfId="2943" xr:uid="{519DD43C-8300-462D-BA87-A3EBEB93C66E}"/>
    <cellStyle name="Notas 3 2 10" xfId="13546" xr:uid="{136E5996-71D6-4B2C-86BA-4AE56C1F1B88}"/>
    <cellStyle name="Notas 3 2 11" xfId="12796" xr:uid="{5FAC7509-1DD3-4112-998F-02736BAA0410}"/>
    <cellStyle name="Notas 3 2 12" xfId="12545" xr:uid="{3AB8BCD5-7125-409E-AA17-DD9AE9F718EC}"/>
    <cellStyle name="Notas 3 2 13" xfId="11656" xr:uid="{A6763149-9547-4B2D-AF50-D359579C0558}"/>
    <cellStyle name="Notas 3 2 14" xfId="12004" xr:uid="{CB392519-CA02-41A8-BB72-BF7D2E39129A}"/>
    <cellStyle name="Notas 3 2 15" xfId="10990" xr:uid="{EA610CFE-5E91-4457-B93A-7F9E29945382}"/>
    <cellStyle name="Notas 3 2 16" xfId="12388" xr:uid="{0E98AB66-CA28-42ED-8C17-E7A51334EB05}"/>
    <cellStyle name="Notas 3 2 17" xfId="11712" xr:uid="{A2A6B0DF-611B-4D9E-B468-6357EF154F3E}"/>
    <cellStyle name="Notas 3 2 18" xfId="11821" xr:uid="{74D5CCAE-14FA-4224-9286-BC27401E5B24}"/>
    <cellStyle name="Notas 3 2 19" xfId="12774" xr:uid="{69A0E4AA-CF26-4A22-8C4A-0799EBC101B6}"/>
    <cellStyle name="Notas 3 2 2" xfId="11393" xr:uid="{7185EDB6-A8D5-468F-BE1F-41765C82F59A}"/>
    <cellStyle name="Notas 3 2 20" xfId="12574" xr:uid="{34E6AC2D-AF72-4FFC-8967-9F108241731F}"/>
    <cellStyle name="Notas 3 2 21" xfId="11822" xr:uid="{19BD7777-8881-4B7C-A514-BF6D98664417}"/>
    <cellStyle name="Notas 3 2 22" xfId="11823" xr:uid="{0BBB7F1C-24D3-46B2-9E20-3195DC23D54C}"/>
    <cellStyle name="Notas 3 2 23" xfId="11824" xr:uid="{79255B38-FB17-468D-865A-8603613C5B56}"/>
    <cellStyle name="Notas 3 2 24" xfId="11905" xr:uid="{B289B95C-8122-4688-88BB-436F5E075BA0}"/>
    <cellStyle name="Notas 3 2 3" xfId="12775" xr:uid="{4E27DBAB-12B7-4223-BE70-95EDEBB2B4E8}"/>
    <cellStyle name="Notas 3 2 4" xfId="11942" xr:uid="{0F66EFC3-B885-4A37-A2D3-3E142CB81A37}"/>
    <cellStyle name="Notas 3 2 5" xfId="11067" xr:uid="{B3B825A1-FC17-4B1E-8868-FEA5649F57AB}"/>
    <cellStyle name="Notas 3 2 6" xfId="11128" xr:uid="{D2EEFDC9-2378-4661-9F5A-D9E01EBC4E35}"/>
    <cellStyle name="Notas 3 2 7" xfId="11320" xr:uid="{E1444326-55C5-486A-B891-2C94F79C161D}"/>
    <cellStyle name="Notas 3 2 8" xfId="12812" xr:uid="{EFC6E26C-3E3D-461E-B40F-A895383E4CFF}"/>
    <cellStyle name="Notas 3 2 9" xfId="11956" xr:uid="{105E5826-AB62-48E0-8719-61451FC80611}"/>
    <cellStyle name="Notas 3 20" xfId="12559" xr:uid="{0E08B67A-B2AD-487A-AA24-485C3565F163}"/>
    <cellStyle name="Notas 3 21" xfId="12937" xr:uid="{49F8B06B-A861-411C-908C-89CDB6E7D771}"/>
    <cellStyle name="Notas 3 22" xfId="12325" xr:uid="{B3A25F8C-8489-4104-B369-3C14396C3BDC}"/>
    <cellStyle name="Notas 3 23" xfId="11997" xr:uid="{CFF355FA-9DEC-4703-B00D-CA6C58562031}"/>
    <cellStyle name="Notas 3 3" xfId="4822" xr:uid="{2213D883-FFC9-418A-8329-E976AB6AB380}"/>
    <cellStyle name="Notas 3 3 2" xfId="11376" xr:uid="{2FE3C7C4-8A2C-46F4-A030-4B7FC815ACE1}"/>
    <cellStyle name="Notas 3 3 2 2" xfId="20117" xr:uid="{1C61B1AB-6C3E-4AB9-904F-35203020A9B8}"/>
    <cellStyle name="Notas 3 3 2 3" xfId="20556" xr:uid="{27DF1AD5-C536-40C3-9258-F66076793228}"/>
    <cellStyle name="Notas 3 4" xfId="4823" xr:uid="{1899616B-3425-4826-BCDD-DE8A6702E103}"/>
    <cellStyle name="Notas 3 4 2" xfId="11068" xr:uid="{BFFD0AB0-B0C2-429A-947A-063902F86950}"/>
    <cellStyle name="Notas 3 4 2 2" xfId="20118" xr:uid="{CBAA9CA4-FF4B-4907-BA92-1349362526BD}"/>
    <cellStyle name="Notas 3 4 2 3" xfId="20509" xr:uid="{394A7471-AD2E-45EF-AFAF-C184FC0C1189}"/>
    <cellStyle name="Notas 3 5" xfId="4824" xr:uid="{02EA1F26-FBB8-4D38-BA8B-E0DB51CA9D84}"/>
    <cellStyle name="Notas 3 5 2" xfId="11305" xr:uid="{2ED0980B-CB1E-4DCD-9731-D823A789CD4B}"/>
    <cellStyle name="Notas 3 5 2 2" xfId="20119" xr:uid="{846BAB9A-12F5-4CC3-8E04-2384A31BD647}"/>
    <cellStyle name="Notas 3 5 2 3" xfId="20537" xr:uid="{9F7F5477-B3BA-4A27-875A-CDBD4440EEE0}"/>
    <cellStyle name="Notas 3 6" xfId="4825" xr:uid="{7C75D308-CA39-46C2-BA66-E41743AC736D}"/>
    <cellStyle name="Notas 3 6 2" xfId="12496" xr:uid="{A780EBF1-69D8-4A55-91BF-B9CB1A234EF9}"/>
    <cellStyle name="Notas 3 6 2 2" xfId="20120" xr:uid="{06755949-3453-4CE5-AB34-FB22D11BDCF9}"/>
    <cellStyle name="Notas 3 6 2 3" xfId="20699" xr:uid="{1F209667-D9B3-4BCB-897B-E1036ABD6DC5}"/>
    <cellStyle name="Notas 3 7" xfId="4826" xr:uid="{1353D9B2-DE64-441B-8A78-A8DD1CD394E0}"/>
    <cellStyle name="Notas 3 7 2" xfId="11423" xr:uid="{7DAA4E85-377B-40E8-9E3F-18678A3F4B5F}"/>
    <cellStyle name="Notas 3 7 2 2" xfId="20121" xr:uid="{0107574C-3FFC-4E00-A65D-041C8E2E42E5}"/>
    <cellStyle name="Notas 3 7 2 3" xfId="20571" xr:uid="{B4CF133D-29FA-414C-BD7C-706D4A14091F}"/>
    <cellStyle name="Notas 3 8" xfId="11825" xr:uid="{05EAF941-3D97-47CC-B024-43D5B8A22196}"/>
    <cellStyle name="Notas 3 8 2" xfId="19894" xr:uid="{2E7816E9-F601-4C8A-BCAB-423125A79588}"/>
    <cellStyle name="Notas 3 8 3" xfId="20626" xr:uid="{51410942-2B13-46E7-9AA0-657392D3173C}"/>
    <cellStyle name="Notas 3 9" xfId="11744" xr:uid="{BE0D7071-207D-4A96-A007-96EA998D7CFC}"/>
    <cellStyle name="Notas 30" xfId="2944" xr:uid="{A907CCD7-0026-44B3-A8C4-6271DF587683}"/>
    <cellStyle name="Notas 30 2" xfId="4827" xr:uid="{EB076E58-9CDE-4BAA-BF51-1E790FE16ED0}"/>
    <cellStyle name="Notas 30 2 2" xfId="20122" xr:uid="{B182FF33-B627-483B-9C81-4574EDE5DAFF}"/>
    <cellStyle name="Notas 30 3" xfId="4828" xr:uid="{4566DE7E-A1C2-4F9B-9CAD-CBE5C7309414}"/>
    <cellStyle name="Notas 30 3 2" xfId="20123" xr:uid="{5A8FAFED-B9D5-4EB7-9205-F71E4D1875A8}"/>
    <cellStyle name="Notas 30 4" xfId="4829" xr:uid="{C5659FD5-EB70-406F-A6E8-7AF208DE92EB}"/>
    <cellStyle name="Notas 30 4 2" xfId="20124" xr:uid="{66A9926D-B8CA-4AD7-90FE-49FECF536A10}"/>
    <cellStyle name="Notas 30 5" xfId="4830" xr:uid="{6CAD5E66-061D-40A0-9B17-188E6EF2F29A}"/>
    <cellStyle name="Notas 30 5 2" xfId="20125" xr:uid="{31E4A2DE-AA0F-4713-A592-70B8C2094A0E}"/>
    <cellStyle name="Notas 30 6" xfId="4831" xr:uid="{596D49CD-9E5D-4928-A9C6-352ED33056A1}"/>
    <cellStyle name="Notas 30 6 2" xfId="20126" xr:uid="{1633FFF0-41E5-46F2-93DA-B83EEBC60985}"/>
    <cellStyle name="Notas 30 7" xfId="4832" xr:uid="{B625969F-520C-4BEE-B8F6-E9C95D56C509}"/>
    <cellStyle name="Notas 30 7 2" xfId="20127" xr:uid="{7CF320D6-D06C-42B1-92FF-736E8DC72137}"/>
    <cellStyle name="Notas 30 8" xfId="19895" xr:uid="{5947A52D-056D-45A6-A4FA-F87C2A46AFB9}"/>
    <cellStyle name="Notas 31" xfId="2945" xr:uid="{AED2BF5E-C4F6-4DC1-A337-1EC917DBA099}"/>
    <cellStyle name="Notas 31 2" xfId="4833" xr:uid="{161B5143-00C5-45FF-B791-E42E6D5B1244}"/>
    <cellStyle name="Notas 31 2 2" xfId="20128" xr:uid="{DE8A96A3-9AAD-4CD0-BA18-1CE3348166F1}"/>
    <cellStyle name="Notas 31 3" xfId="4834" xr:uid="{9E825861-4001-4BD8-8600-57E397E66520}"/>
    <cellStyle name="Notas 31 3 2" xfId="20129" xr:uid="{E471CB24-2809-443F-BBB7-D45751048513}"/>
    <cellStyle name="Notas 31 4" xfId="4835" xr:uid="{E8703404-E57C-472B-8B2C-7264D3D2238D}"/>
    <cellStyle name="Notas 31 4 2" xfId="20130" xr:uid="{76FEE05F-DF8B-4693-BA6D-6FA3D386E948}"/>
    <cellStyle name="Notas 31 5" xfId="4836" xr:uid="{C5128A5A-B08D-442D-ABD8-828BBF6C8A15}"/>
    <cellStyle name="Notas 31 5 2" xfId="20131" xr:uid="{3FEFFD0F-E747-42A9-8AB2-9DBF49DBF846}"/>
    <cellStyle name="Notas 31 6" xfId="4837" xr:uid="{9B410F73-C6A3-47FA-9E61-C9B7CF29AA9A}"/>
    <cellStyle name="Notas 31 6 2" xfId="20132" xr:uid="{F7630000-64AC-4362-A48C-C89619A2D079}"/>
    <cellStyle name="Notas 31 7" xfId="4838" xr:uid="{1990FEC2-01FB-47FB-986A-64D5D585CAFD}"/>
    <cellStyle name="Notas 31 7 2" xfId="20133" xr:uid="{FB718029-92A9-402E-B2F9-2A258A16375C}"/>
    <cellStyle name="Notas 31 8" xfId="19896" xr:uid="{750E162E-0E0B-4BD3-901D-FDE83B96D129}"/>
    <cellStyle name="Notas 32" xfId="2946" xr:uid="{26FCFE34-C1FC-4943-9BA6-D9794AE2EADE}"/>
    <cellStyle name="Notas 32 2" xfId="4839" xr:uid="{230B88B8-92E1-4444-BF01-5C4DC785A251}"/>
    <cellStyle name="Notas 32 2 2" xfId="20134" xr:uid="{CBD76B47-8713-4774-9E3E-0EA23B9C86C1}"/>
    <cellStyle name="Notas 32 3" xfId="4840" xr:uid="{A5216BCE-2A5C-4C7B-ADB3-07F307921F4A}"/>
    <cellStyle name="Notas 32 3 2" xfId="20135" xr:uid="{6A022250-23E9-4EE9-B8BE-1DF4DE4D31A9}"/>
    <cellStyle name="Notas 32 4" xfId="4841" xr:uid="{82493C54-DE5A-4B89-AED5-9705496E780D}"/>
    <cellStyle name="Notas 32 4 2" xfId="20136" xr:uid="{0D6D188F-0424-4627-A11B-AC3B913E7BBD}"/>
    <cellStyle name="Notas 32 5" xfId="4842" xr:uid="{123D9DB5-56FC-4F13-BF86-D97016A0D2A8}"/>
    <cellStyle name="Notas 32 5 2" xfId="20137" xr:uid="{F2352F2A-DEFF-4A56-9BF3-1CDFDA52528D}"/>
    <cellStyle name="Notas 32 6" xfId="4843" xr:uid="{76812559-1718-4BAB-8087-0FA4F4B3A9E2}"/>
    <cellStyle name="Notas 32 6 2" xfId="20138" xr:uid="{9B544D1B-BD8C-4A8D-91A0-DA7863CD87C1}"/>
    <cellStyle name="Notas 32 7" xfId="4844" xr:uid="{EB0A2707-1C29-4F08-B3E0-85FC618D2BAE}"/>
    <cellStyle name="Notas 32 7 2" xfId="20139" xr:uid="{E1D006E6-6EA2-4284-9FEC-89B3859416B4}"/>
    <cellStyle name="Notas 32 8" xfId="19897" xr:uid="{1315A69C-22B2-4B58-B7B3-622D2DF03E81}"/>
    <cellStyle name="Notas 33" xfId="2947" xr:uid="{4F43A3BF-E8D9-4B99-AA34-7A4D84ECEA0C}"/>
    <cellStyle name="Notas 33 2" xfId="4845" xr:uid="{056A3C43-1183-419E-91E4-A07C17B15128}"/>
    <cellStyle name="Notas 33 2 2" xfId="20140" xr:uid="{C30ABF85-92EA-4FDF-82EB-98B28D63F217}"/>
    <cellStyle name="Notas 33 3" xfId="4846" xr:uid="{FA0C5AF3-BB56-4436-BD72-58826E8DB446}"/>
    <cellStyle name="Notas 33 3 2" xfId="20141" xr:uid="{423F9F57-7F2C-47F5-AF8A-E304D0BFAFBA}"/>
    <cellStyle name="Notas 33 4" xfId="4847" xr:uid="{4F7FA374-0BC4-4A5C-80DE-280A61F8E1B7}"/>
    <cellStyle name="Notas 33 4 2" xfId="20142" xr:uid="{3783E41B-13ED-474B-B389-EFF8A77F85CC}"/>
    <cellStyle name="Notas 33 5" xfId="4848" xr:uid="{0C769DB3-43E8-44B1-A5D4-35FA6B89FADA}"/>
    <cellStyle name="Notas 33 5 2" xfId="20143" xr:uid="{D3E24721-50DA-4AF7-AC2B-42722A4C43DA}"/>
    <cellStyle name="Notas 33 6" xfId="4849" xr:uid="{2F813BEB-7287-4CE3-A2C3-0A9F52D7A683}"/>
    <cellStyle name="Notas 33 6 2" xfId="20144" xr:uid="{BBF7510A-1C83-4F29-8153-56ECBA24C7FC}"/>
    <cellStyle name="Notas 33 7" xfId="4850" xr:uid="{DB74289B-DC12-4FB1-BD2D-EABC0F73EF8B}"/>
    <cellStyle name="Notas 33 7 2" xfId="20145" xr:uid="{C57A456E-5A16-4D27-8D26-AEF181524D6B}"/>
    <cellStyle name="Notas 33 8" xfId="19898" xr:uid="{D35D8538-1340-4D07-8AF6-762428DBCA44}"/>
    <cellStyle name="Notas 34" xfId="2948" xr:uid="{0AF66FBF-685E-479B-8C88-28FEE6518D2B}"/>
    <cellStyle name="Notas 34 2" xfId="4851" xr:uid="{E57B4194-CBA0-4B65-82E2-6CDB18DE6DD5}"/>
    <cellStyle name="Notas 34 2 2" xfId="20146" xr:uid="{737FFF9C-55EB-41B5-9628-D385685CCF6B}"/>
    <cellStyle name="Notas 34 3" xfId="4852" xr:uid="{20189222-E572-47D5-880E-D797A30114A6}"/>
    <cellStyle name="Notas 34 3 2" xfId="20147" xr:uid="{753FEF7F-52E3-4A35-B67A-4707A8EBAFC8}"/>
    <cellStyle name="Notas 34 4" xfId="4853" xr:uid="{20121451-88AF-47E7-ACEA-9E02B13A3825}"/>
    <cellStyle name="Notas 34 4 2" xfId="20148" xr:uid="{AB9A8D71-611E-4041-93A5-32B2D0EC5452}"/>
    <cellStyle name="Notas 34 5" xfId="4854" xr:uid="{F5D91582-C229-42A9-913D-0F30B08D1DEB}"/>
    <cellStyle name="Notas 34 5 2" xfId="20149" xr:uid="{DDE85C9B-5F0A-42B8-ABDC-682B423F4401}"/>
    <cellStyle name="Notas 34 6" xfId="4855" xr:uid="{A4A0E236-4E57-41D9-BE3C-278846F3EE14}"/>
    <cellStyle name="Notas 34 6 2" xfId="20150" xr:uid="{80AE6373-9F24-4E08-B8C5-B9AC40378EE2}"/>
    <cellStyle name="Notas 34 7" xfId="4856" xr:uid="{0EC6CF06-0542-4B0F-B4C0-BD11CC94F428}"/>
    <cellStyle name="Notas 34 7 2" xfId="20151" xr:uid="{E5EB2C8C-B11F-4DDE-B36C-61C3FB76DFB7}"/>
    <cellStyle name="Notas 34 8" xfId="19899" xr:uid="{C5D88EB1-80C6-46DE-8291-F56C874EE457}"/>
    <cellStyle name="Notas 35" xfId="2949" xr:uid="{A46A068B-E069-466D-8305-A608C5420EFB}"/>
    <cellStyle name="Notas 35 2" xfId="4857" xr:uid="{F3E6CCFD-71F6-4236-B4DA-C361BB09AA36}"/>
    <cellStyle name="Notas 35 2 2" xfId="20152" xr:uid="{4C8420DF-89CD-4592-B997-1C20F79D2FA7}"/>
    <cellStyle name="Notas 35 3" xfId="4858" xr:uid="{41AEB15C-FD87-4989-BCDA-6FD4913F99F7}"/>
    <cellStyle name="Notas 35 3 2" xfId="20153" xr:uid="{338448A1-3786-452A-BA1C-705E984B07FE}"/>
    <cellStyle name="Notas 35 4" xfId="4859" xr:uid="{AA58BA0E-8172-4D7C-9C0A-F32A1163D56F}"/>
    <cellStyle name="Notas 35 4 2" xfId="20154" xr:uid="{D19CE871-999C-4534-8EB0-8A7375AB336A}"/>
    <cellStyle name="Notas 35 5" xfId="4860" xr:uid="{9D218FEC-3502-4046-8F87-F2C8B6362FD2}"/>
    <cellStyle name="Notas 35 5 2" xfId="20155" xr:uid="{80E55F16-0075-4985-9B8E-15F228C5181D}"/>
    <cellStyle name="Notas 35 6" xfId="4861" xr:uid="{4E01DDF0-C67A-46CA-B085-7B4AF71B6F64}"/>
    <cellStyle name="Notas 35 6 2" xfId="20156" xr:uid="{EA8AA6E5-870B-48CE-BBB8-EE4822C73C8F}"/>
    <cellStyle name="Notas 35 7" xfId="4862" xr:uid="{4B57D651-C9D5-4B81-B334-0DEB137B7C02}"/>
    <cellStyle name="Notas 35 7 2" xfId="20157" xr:uid="{37D7A3CF-82C7-4BC4-8AA0-5F5632C10F24}"/>
    <cellStyle name="Notas 35 8" xfId="19900" xr:uid="{0309D9F0-DB98-4E74-8E36-3EE4B60203C3}"/>
    <cellStyle name="Notas 36" xfId="2950" xr:uid="{87888FB2-829B-4BB7-ABEB-427947C81F4C}"/>
    <cellStyle name="Notas 36 2" xfId="4863" xr:uid="{70BD2E9C-8387-46ED-A5B6-01D3342AF4D4}"/>
    <cellStyle name="Notas 36 2 2" xfId="20158" xr:uid="{A2D36E18-7131-4CFE-982B-E0F4528BE86D}"/>
    <cellStyle name="Notas 36 3" xfId="4864" xr:uid="{D9300589-576C-486E-9961-6EAE6C9E02BB}"/>
    <cellStyle name="Notas 36 3 2" xfId="20159" xr:uid="{97378D1D-EB4C-42E2-B7C4-27B85138D820}"/>
    <cellStyle name="Notas 36 4" xfId="4865" xr:uid="{B7CA7DF9-7792-4EB5-868E-87BFEADF20BC}"/>
    <cellStyle name="Notas 36 4 2" xfId="20160" xr:uid="{B9341491-27C2-46E6-A950-EA8EDB5E92AA}"/>
    <cellStyle name="Notas 36 5" xfId="4866" xr:uid="{A072EBD9-DEC8-45A2-BF55-C55B9C688040}"/>
    <cellStyle name="Notas 36 5 2" xfId="20161" xr:uid="{FE9AEFB6-3645-484F-945F-9EBF91557622}"/>
    <cellStyle name="Notas 36 6" xfId="4867" xr:uid="{BCCF6C99-48F2-498A-A3B3-A5C161BB20AE}"/>
    <cellStyle name="Notas 36 6 2" xfId="20162" xr:uid="{1234E1ED-1618-429B-85AC-1B33E192BF00}"/>
    <cellStyle name="Notas 36 7" xfId="4868" xr:uid="{A3E90977-A4D2-4468-B006-1304BF30FF42}"/>
    <cellStyle name="Notas 36 7 2" xfId="20163" xr:uid="{7E0C3CDA-9DFD-4228-8E14-42826D349527}"/>
    <cellStyle name="Notas 36 8" xfId="19901" xr:uid="{89AD287E-3FA7-4364-8B4B-01E7453A7285}"/>
    <cellStyle name="Notas 37" xfId="2951" xr:uid="{9E932517-0392-47A7-BA5B-26D7A098E7B6}"/>
    <cellStyle name="Notas 37 2" xfId="4869" xr:uid="{B98F6F3E-710E-4CC1-9DD3-2E91057BDE88}"/>
    <cellStyle name="Notas 37 2 2" xfId="20164" xr:uid="{DE652FCC-0AEF-47A4-8584-BB86DBCF1D22}"/>
    <cellStyle name="Notas 37 3" xfId="4870" xr:uid="{E693C3DA-3043-4418-BE1F-0DA05A66E525}"/>
    <cellStyle name="Notas 37 3 2" xfId="20165" xr:uid="{AF261CCC-6BCC-40BD-95BC-C86E9B832D5E}"/>
    <cellStyle name="Notas 37 4" xfId="4871" xr:uid="{0934FEE2-660D-46CF-8223-57143C5CA18E}"/>
    <cellStyle name="Notas 37 4 2" xfId="20166" xr:uid="{E17EA179-21C4-4B5C-BD5B-7F44F17E7558}"/>
    <cellStyle name="Notas 37 5" xfId="4872" xr:uid="{C30E5065-597D-499F-8021-A6516711726D}"/>
    <cellStyle name="Notas 37 5 2" xfId="20167" xr:uid="{C6547540-19A6-4F01-A393-840C300D6B36}"/>
    <cellStyle name="Notas 37 6" xfId="4873" xr:uid="{E2F55F7F-D67B-43D6-B43B-7FFE1ACEC4BE}"/>
    <cellStyle name="Notas 37 6 2" xfId="20168" xr:uid="{ACDD0497-6937-4657-ADE5-AE15F8608ECE}"/>
    <cellStyle name="Notas 37 7" xfId="4874" xr:uid="{31CDA7AC-8561-4EFB-AE28-F94ED2B1F5C9}"/>
    <cellStyle name="Notas 37 7 2" xfId="20169" xr:uid="{C9FC797B-ED78-49EE-8BC7-BB1CF655AB7E}"/>
    <cellStyle name="Notas 37 8" xfId="19902" xr:uid="{8171DE20-260E-47A5-A8A9-BB326D874FC6}"/>
    <cellStyle name="Notas 38" xfId="2952" xr:uid="{7A1346ED-51D1-4811-AB25-C63B7F2FE4CF}"/>
    <cellStyle name="Notas 38 2" xfId="4875" xr:uid="{AF866CA8-7276-4C01-9CAE-DA854AD41660}"/>
    <cellStyle name="Notas 38 2 2" xfId="20170" xr:uid="{50CDCE6A-4CFE-480B-9F03-B3EA0EC7D5BC}"/>
    <cellStyle name="Notas 38 3" xfId="4876" xr:uid="{CE14AA3F-AD9F-4D44-90F3-6A0B725BD14C}"/>
    <cellStyle name="Notas 38 3 2" xfId="20171" xr:uid="{E35324CA-A377-4CFC-B13C-D59832BF3656}"/>
    <cellStyle name="Notas 38 4" xfId="4877" xr:uid="{13DED577-EEEE-4C47-A309-24F99FE893AC}"/>
    <cellStyle name="Notas 38 4 2" xfId="20172" xr:uid="{1529B76B-80A9-4D14-BC23-1515223F752C}"/>
    <cellStyle name="Notas 38 5" xfId="4878" xr:uid="{2E826C03-4034-4FFD-BAB8-A6FA6A4BD789}"/>
    <cellStyle name="Notas 38 5 2" xfId="20173" xr:uid="{D5F53E55-3641-44A1-B3E8-27CD83D1194D}"/>
    <cellStyle name="Notas 38 6" xfId="4879" xr:uid="{85F9D9F9-EAC4-4C93-AC73-DD6C6C3A810B}"/>
    <cellStyle name="Notas 38 6 2" xfId="20174" xr:uid="{C2FA7B94-60BF-4BA5-B992-91690E88FB9F}"/>
    <cellStyle name="Notas 38 7" xfId="4880" xr:uid="{5A163C3E-CA78-43F2-89E3-64162A392891}"/>
    <cellStyle name="Notas 38 7 2" xfId="20175" xr:uid="{B55CDD39-E8E3-452D-AC77-EE88D6D36EAD}"/>
    <cellStyle name="Notas 38 8" xfId="19903" xr:uid="{51305E45-27F7-4A02-8EEF-FFD38CF934F0}"/>
    <cellStyle name="Notas 39" xfId="2953" xr:uid="{C4780AEF-ECC8-4805-8131-BFECC50A869F}"/>
    <cellStyle name="Notas 39 2" xfId="4881" xr:uid="{E07F0A18-D4B3-45FC-969B-4BCDD0FF2CE3}"/>
    <cellStyle name="Notas 39 2 2" xfId="20176" xr:uid="{745FA4E1-C682-4E75-856F-4809916E4730}"/>
    <cellStyle name="Notas 39 3" xfId="4882" xr:uid="{0C916A21-762C-4B0A-8BC5-AF378D5C9A1B}"/>
    <cellStyle name="Notas 39 3 2" xfId="20177" xr:uid="{1ACAE697-D064-46DA-B202-3086C13AA53C}"/>
    <cellStyle name="Notas 39 4" xfId="4883" xr:uid="{275EB548-5C29-45FF-8C88-6DA7F793C080}"/>
    <cellStyle name="Notas 39 4 2" xfId="20178" xr:uid="{257DE86E-DA44-46C9-B0CB-7D054A9BBC4F}"/>
    <cellStyle name="Notas 39 5" xfId="4884" xr:uid="{F12006FF-69F1-4758-BFFD-921009266976}"/>
    <cellStyle name="Notas 39 5 2" xfId="20179" xr:uid="{C1A49AC0-3D9C-4559-A9E6-367C1FEBB0F3}"/>
    <cellStyle name="Notas 39 6" xfId="4885" xr:uid="{CCF5A322-DC93-42A4-912C-031D6A7CB33A}"/>
    <cellStyle name="Notas 39 6 2" xfId="20180" xr:uid="{C7E81DE7-D882-4A52-B6F3-9EC8242161F6}"/>
    <cellStyle name="Notas 39 7" xfId="4886" xr:uid="{812832EF-6D8C-40F7-882B-8D7D2E8A17DB}"/>
    <cellStyle name="Notas 39 7 2" xfId="20181" xr:uid="{9E8B86D2-C8B3-4816-B615-AE35222C8163}"/>
    <cellStyle name="Notas 39 8" xfId="19904" xr:uid="{AE118B52-465B-481F-91D0-1C3855D6ACF1}"/>
    <cellStyle name="Notas 4" xfId="420" xr:uid="{2964C31B-0600-49B6-A534-F62D90A92D2E}"/>
    <cellStyle name="Notas 4 10" xfId="13508" xr:uid="{00F71719-5C25-4E13-97B9-B6DADC9DAAF7}"/>
    <cellStyle name="Notas 4 11" xfId="12546" xr:uid="{D20D40D4-3B7D-4727-A57D-D565C788FD4C}"/>
    <cellStyle name="Notas 4 12" xfId="11457" xr:uid="{858E8ED1-F812-4D02-B1C1-3F57BD79EA52}"/>
    <cellStyle name="Notas 4 13" xfId="12469" xr:uid="{9B79693B-B2A1-4E63-9D3A-AA4333CDCB56}"/>
    <cellStyle name="Notas 4 14" xfId="11304" xr:uid="{969C2CF7-DE71-43C0-B217-7BE045D8C83C}"/>
    <cellStyle name="Notas 4 15" xfId="11711" xr:uid="{A78C9806-2F17-4570-AE04-AB57CE9B1741}"/>
    <cellStyle name="Notas 4 16" xfId="12386" xr:uid="{9B5FADD6-B2E7-4146-893A-12F9B4477361}"/>
    <cellStyle name="Notas 4 17" xfId="12718" xr:uid="{D9B8A43A-C34F-4409-9D25-313692E81493}"/>
    <cellStyle name="Notas 4 18" xfId="11392" xr:uid="{F010B647-B8AE-4BD4-9EC3-67FCC7833368}"/>
    <cellStyle name="Notas 4 19" xfId="11969" xr:uid="{BC48780D-CC48-4781-A394-AC020E897367}"/>
    <cellStyle name="Notas 4 2" xfId="2954" xr:uid="{E857EAA4-AD17-4C5A-B7DE-882490ECAA43}"/>
    <cellStyle name="Notas 4 2 2" xfId="11464" xr:uid="{A71A4042-EF33-43AB-A6B3-AD34A906C407}"/>
    <cellStyle name="Notas 4 2 2 2" xfId="20182" xr:uid="{BFD11C29-FA05-4F43-A8EC-FC343C7C50F5}"/>
    <cellStyle name="Notas 4 2 2 3" xfId="20576" xr:uid="{1EBACAE9-D780-49C5-A79A-95926DA3700B}"/>
    <cellStyle name="Notas 4 20" xfId="12503" xr:uid="{2740E241-BDE2-4465-AE98-B6446842FE10}"/>
    <cellStyle name="Notas 4 21" xfId="11251" xr:uid="{73F7E5BC-3C54-4AE5-B579-BDD3F6852B77}"/>
    <cellStyle name="Notas 4 22" xfId="11342" xr:uid="{D3E479A0-2F32-4971-BAA7-7B8660A31F14}"/>
    <cellStyle name="Notas 4 23" xfId="11943" xr:uid="{CC326515-B160-4923-ABF1-12E483B9B365}"/>
    <cellStyle name="Notas 4 3" xfId="4887" xr:uid="{AF545073-6DF8-4E79-9451-5EBA028D426D}"/>
    <cellStyle name="Notas 4 3 2" xfId="11069" xr:uid="{4B88321D-C69E-4F8D-8406-A59921BB9D2F}"/>
    <cellStyle name="Notas 4 3 2 2" xfId="20183" xr:uid="{13C9AA9A-9530-43F8-8857-FC4F510DD397}"/>
    <cellStyle name="Notas 4 3 2 3" xfId="20510" xr:uid="{6DC2E9E5-3444-400F-ADF0-BE53FD16875B}"/>
    <cellStyle name="Notas 4 4" xfId="4888" xr:uid="{766D21FA-6F1A-43A2-9968-B71E9812A81F}"/>
    <cellStyle name="Notas 4 4 2" xfId="11129" xr:uid="{E85ADBE2-7BAA-40A1-9E6A-F1E85FC88301}"/>
    <cellStyle name="Notas 4 4 2 2" xfId="20184" xr:uid="{D55F98FA-F43A-4FA2-8D7E-1F679509F6E9}"/>
    <cellStyle name="Notas 4 4 2 3" xfId="20520" xr:uid="{734122EF-58E4-4538-A047-C1DDDB940FA3}"/>
    <cellStyle name="Notas 4 5" xfId="4889" xr:uid="{956F5F42-3FC8-49A8-8094-82AFCB72AAA9}"/>
    <cellStyle name="Notas 4 5 2" xfId="12471" xr:uid="{9DEFAC40-510D-4328-9A27-633D88F32293}"/>
    <cellStyle name="Notas 4 5 2 2" xfId="20185" xr:uid="{6A7DA80E-26BD-404C-B28A-847AFF4B842F}"/>
    <cellStyle name="Notas 4 5 2 3" xfId="20688" xr:uid="{67A9F77C-6A64-472E-A87B-DDC5BBE10641}"/>
    <cellStyle name="Notas 4 6" xfId="4890" xr:uid="{9CAD0F75-2E6F-44A8-B701-44CF9A88DA68}"/>
    <cellStyle name="Notas 4 6 2" xfId="11424" xr:uid="{3DDA4EA5-8423-409C-9B6F-37A895FFB5FB}"/>
    <cellStyle name="Notas 4 6 2 2" xfId="20186" xr:uid="{8D9F54DC-DF6B-4017-9A07-45EC128684D8}"/>
    <cellStyle name="Notas 4 6 2 3" xfId="20572" xr:uid="{B6074873-FD87-4DDB-929B-53976004446A}"/>
    <cellStyle name="Notas 4 7" xfId="4891" xr:uid="{2EAD4027-9894-4C0F-8536-522803E7952F}"/>
    <cellStyle name="Notas 4 7 2" xfId="11297" xr:uid="{B9AD2F30-29B0-4536-B0D3-D4C576C8EDF0}"/>
    <cellStyle name="Notas 4 7 2 2" xfId="20187" xr:uid="{EC0688D8-AD00-457D-A580-E6D0698AD8A1}"/>
    <cellStyle name="Notas 4 7 2 3" xfId="20532" xr:uid="{901AF66D-65F2-40DC-8E55-01E90FF7C808}"/>
    <cellStyle name="Notas 4 8" xfId="11745" xr:uid="{2CCA9152-1436-4C3F-81D8-9D4FC56C513C}"/>
    <cellStyle name="Notas 4 8 2" xfId="19905" xr:uid="{4B7B2192-0900-4C85-90A8-7132D6F2936F}"/>
    <cellStyle name="Notas 4 8 3" xfId="20599" xr:uid="{0A14AFF4-E71A-4681-8282-E8EB2228D3F2}"/>
    <cellStyle name="Notas 4 9" xfId="12400" xr:uid="{D7EE5056-6AC6-47D2-89BF-6DAB6528C495}"/>
    <cellStyle name="Notas 40" xfId="2955" xr:uid="{4D166E0E-BF3F-4DC9-AB31-AF6475F2BD9A}"/>
    <cellStyle name="Notas 40 2" xfId="4892" xr:uid="{A3811F3D-4A48-4865-BA9D-2791C5F6B268}"/>
    <cellStyle name="Notas 40 2 2" xfId="20188" xr:uid="{1E9FED81-0625-471B-9024-1A7DE24DC70E}"/>
    <cellStyle name="Notas 40 3" xfId="4893" xr:uid="{5FC32F90-C200-4F36-9CF1-19CB325BF018}"/>
    <cellStyle name="Notas 40 3 2" xfId="20189" xr:uid="{9AB2277D-59A2-4904-A26D-9DFC2CB12922}"/>
    <cellStyle name="Notas 40 4" xfId="4894" xr:uid="{AA82234F-B52C-41F8-A570-4714CBE6FFE0}"/>
    <cellStyle name="Notas 40 4 2" xfId="20190" xr:uid="{246FCCC1-6B28-4FE6-BE6A-C220F38E4A8D}"/>
    <cellStyle name="Notas 40 5" xfId="4895" xr:uid="{676E68C6-29C9-4822-BAC6-FA87AAD4F15A}"/>
    <cellStyle name="Notas 40 5 2" xfId="20191" xr:uid="{EB6A9D4F-3BEB-4301-85A2-00055A9A7E77}"/>
    <cellStyle name="Notas 40 6" xfId="4896" xr:uid="{4B7D2B79-C374-46B9-86A5-C7F71E98868F}"/>
    <cellStyle name="Notas 40 6 2" xfId="20192" xr:uid="{74596D2C-1013-4350-9879-998ADCC9EE0B}"/>
    <cellStyle name="Notas 40 7" xfId="4897" xr:uid="{F453DA3D-5F3D-44DC-9AC3-5AAF91EEB7FF}"/>
    <cellStyle name="Notas 40 7 2" xfId="20193" xr:uid="{FA95FB19-719B-4EE2-8EB0-A5040F5DB532}"/>
    <cellStyle name="Notas 40 8" xfId="19906" xr:uid="{21A2B2CF-F169-4FCB-AD67-13A4145292B6}"/>
    <cellStyle name="Notas 41" xfId="2956" xr:uid="{B0A25607-F6A2-49B0-8C55-B6FFE8E442D0}"/>
    <cellStyle name="Notas 41 2" xfId="4898" xr:uid="{95E4CCAC-DD65-483A-8AA8-21F965AB59A8}"/>
    <cellStyle name="Notas 41 2 2" xfId="20194" xr:uid="{BB3C9A7E-43CB-42E9-A113-2EBB5B716ADA}"/>
    <cellStyle name="Notas 41 3" xfId="4899" xr:uid="{DB54AB00-99C5-4E7A-A38D-5C9C9C97CE64}"/>
    <cellStyle name="Notas 41 3 2" xfId="20195" xr:uid="{08D44654-B44F-4053-9F3F-6866574C0DB9}"/>
    <cellStyle name="Notas 41 4" xfId="4900" xr:uid="{CCD3E897-6926-4F44-A5DB-85D970BD85CF}"/>
    <cellStyle name="Notas 41 4 2" xfId="20196" xr:uid="{DC6E5A2B-D634-49FB-B919-A394CCEA99E0}"/>
    <cellStyle name="Notas 41 5" xfId="4901" xr:uid="{F1ADB76D-430B-4E36-9044-020010557556}"/>
    <cellStyle name="Notas 41 5 2" xfId="20197" xr:uid="{783729A3-8EAE-446D-B048-6A28F7412888}"/>
    <cellStyle name="Notas 41 6" xfId="4902" xr:uid="{98993F3C-F89E-404C-A87A-FE5325174F20}"/>
    <cellStyle name="Notas 41 6 2" xfId="20198" xr:uid="{21902B4A-EB39-432B-B5F1-A6D57B5DDD0D}"/>
    <cellStyle name="Notas 41 7" xfId="4903" xr:uid="{511F1E8F-1890-46C4-B7D3-24778A99DDE0}"/>
    <cellStyle name="Notas 41 7 2" xfId="20199" xr:uid="{B9E7A173-0A66-4872-829E-647804296994}"/>
    <cellStyle name="Notas 41 8" xfId="19907" xr:uid="{3D141F20-10E8-4D35-85D9-7F3DBFFC34F8}"/>
    <cellStyle name="Notas 42" xfId="2957" xr:uid="{EA3A08C8-FD39-4A0C-91CF-A38E1D692ECE}"/>
    <cellStyle name="Notas 42 2" xfId="4904" xr:uid="{5D170D9E-4F35-40B4-BFE4-A0397B7913F2}"/>
    <cellStyle name="Notas 42 2 2" xfId="20200" xr:uid="{DDE2782D-98D6-46E5-9098-EF3A45FCDE5A}"/>
    <cellStyle name="Notas 42 3" xfId="4905" xr:uid="{C196E6E0-4D77-48CE-BC81-A734D6DC3AA3}"/>
    <cellStyle name="Notas 42 3 2" xfId="20201" xr:uid="{E03DE802-B78B-4EDD-8ED9-3B6F762A5B0D}"/>
    <cellStyle name="Notas 42 4" xfId="4906" xr:uid="{A4C9F285-72B9-43B1-A23C-05E0038C5EC2}"/>
    <cellStyle name="Notas 42 4 2" xfId="20202" xr:uid="{BF505C24-996A-4C01-8528-12036829D6E5}"/>
    <cellStyle name="Notas 42 5" xfId="4907" xr:uid="{2AC8859E-509F-48DF-AE34-2FB046DBABD1}"/>
    <cellStyle name="Notas 42 5 2" xfId="20203" xr:uid="{91DBA0F5-6053-4B8A-BBB8-32DEE16B8221}"/>
    <cellStyle name="Notas 42 6" xfId="4908" xr:uid="{619CD6E5-0EBD-436A-BCD5-F65249C57D61}"/>
    <cellStyle name="Notas 42 6 2" xfId="20204" xr:uid="{7218F3B9-3ECC-417F-933F-45108A7D004F}"/>
    <cellStyle name="Notas 42 7" xfId="4909" xr:uid="{F77B25A5-9EBD-44AD-AB00-954326A910EF}"/>
    <cellStyle name="Notas 42 7 2" xfId="20205" xr:uid="{364DF77D-8958-4C54-B73D-F6F03FCE462C}"/>
    <cellStyle name="Notas 42 8" xfId="19908" xr:uid="{126DDC08-FF8D-42FE-B536-B4116F92A238}"/>
    <cellStyle name="Notas 43" xfId="2958" xr:uid="{669D508F-6DBD-4E34-9E5B-E19D628EAC01}"/>
    <cellStyle name="Notas 43 2" xfId="4910" xr:uid="{34A384E6-33B5-478C-8CC9-DA7697A11AAE}"/>
    <cellStyle name="Notas 43 2 2" xfId="20206" xr:uid="{7AA3C689-604F-4B28-9524-E938897DCCF9}"/>
    <cellStyle name="Notas 43 3" xfId="4911" xr:uid="{9E5A1752-6322-44EE-A29C-3DC742DA1D1E}"/>
    <cellStyle name="Notas 43 3 2" xfId="20207" xr:uid="{2CBAF9DE-54BE-4C16-A951-B66B14CC33B5}"/>
    <cellStyle name="Notas 43 4" xfId="4912" xr:uid="{25B3D06E-984C-4C85-BD85-6F7854731629}"/>
    <cellStyle name="Notas 43 4 2" xfId="20208" xr:uid="{2372DD77-817E-40D9-8413-DF4AE2FA0C93}"/>
    <cellStyle name="Notas 43 5" xfId="4913" xr:uid="{941094DD-0887-4D01-B07A-0F80786A10DB}"/>
    <cellStyle name="Notas 43 5 2" xfId="20209" xr:uid="{4488D65B-9D63-4C41-BCF0-B0FB2139E835}"/>
    <cellStyle name="Notas 43 6" xfId="4914" xr:uid="{680666A1-D626-40BF-8BFC-90164DB54AA5}"/>
    <cellStyle name="Notas 43 6 2" xfId="20210" xr:uid="{FF5F890C-DB0A-479A-9DFB-C265602DEBAF}"/>
    <cellStyle name="Notas 43 7" xfId="4915" xr:uid="{B6522195-C18D-480C-9A8B-FD1AC86858E7}"/>
    <cellStyle name="Notas 43 7 2" xfId="20211" xr:uid="{0CE31C05-D033-4AA6-AE35-F690F3A4DB3F}"/>
    <cellStyle name="Notas 43 8" xfId="19909" xr:uid="{1971F539-6EA5-4D29-A3F5-D14C01E7EC12}"/>
    <cellStyle name="Notas 44" xfId="2959" xr:uid="{F11DABD2-DC33-492C-A7EF-103D135547FD}"/>
    <cellStyle name="Notas 44 2" xfId="4916" xr:uid="{72696582-B8C0-4108-84AD-E951A884D26C}"/>
    <cellStyle name="Notas 44 2 2" xfId="20212" xr:uid="{D24C7AB4-8489-4785-8525-222B2A2F8A56}"/>
    <cellStyle name="Notas 44 3" xfId="4917" xr:uid="{7724A013-D1A9-4EFE-90D7-76627BBC5301}"/>
    <cellStyle name="Notas 44 3 2" xfId="20213" xr:uid="{7F9665F5-6DFF-463D-AD57-E0442A81DE9D}"/>
    <cellStyle name="Notas 44 4" xfId="4918" xr:uid="{AE5BCA18-4341-45FA-AA67-F394EFA22DD8}"/>
    <cellStyle name="Notas 44 4 2" xfId="20214" xr:uid="{1E919B15-60A1-46F0-AAD8-E6E53C310EF0}"/>
    <cellStyle name="Notas 44 5" xfId="4919" xr:uid="{B92BC668-3E5A-4D73-AA24-968C967A18EC}"/>
    <cellStyle name="Notas 44 5 2" xfId="20215" xr:uid="{91C12408-3890-489B-8177-9C7F45780D1C}"/>
    <cellStyle name="Notas 44 6" xfId="4920" xr:uid="{ABAE4C81-AA05-4365-A646-9CDF724592E3}"/>
    <cellStyle name="Notas 44 6 2" xfId="20216" xr:uid="{641ADCA4-4F47-4B47-B457-A314CC057356}"/>
    <cellStyle name="Notas 44 7" xfId="4921" xr:uid="{1E034F1B-DDA6-43C7-934B-3C429B898919}"/>
    <cellStyle name="Notas 44 7 2" xfId="20217" xr:uid="{C373B972-1E2D-4406-9BBD-9A585C2252F3}"/>
    <cellStyle name="Notas 44 8" xfId="19910" xr:uid="{D7FD4AD9-91B7-4892-B697-67681C124AA4}"/>
    <cellStyle name="Notas 45" xfId="2960" xr:uid="{CD5EECFC-E84B-4BEE-A2B4-D3D30330889D}"/>
    <cellStyle name="Notas 45 2" xfId="4922" xr:uid="{7DD73EF6-E2C6-4CD8-A33B-951255AF0908}"/>
    <cellStyle name="Notas 45 2 2" xfId="20218" xr:uid="{9F110452-667C-4A1E-B72A-508BB39E5F84}"/>
    <cellStyle name="Notas 45 3" xfId="4923" xr:uid="{5C55BA99-C63A-4CEF-8680-F76B29F252DF}"/>
    <cellStyle name="Notas 45 3 2" xfId="20219" xr:uid="{5018BABB-5682-459E-B047-31863135B0F2}"/>
    <cellStyle name="Notas 45 4" xfId="4924" xr:uid="{40CFA5CF-03D8-4700-A8ED-3DE7B709B421}"/>
    <cellStyle name="Notas 45 4 2" xfId="20220" xr:uid="{7CDD8D7C-EC2F-4142-BF6B-E70FB8B8D0C8}"/>
    <cellStyle name="Notas 45 5" xfId="4925" xr:uid="{4851CF55-A061-4F9D-B9C4-243FFC6D8ED5}"/>
    <cellStyle name="Notas 45 5 2" xfId="20221" xr:uid="{2CE073F1-9643-400B-BE68-5EFBC851F9FA}"/>
    <cellStyle name="Notas 45 6" xfId="4926" xr:uid="{AB06AE6F-E09E-4065-A89E-1494C20B96E6}"/>
    <cellStyle name="Notas 45 6 2" xfId="20222" xr:uid="{FF4FE80A-0EB7-46EC-BBBD-3F4D0D9A758D}"/>
    <cellStyle name="Notas 45 7" xfId="4927" xr:uid="{BB7C5066-85D0-4EAF-81C3-E1DD48863BAC}"/>
    <cellStyle name="Notas 45 7 2" xfId="20223" xr:uid="{85B679F5-66E5-4CE3-BE08-83D7D97A7D44}"/>
    <cellStyle name="Notas 45 8" xfId="19911" xr:uid="{01CD9A0D-D5EA-4871-AF6F-1AECDCEA4395}"/>
    <cellStyle name="Notas 46" xfId="2961" xr:uid="{4C28B666-422C-4FE1-A8E1-7F9BC58778D4}"/>
    <cellStyle name="Notas 46 2" xfId="4928" xr:uid="{69BCDFBA-3CE4-470A-A88F-B3E5AD7CEA08}"/>
    <cellStyle name="Notas 46 2 2" xfId="20224" xr:uid="{535E2AA6-360C-4AD4-9A67-A632E8BF2453}"/>
    <cellStyle name="Notas 46 3" xfId="4929" xr:uid="{729E3A35-F49E-44DD-9FD4-0F344161ADAE}"/>
    <cellStyle name="Notas 46 3 2" xfId="20225" xr:uid="{B30137AE-7943-4780-B0E7-343327A03161}"/>
    <cellStyle name="Notas 46 4" xfId="4930" xr:uid="{C2B1739E-0E66-40B5-BA0A-F095F4D82A9B}"/>
    <cellStyle name="Notas 46 4 2" xfId="20226" xr:uid="{21900EC0-2D50-4172-B1BA-D857486E9F77}"/>
    <cellStyle name="Notas 46 5" xfId="4931" xr:uid="{CA9B3F66-6CC6-49C1-B10D-4F7354054920}"/>
    <cellStyle name="Notas 46 5 2" xfId="20227" xr:uid="{2DA32C6C-F73A-4C7B-A3DD-ACA315AB1B2B}"/>
    <cellStyle name="Notas 46 6" xfId="4932" xr:uid="{37D7047E-B269-4994-A5B8-99C5CDF8202A}"/>
    <cellStyle name="Notas 46 6 2" xfId="20228" xr:uid="{6960F940-7EFE-4BD0-A841-BE843C722CB3}"/>
    <cellStyle name="Notas 46 7" xfId="4933" xr:uid="{D2FBF38F-84C1-4911-B534-B31053CCA090}"/>
    <cellStyle name="Notas 46 7 2" xfId="20229" xr:uid="{C8016738-22B9-4C48-A801-5DB01B9E9FFC}"/>
    <cellStyle name="Notas 46 8" xfId="19912" xr:uid="{8D3760BC-9991-4361-A636-ECAECA28669C}"/>
    <cellStyle name="Notas 47" xfId="2962" xr:uid="{09F66415-3E03-451D-A763-ACFB646A8249}"/>
    <cellStyle name="Notas 47 2" xfId="4934" xr:uid="{42055758-C51D-4E65-945E-340FA749C112}"/>
    <cellStyle name="Notas 47 2 2" xfId="20230" xr:uid="{E023734E-7334-4FCD-8A6E-8FC66FCD3042}"/>
    <cellStyle name="Notas 47 3" xfId="4935" xr:uid="{D747AF0A-3A7D-4910-8C84-9EC20DC5A66D}"/>
    <cellStyle name="Notas 47 3 2" xfId="20231" xr:uid="{D2EA93C8-EA42-46EF-877B-56FA72EFA663}"/>
    <cellStyle name="Notas 47 4" xfId="4936" xr:uid="{3F9B6043-F679-461E-95B0-677FA544818D}"/>
    <cellStyle name="Notas 47 4 2" xfId="20232" xr:uid="{49D1DFB3-1BFE-47B3-8A21-BC0F21C47712}"/>
    <cellStyle name="Notas 47 5" xfId="4937" xr:uid="{36C0511D-6A68-4811-9B37-A677A5737CF6}"/>
    <cellStyle name="Notas 47 5 2" xfId="20233" xr:uid="{9FD0D8B0-F28B-4158-A6B9-92083ABE0AA5}"/>
    <cellStyle name="Notas 47 6" xfId="4938" xr:uid="{66799E9E-4A38-42A9-BE42-C9DF62659D6E}"/>
    <cellStyle name="Notas 47 6 2" xfId="20234" xr:uid="{D47544FE-1108-4F6A-A8E3-72B307C5D051}"/>
    <cellStyle name="Notas 47 7" xfId="4939" xr:uid="{217908BE-904B-4082-9FFA-B909ACFB0F29}"/>
    <cellStyle name="Notas 47 7 2" xfId="20235" xr:uid="{83CC5B45-9237-4CA3-A6CA-E72EA2DF0E34}"/>
    <cellStyle name="Notas 47 8" xfId="19913" xr:uid="{7B79F401-0D95-481A-AFED-A3CF041C0BA8}"/>
    <cellStyle name="Notas 48" xfId="2963" xr:uid="{572B2E22-FFFD-4B4E-94A3-6A36FC42F587}"/>
    <cellStyle name="Notas 48 2" xfId="4940" xr:uid="{6044175D-DA8F-4D7A-90FE-7571D4430187}"/>
    <cellStyle name="Notas 48 2 2" xfId="20236" xr:uid="{49EDE3F4-D98E-49CC-A7E2-D2F3B051F56B}"/>
    <cellStyle name="Notas 48 3" xfId="4941" xr:uid="{63D136F6-FCBC-4E8C-8986-31ABB3E095CB}"/>
    <cellStyle name="Notas 48 3 2" xfId="20237" xr:uid="{73310A19-4065-44C1-9092-5CD02B37FB00}"/>
    <cellStyle name="Notas 48 4" xfId="4942" xr:uid="{4EADDC0F-B25F-4840-998B-47BFA8720754}"/>
    <cellStyle name="Notas 48 4 2" xfId="20238" xr:uid="{99CE6EE6-F2E9-4777-AB5C-4E28C544BE83}"/>
    <cellStyle name="Notas 48 5" xfId="4943" xr:uid="{8B83E24F-5E1E-449C-A436-D94A8F455E05}"/>
    <cellStyle name="Notas 48 5 2" xfId="20239" xr:uid="{11E680BA-9A06-4A51-AEDD-F9917EE6F6A8}"/>
    <cellStyle name="Notas 48 6" xfId="4944" xr:uid="{F96B7A45-A16F-487A-AFDD-521E4C8680D4}"/>
    <cellStyle name="Notas 48 6 2" xfId="20240" xr:uid="{72DFD286-2D27-4516-81A0-0566D6303CE3}"/>
    <cellStyle name="Notas 48 7" xfId="4945" xr:uid="{D34AD7A0-59DA-46FD-ABAC-B622C12AD5AD}"/>
    <cellStyle name="Notas 48 7 2" xfId="20241" xr:uid="{F79B4ED2-9EA1-4480-B119-BCD9C5DD6A42}"/>
    <cellStyle name="Notas 48 8" xfId="19914" xr:uid="{400A1326-1A1A-4F63-9A9B-F38F2CFBA296}"/>
    <cellStyle name="Notas 49" xfId="2964" xr:uid="{7663057A-2E41-4BFC-9CA9-E7F00ADC92B8}"/>
    <cellStyle name="Notas 49 2" xfId="4946" xr:uid="{1CC53EE9-9F3F-49F6-A85C-72C7A250750F}"/>
    <cellStyle name="Notas 49 2 2" xfId="20242" xr:uid="{CB48C97C-319D-414D-9047-528BEE151969}"/>
    <cellStyle name="Notas 49 3" xfId="4947" xr:uid="{5953FF6A-7E46-4201-8C62-1F741F624288}"/>
    <cellStyle name="Notas 49 3 2" xfId="20243" xr:uid="{7C7179C0-5018-4685-A9BB-2D8B43ED2FBA}"/>
    <cellStyle name="Notas 49 4" xfId="4948" xr:uid="{F3F912CA-16A3-4195-B5A7-6409C6DFBCA8}"/>
    <cellStyle name="Notas 49 4 2" xfId="20244" xr:uid="{ACB67ACC-C572-4C8E-AC6B-D8CD6F5D3147}"/>
    <cellStyle name="Notas 49 5" xfId="4949" xr:uid="{DD13C5BC-31E4-48C6-B2D0-051C6F2DD467}"/>
    <cellStyle name="Notas 49 5 2" xfId="20245" xr:uid="{03381856-55F1-41B0-BC7D-26F6FE00908E}"/>
    <cellStyle name="Notas 49 6" xfId="4950" xr:uid="{5233F564-DC5A-49DD-B880-74165F9C741C}"/>
    <cellStyle name="Notas 49 6 2" xfId="20246" xr:uid="{8971B7B0-19B6-435A-B404-AF49655CE3E3}"/>
    <cellStyle name="Notas 49 7" xfId="4951" xr:uid="{5418F6CF-416E-4C09-86EC-E28862B50706}"/>
    <cellStyle name="Notas 49 7 2" xfId="20247" xr:uid="{290A7C17-7CF5-416C-AF01-8768D79EBF8B}"/>
    <cellStyle name="Notas 49 8" xfId="19915" xr:uid="{CF672B7C-61BA-44C6-87D4-0DCC700B8FF3}"/>
    <cellStyle name="Notas 5" xfId="421" xr:uid="{45C8089B-447A-4BCB-896C-C5E4DDCC4F88}"/>
    <cellStyle name="Notas 5 2" xfId="422" xr:uid="{3801751B-AD1A-4C8C-89F8-1F410856709D}"/>
    <cellStyle name="Notas 5 2 2" xfId="4952" xr:uid="{EDCC65DA-2BCB-4529-A223-227A786DCCDA}"/>
    <cellStyle name="Notas 5 3" xfId="2965" xr:uid="{AE628022-2317-4A9E-BBB7-2ECF4E60CF11}"/>
    <cellStyle name="Notas 5 3 2" xfId="20248" xr:uid="{19501AED-FFA5-441E-9F09-D2351005031F}"/>
    <cellStyle name="Notas 5 4" xfId="4953" xr:uid="{445FA16F-0AEA-407E-849D-AC65B70B1578}"/>
    <cellStyle name="Notas 5 4 2" xfId="20249" xr:uid="{2A98B918-BBCA-441A-997F-E8E3229684D3}"/>
    <cellStyle name="Notas 5 5" xfId="4954" xr:uid="{25908B56-8306-4072-BC5C-068669C8B50E}"/>
    <cellStyle name="Notas 5 5 2" xfId="20250" xr:uid="{4B3D37AF-EB68-4FC2-9598-46ED4261E008}"/>
    <cellStyle name="Notas 5 6" xfId="4955" xr:uid="{DCC847E5-E4CA-445E-96BA-19A8B7B0CA04}"/>
    <cellStyle name="Notas 5 6 2" xfId="20251" xr:uid="{9B997A43-D27C-4C0F-B757-20FC5A4D6F9B}"/>
    <cellStyle name="Notas 5 7" xfId="4956" xr:uid="{61454112-7031-4CC0-8526-1F33533C7E7B}"/>
    <cellStyle name="Notas 5 7 2" xfId="20252" xr:uid="{6E97A32E-680B-4CCB-96C8-F1D0C8CE9BA9}"/>
    <cellStyle name="Notas 5 8" xfId="12326" xr:uid="{765FEA5F-7C0B-4AAA-998D-6DF095EBC58C}"/>
    <cellStyle name="Notas 5 8 2" xfId="19916" xr:uid="{0B344864-4BE1-4F4D-9465-85D6D8EAEE0A}"/>
    <cellStyle name="Notas 5 8 3" xfId="20677" xr:uid="{FFB2FDFE-4C28-47EB-ADD5-25977CAB90B0}"/>
    <cellStyle name="Notas 50" xfId="2966" xr:uid="{140CD55A-AB8E-40F5-AEBF-761BD9EF02C3}"/>
    <cellStyle name="Notas 50 2" xfId="4957" xr:uid="{95211694-8B36-4D27-BF55-F8B23A699281}"/>
    <cellStyle name="Notas 50 2 2" xfId="20253" xr:uid="{52DAB2EA-003C-4E91-9AF2-8C0E53587297}"/>
    <cellStyle name="Notas 50 3" xfId="4958" xr:uid="{D226D256-5632-4A50-92F1-5F0A4487110E}"/>
    <cellStyle name="Notas 50 3 2" xfId="20254" xr:uid="{CA916578-014F-44E0-8CD7-AED9A7DA422D}"/>
    <cellStyle name="Notas 50 4" xfId="4959" xr:uid="{6E155DE3-00E8-4056-9724-DF7C8D24F1C4}"/>
    <cellStyle name="Notas 50 4 2" xfId="20255" xr:uid="{E1CDAF6B-A813-4913-A523-C56989FC456B}"/>
    <cellStyle name="Notas 50 5" xfId="4960" xr:uid="{924B7885-324A-4DB7-9F07-A6975A577C7E}"/>
    <cellStyle name="Notas 50 5 2" xfId="20256" xr:uid="{CE71F578-0F75-4383-96EE-4CFC795A619B}"/>
    <cellStyle name="Notas 50 6" xfId="4961" xr:uid="{DF023856-4205-4EFE-AA4A-5B9B67634668}"/>
    <cellStyle name="Notas 50 6 2" xfId="20257" xr:uid="{39BB7BF9-0051-46F1-B8A2-5BCF17469789}"/>
    <cellStyle name="Notas 50 7" xfId="4962" xr:uid="{66B61820-0386-40DD-9D67-55D41A6A9ACC}"/>
    <cellStyle name="Notas 50 7 2" xfId="20258" xr:uid="{3D1259CC-E9F4-4AA4-8DDA-85CBF7B60B48}"/>
    <cellStyle name="Notas 50 8" xfId="19917" xr:uid="{A062B75C-9B6E-484E-9DC3-DFEB1A3FFEB1}"/>
    <cellStyle name="Notas 51" xfId="2967" xr:uid="{C0AA91C8-3FE2-430C-B8DC-F13D644B3248}"/>
    <cellStyle name="Notas 51 2" xfId="4963" xr:uid="{80DB79F3-CBCD-4DF2-A41A-2F6B8E2BAD9C}"/>
    <cellStyle name="Notas 51 2 2" xfId="20259" xr:uid="{630B7BF1-2781-40CC-84C5-B3F8BFBF1CF6}"/>
    <cellStyle name="Notas 51 3" xfId="4964" xr:uid="{C5A47DBD-F189-4196-93F1-6A3E7BF4A2B7}"/>
    <cellStyle name="Notas 51 3 2" xfId="20260" xr:uid="{D8ACC936-7418-49C7-880B-3793A9EAFB83}"/>
    <cellStyle name="Notas 51 4" xfId="4965" xr:uid="{B287523A-200A-4584-8949-C4E0ED59EC8F}"/>
    <cellStyle name="Notas 51 4 2" xfId="20261" xr:uid="{F7F42097-5944-49FD-89FB-37B5AFEF2FE6}"/>
    <cellStyle name="Notas 51 5" xfId="4966" xr:uid="{C0C1152E-80B6-4E40-995F-5357F87BE179}"/>
    <cellStyle name="Notas 51 5 2" xfId="20262" xr:uid="{DEE06504-8D8E-403E-BBC0-F7FAA5F90F4C}"/>
    <cellStyle name="Notas 51 6" xfId="4967" xr:uid="{77492ADD-FC57-446E-8041-DFA3658A938B}"/>
    <cellStyle name="Notas 51 6 2" xfId="20263" xr:uid="{602E04BA-0762-4135-BBBF-59211442750F}"/>
    <cellStyle name="Notas 51 7" xfId="4968" xr:uid="{8C8E827E-395E-482E-8BD1-84DC64D4E39E}"/>
    <cellStyle name="Notas 51 7 2" xfId="20264" xr:uid="{D2005BC9-0232-454A-A5BB-4B92C3F3C84C}"/>
    <cellStyle name="Notas 51 8" xfId="19918" xr:uid="{A93984EF-BBF7-4C71-8079-A71654D18366}"/>
    <cellStyle name="Notas 52" xfId="2968" xr:uid="{3F10D2B7-C189-4B46-852D-6923502E9295}"/>
    <cellStyle name="Notas 52 2" xfId="4969" xr:uid="{346B09E5-A489-47BD-944B-FE9920300B7B}"/>
    <cellStyle name="Notas 52 2 2" xfId="20265" xr:uid="{5320C407-F6FC-4F79-AB9F-1261A8E26B7A}"/>
    <cellStyle name="Notas 52 3" xfId="4970" xr:uid="{ADF43EE8-8D30-43DF-9CA3-89114E1CEC5D}"/>
    <cellStyle name="Notas 52 3 2" xfId="20266" xr:uid="{9634B696-5B85-4BCF-9A5D-393D42264644}"/>
    <cellStyle name="Notas 52 4" xfId="4971" xr:uid="{9BC3BC7E-B33F-4BEE-ACF4-4B3CC7416388}"/>
    <cellStyle name="Notas 52 4 2" xfId="20267" xr:uid="{ACCD28E8-4F41-4B4A-846C-A08107EBA301}"/>
    <cellStyle name="Notas 52 5" xfId="4972" xr:uid="{9C407528-193A-40CA-96E1-834E999D528F}"/>
    <cellStyle name="Notas 52 5 2" xfId="20268" xr:uid="{BD087315-D4C9-4706-BA8D-10A5E054B7B2}"/>
    <cellStyle name="Notas 52 6" xfId="4973" xr:uid="{4B4F387E-9988-4EF6-B9CE-9AB06B443BAB}"/>
    <cellStyle name="Notas 52 6 2" xfId="20269" xr:uid="{E51C08A9-35DE-4591-BB38-2F8AE034F1B3}"/>
    <cellStyle name="Notas 52 7" xfId="4974" xr:uid="{0CD74B09-DCE6-4290-AF30-B3FB9C3BC2AD}"/>
    <cellStyle name="Notas 52 7 2" xfId="20270" xr:uid="{7BB6579E-11E3-4B3E-A59A-87461775A307}"/>
    <cellStyle name="Notas 52 8" xfId="19919" xr:uid="{483B86B4-E314-41B8-BAE7-ED7BB165C8FC}"/>
    <cellStyle name="Notas 53" xfId="2969" xr:uid="{BE7B6917-D843-4852-8478-5576B53101A3}"/>
    <cellStyle name="Notas 53 2" xfId="4975" xr:uid="{18DC7498-5ED6-4035-B807-5F31AC3BBF94}"/>
    <cellStyle name="Notas 53 2 2" xfId="20271" xr:uid="{B1DA2762-FDC2-4B6F-AFC3-1F4773EDDD27}"/>
    <cellStyle name="Notas 53 3" xfId="4976" xr:uid="{E2BD0B2F-6851-4FB8-8B97-A211DCA1567B}"/>
    <cellStyle name="Notas 53 3 2" xfId="20272" xr:uid="{94C627DC-4F48-40D5-AF2A-27C03FDD71DF}"/>
    <cellStyle name="Notas 53 4" xfId="4977" xr:uid="{B60E917A-84AF-4A3F-9C16-2E42E08B1066}"/>
    <cellStyle name="Notas 53 4 2" xfId="20273" xr:uid="{4EF7BE0D-376D-4AB6-97C8-2ACFAC306EA1}"/>
    <cellStyle name="Notas 53 5" xfId="4978" xr:uid="{1E88FC44-9FC2-4BDF-B946-9367BE53BC55}"/>
    <cellStyle name="Notas 53 5 2" xfId="20274" xr:uid="{469AF71D-6EE8-45CB-9CFE-0CFB29AC9FDA}"/>
    <cellStyle name="Notas 53 6" xfId="4979" xr:uid="{80C50768-08D1-4CA3-8570-9372BFEDD0B2}"/>
    <cellStyle name="Notas 53 6 2" xfId="20275" xr:uid="{6136979D-D0E8-4E67-AA52-879825748C30}"/>
    <cellStyle name="Notas 53 7" xfId="4980" xr:uid="{8542BBA4-7857-45B4-96A2-1BCED1920C4B}"/>
    <cellStyle name="Notas 53 7 2" xfId="20276" xr:uid="{B21D5658-7382-4CA3-B914-10C0AFB3EC04}"/>
    <cellStyle name="Notas 53 8" xfId="19920" xr:uid="{8D57A851-6CD1-4D7A-B07B-5E0094B39A83}"/>
    <cellStyle name="Notas 54" xfId="2970" xr:uid="{6309AFD6-2F28-4974-B00E-EDD36766EA37}"/>
    <cellStyle name="Notas 54 2" xfId="4981" xr:uid="{1740D9D5-9CBA-4214-A808-765AE779E0F9}"/>
    <cellStyle name="Notas 54 2 2" xfId="20277" xr:uid="{5487D986-FD01-462B-99AA-72B079426C88}"/>
    <cellStyle name="Notas 54 3" xfId="4982" xr:uid="{DA28CBAD-0514-43FA-AC62-D8FFD38359D5}"/>
    <cellStyle name="Notas 54 3 2" xfId="20278" xr:uid="{ACAB1FC8-062B-4C3E-BD13-47B1CE2B4A35}"/>
    <cellStyle name="Notas 54 4" xfId="4983" xr:uid="{3CAA3374-A6A9-41D8-A56A-8A4966934F4A}"/>
    <cellStyle name="Notas 54 4 2" xfId="20279" xr:uid="{2AC94A3B-82B6-4B12-B7E1-327D615C5770}"/>
    <cellStyle name="Notas 54 5" xfId="4984" xr:uid="{713F1AAA-31AD-4DEE-9DC6-EA608D9B190C}"/>
    <cellStyle name="Notas 54 5 2" xfId="20280" xr:uid="{30623414-1874-460E-BF30-767BF55E055C}"/>
    <cellStyle name="Notas 54 6" xfId="4985" xr:uid="{7B8ABEC3-7B08-4B89-B9D8-28197D81ED60}"/>
    <cellStyle name="Notas 54 6 2" xfId="20281" xr:uid="{41FC185E-4559-4179-BE9F-DF19275E04F0}"/>
    <cellStyle name="Notas 54 7" xfId="4986" xr:uid="{C4AC8289-039D-428F-9792-A551DC0D215F}"/>
    <cellStyle name="Notas 54 7 2" xfId="20282" xr:uid="{5AB8539D-1CFE-4835-9FBD-CEE91BB2CC86}"/>
    <cellStyle name="Notas 54 8" xfId="19921" xr:uid="{157E73FD-0625-457B-9C90-C576B816C114}"/>
    <cellStyle name="Notas 55" xfId="2971" xr:uid="{23452A72-ABDE-4EC4-81DA-0728EE0A8F63}"/>
    <cellStyle name="Notas 55 2" xfId="4987" xr:uid="{FA051954-9945-4AEA-A4FB-F9163D92D7A9}"/>
    <cellStyle name="Notas 55 2 2" xfId="20283" xr:uid="{B0D72EF3-A73A-49E1-870F-0538F89EB634}"/>
    <cellStyle name="Notas 55 3" xfId="4988" xr:uid="{F090E80B-94FA-45EF-AC22-323FB7474A91}"/>
    <cellStyle name="Notas 55 3 2" xfId="20284" xr:uid="{8305842E-B595-4882-BE19-7AE83166AA71}"/>
    <cellStyle name="Notas 55 4" xfId="4989" xr:uid="{7F7D1C12-1DA1-4573-AC30-023B35AE9903}"/>
    <cellStyle name="Notas 55 4 2" xfId="20285" xr:uid="{25E4BE38-8C07-4BCC-85D2-D192C479F6C8}"/>
    <cellStyle name="Notas 55 5" xfId="4990" xr:uid="{C0DADC25-E1BA-423E-ABE5-BF5654F6C7C9}"/>
    <cellStyle name="Notas 55 5 2" xfId="20286" xr:uid="{D7D62CF4-8379-4A00-B203-1A1B124A3668}"/>
    <cellStyle name="Notas 55 6" xfId="4991" xr:uid="{163C1E3F-DF6D-4209-8DA9-2E833A3D5AA0}"/>
    <cellStyle name="Notas 55 6 2" xfId="20287" xr:uid="{1DCD94D6-842D-474E-BDCE-1D9C37C76D87}"/>
    <cellStyle name="Notas 55 7" xfId="4992" xr:uid="{F774C549-7CF6-4C56-971D-4C0CE336C99D}"/>
    <cellStyle name="Notas 55 7 2" xfId="20288" xr:uid="{F1C38A1F-6C53-498B-9291-FA12B41221FD}"/>
    <cellStyle name="Notas 55 8" xfId="19922" xr:uid="{B773AF4F-C98E-47BC-9DCB-2D1F37110B61}"/>
    <cellStyle name="Notas 56" xfId="2972" xr:uid="{A4DC4C95-879B-4F5C-AF61-9C6BCD6E6540}"/>
    <cellStyle name="Notas 56 2" xfId="4993" xr:uid="{B50F2A67-E0A5-4713-9211-DE942376B8F0}"/>
    <cellStyle name="Notas 56 2 2" xfId="20289" xr:uid="{04B835F9-8920-4E46-BE9A-C56D4540CAD7}"/>
    <cellStyle name="Notas 56 3" xfId="4994" xr:uid="{2EF66BD3-9F0E-415D-8F36-9FCF78F477F2}"/>
    <cellStyle name="Notas 56 3 2" xfId="20290" xr:uid="{70E0DC24-228C-46A4-BAE0-B367C83DF0FA}"/>
    <cellStyle name="Notas 56 4" xfId="4995" xr:uid="{6A1DCB11-EA7B-4C52-9D90-D0A5A6033B77}"/>
    <cellStyle name="Notas 56 4 2" xfId="20291" xr:uid="{D10124C7-7223-4682-B08C-2597C7639940}"/>
    <cellStyle name="Notas 56 5" xfId="4996" xr:uid="{A7C3505B-FC2A-430F-9E9C-05DD411454C2}"/>
    <cellStyle name="Notas 56 5 2" xfId="20292" xr:uid="{75CD3192-558F-44EF-A2A0-7F14DDCAEDE4}"/>
    <cellStyle name="Notas 56 6" xfId="4997" xr:uid="{94D8F8F4-48D5-4551-AB1A-88A4FA99D23C}"/>
    <cellStyle name="Notas 56 6 2" xfId="20293" xr:uid="{C8347B4C-0D9E-413F-8D14-8804F5A2CDB6}"/>
    <cellStyle name="Notas 56 7" xfId="4998" xr:uid="{1A065054-8DDE-4355-8E4B-E53D33DA8CFF}"/>
    <cellStyle name="Notas 56 7 2" xfId="20294" xr:uid="{5B2FD354-2796-4147-8DDF-CD6DCD54181E}"/>
    <cellStyle name="Notas 56 8" xfId="19923" xr:uid="{662AD5E5-E6FD-4ABA-9894-5F13EA0C6450}"/>
    <cellStyle name="Notas 57" xfId="2973" xr:uid="{51D3D8B5-2E11-4C59-9E13-7273CBFE701F}"/>
    <cellStyle name="Notas 57 2" xfId="4999" xr:uid="{6FD8F9E0-12E7-4080-A596-0BDE3AA84137}"/>
    <cellStyle name="Notas 57 2 2" xfId="20295" xr:uid="{B95A4E0B-9954-462D-B5EA-D2AFE622F7A6}"/>
    <cellStyle name="Notas 57 3" xfId="5000" xr:uid="{3C60BADB-F186-40D0-AA23-A62B8D3BD1E0}"/>
    <cellStyle name="Notas 57 3 2" xfId="20296" xr:uid="{E25A0171-CCB4-4A22-A89B-4431F7A8770D}"/>
    <cellStyle name="Notas 57 4" xfId="5001" xr:uid="{1DAF8AD0-0288-430C-8F13-FEC3499FE2DA}"/>
    <cellStyle name="Notas 57 4 2" xfId="20297" xr:uid="{158C8733-2499-49AD-B0FA-C1182561E81B}"/>
    <cellStyle name="Notas 57 5" xfId="5002" xr:uid="{A008209D-3FEC-416A-A3FC-D5AEDE7B76D6}"/>
    <cellStyle name="Notas 57 5 2" xfId="20298" xr:uid="{BD646B3F-1C02-4EDE-BC62-9B6371B8B827}"/>
    <cellStyle name="Notas 57 6" xfId="5003" xr:uid="{F7314A6F-8948-487B-BB7C-9BBC0634D1E2}"/>
    <cellStyle name="Notas 57 6 2" xfId="20299" xr:uid="{571F1AD9-A513-43BD-8906-BB5EC5C35CB9}"/>
    <cellStyle name="Notas 57 7" xfId="5004" xr:uid="{A91E1E2A-2386-4E4B-A3A7-2322B6716B81}"/>
    <cellStyle name="Notas 57 7 2" xfId="20300" xr:uid="{9A397F96-EC59-4A63-812E-47D4C70C05E9}"/>
    <cellStyle name="Notas 57 8" xfId="19924" xr:uid="{D9FE9FB1-8CBC-48D1-ACF5-2E9639BB3089}"/>
    <cellStyle name="Notas 58" xfId="2974" xr:uid="{448DE2D3-B44C-4F74-B60F-9C5A68605C6B}"/>
    <cellStyle name="Notas 58 2" xfId="5005" xr:uid="{90DD3096-7294-49CA-BEC9-1E86B2C9C233}"/>
    <cellStyle name="Notas 58 2 2" xfId="20301" xr:uid="{7B292FEF-3176-4D09-91BF-56EE836F3F17}"/>
    <cellStyle name="Notas 58 3" xfId="5006" xr:uid="{2A116AD5-8016-4C4D-AA46-0C2CE2AD25A5}"/>
    <cellStyle name="Notas 58 3 2" xfId="20302" xr:uid="{F33C9414-FEAA-41E0-940D-6B2D6A4F0505}"/>
    <cellStyle name="Notas 58 4" xfId="5007" xr:uid="{8CCB0221-8E26-4FFF-A60C-68B4BD3B5A9B}"/>
    <cellStyle name="Notas 58 4 2" xfId="20303" xr:uid="{6BC8A19F-0293-42E8-84FC-F685AFC7C0F1}"/>
    <cellStyle name="Notas 58 5" xfId="5008" xr:uid="{635FB8C9-703C-4FF7-AA6E-5D4A0841CD8C}"/>
    <cellStyle name="Notas 58 5 2" xfId="20304" xr:uid="{9357433A-37E3-4CEF-9296-A5D488CBDDCB}"/>
    <cellStyle name="Notas 58 6" xfId="5009" xr:uid="{018CCD09-241E-4DBE-89B2-E039EDB5933F}"/>
    <cellStyle name="Notas 58 6 2" xfId="20305" xr:uid="{0C7EBAA4-1F4E-4253-9E91-E16DCC06B860}"/>
    <cellStyle name="Notas 58 7" xfId="5010" xr:uid="{08847F1A-AAD0-44B8-A7F7-F1FA93916EE3}"/>
    <cellStyle name="Notas 58 7 2" xfId="20306" xr:uid="{B1FC341E-63ED-4F59-B3D4-DA5E4880C472}"/>
    <cellStyle name="Notas 58 8" xfId="19925" xr:uid="{809D3C46-7393-4753-86FF-827033D03FB1}"/>
    <cellStyle name="Notas 59" xfId="2975" xr:uid="{E62D2FEF-88C0-497F-B70C-AC14EDFD445F}"/>
    <cellStyle name="Notas 59 2" xfId="5011" xr:uid="{46A7454E-9AB1-43B2-B41E-0E4C5B96BB8B}"/>
    <cellStyle name="Notas 59 2 2" xfId="20307" xr:uid="{65A4A23C-1990-40CE-9D20-15EA5AF94659}"/>
    <cellStyle name="Notas 59 3" xfId="5012" xr:uid="{B0BEBFA2-C57C-4476-B9EB-6269652644FF}"/>
    <cellStyle name="Notas 59 3 2" xfId="20308" xr:uid="{4430CA5C-DF21-4AC0-A9AD-1491000C4905}"/>
    <cellStyle name="Notas 59 4" xfId="5013" xr:uid="{86B136B2-AE9F-4243-A3F2-786A448A2A0F}"/>
    <cellStyle name="Notas 59 4 2" xfId="20309" xr:uid="{D720874B-D290-4F73-8223-41A0FF01CC92}"/>
    <cellStyle name="Notas 59 5" xfId="5014" xr:uid="{D3666E5F-CD50-4D2D-8194-091257012F55}"/>
    <cellStyle name="Notas 59 5 2" xfId="20310" xr:uid="{1A6939D6-CC31-41E5-8DDC-4D821A8CA69A}"/>
    <cellStyle name="Notas 59 6" xfId="5015" xr:uid="{0A39CEE5-289F-469B-AB5B-D54BAC330FEB}"/>
    <cellStyle name="Notas 59 6 2" xfId="20311" xr:uid="{8BCD51DF-48DD-478E-86E4-C944D8B00048}"/>
    <cellStyle name="Notas 59 7" xfId="5016" xr:uid="{0C41F077-2CE8-4522-8994-C68EBFF2045D}"/>
    <cellStyle name="Notas 59 7 2" xfId="20312" xr:uid="{8028D86C-617D-4F5E-BD06-10A0A282834A}"/>
    <cellStyle name="Notas 59 8" xfId="19926" xr:uid="{55273B2D-EFE3-4000-A9CD-574C9FCCEA01}"/>
    <cellStyle name="Notas 6" xfId="423" xr:uid="{85FBD3C0-7173-45D6-B1AE-468363EE026C}"/>
    <cellStyle name="Notas 6 2" xfId="424" xr:uid="{94F5812E-4B2B-4D3F-B71C-143A66B5D059}"/>
    <cellStyle name="Notas 6 2 2" xfId="5017" xr:uid="{5137A1F7-6BFE-4057-AEBE-346104983654}"/>
    <cellStyle name="Notas 6 3" xfId="2976" xr:uid="{615B970E-6A4B-463E-8B43-345870B106D0}"/>
    <cellStyle name="Notas 6 3 2" xfId="20313" xr:uid="{B75DAA42-E831-4E94-BF45-F82E7819E80E}"/>
    <cellStyle name="Notas 6 4" xfId="5018" xr:uid="{B0FED4E1-6177-4B56-902C-ABA2158ABB75}"/>
    <cellStyle name="Notas 6 4 2" xfId="20314" xr:uid="{AD75731C-8588-4E80-94D5-67DBC20EFEAC}"/>
    <cellStyle name="Notas 6 5" xfId="5019" xr:uid="{7A62016A-0E47-4E6C-99BE-8537C1FC7FDF}"/>
    <cellStyle name="Notas 6 5 2" xfId="20315" xr:uid="{D6183C13-E09D-48AC-88A2-45C2361D6F90}"/>
    <cellStyle name="Notas 6 6" xfId="5020" xr:uid="{D2E7C2C2-9557-4DE7-A561-B3496B4BB8E1}"/>
    <cellStyle name="Notas 6 6 2" xfId="20316" xr:uid="{529DDBBC-4719-4676-8F95-2B88C81EBE33}"/>
    <cellStyle name="Notas 6 7" xfId="5021" xr:uid="{56D8A140-32F0-477A-804D-8ED262428257}"/>
    <cellStyle name="Notas 6 7 2" xfId="20317" xr:uid="{9F8500E1-7A53-4A41-8D96-7FD2440E2FD5}"/>
    <cellStyle name="Notas 6 8" xfId="11343" xr:uid="{F38C26B5-72CB-414C-B4A8-7F2EB1BD572A}"/>
    <cellStyle name="Notas 6 8 2" xfId="19927" xr:uid="{2A9DEFDE-4F3A-49C4-90CD-5C392064259C}"/>
    <cellStyle name="Notas 6 8 3" xfId="20546" xr:uid="{8D430957-6064-499C-BAF9-DC633A983648}"/>
    <cellStyle name="Notas 60" xfId="2977" xr:uid="{4E86D6BF-3336-4510-8686-13510C4A2087}"/>
    <cellStyle name="Notas 60 2" xfId="5022" xr:uid="{D0B3B104-39DE-482A-A993-E9502F99F88A}"/>
    <cellStyle name="Notas 60 2 2" xfId="20318" xr:uid="{BEA29658-189A-45EA-98AA-68A98EB1F4A4}"/>
    <cellStyle name="Notas 60 3" xfId="5023" xr:uid="{4067FB3F-3EE6-4004-8C71-8846917BA19B}"/>
    <cellStyle name="Notas 60 3 2" xfId="20319" xr:uid="{40CF5BA1-39E4-4837-96E0-4D9C71E52C83}"/>
    <cellStyle name="Notas 60 4" xfId="5024" xr:uid="{AD8ACADF-FD33-4E67-9B80-0BB2644D0D7E}"/>
    <cellStyle name="Notas 60 4 2" xfId="20320" xr:uid="{EEF3FDE9-9ADB-4E37-96E3-93F82293B6C2}"/>
    <cellStyle name="Notas 60 5" xfId="5025" xr:uid="{653F4E29-2573-4EFD-A87D-0BAAC5D0151A}"/>
    <cellStyle name="Notas 60 5 2" xfId="20321" xr:uid="{A5AEEC83-BF69-4096-953F-EC9F2AE0DF45}"/>
    <cellStyle name="Notas 60 6" xfId="5026" xr:uid="{1D2CCE75-AC4F-4B1F-B8DA-9576EB308966}"/>
    <cellStyle name="Notas 60 6 2" xfId="20322" xr:uid="{97F67B7C-87DC-44C1-886E-9C3143D03CD9}"/>
    <cellStyle name="Notas 60 7" xfId="5027" xr:uid="{EFC8E1FF-5A87-4F43-A406-7279642AF8DC}"/>
    <cellStyle name="Notas 60 7 2" xfId="20323" xr:uid="{195224F7-CBCE-48A4-8050-5399311F09FD}"/>
    <cellStyle name="Notas 60 8" xfId="19928" xr:uid="{79F93D3C-A69C-45C4-BAC5-F7CB2B6453D4}"/>
    <cellStyle name="Notas 61" xfId="2978" xr:uid="{A144F58B-D17B-47E0-96CF-15640C1DB2D5}"/>
    <cellStyle name="Notas 61 2" xfId="5028" xr:uid="{060EB910-5C93-4E50-A09A-654E393EEC2F}"/>
    <cellStyle name="Notas 61 2 2" xfId="20324" xr:uid="{E971A587-0FE7-4D94-A857-7896564B7102}"/>
    <cellStyle name="Notas 61 3" xfId="5029" xr:uid="{E549338E-1109-41E4-9A99-5E7524FE699D}"/>
    <cellStyle name="Notas 61 3 2" xfId="20325" xr:uid="{4E026C96-C7B3-4C48-AB50-56F2FBC2754D}"/>
    <cellStyle name="Notas 61 4" xfId="5030" xr:uid="{FC960F9A-5D18-4686-9461-1712DF8EA2AA}"/>
    <cellStyle name="Notas 61 4 2" xfId="20326" xr:uid="{AB64DA97-3DB7-4F45-9DC9-8D1F93BE986E}"/>
    <cellStyle name="Notas 61 5" xfId="5031" xr:uid="{6AC2BA88-D645-4E7E-AFC6-8D87C1EC4CF0}"/>
    <cellStyle name="Notas 61 5 2" xfId="20327" xr:uid="{A741FEC0-CAD1-4203-A6BE-C7E9EB3A59BC}"/>
    <cellStyle name="Notas 61 6" xfId="5032" xr:uid="{C576ED62-2B4D-4D29-9FF4-D8B28F3D2637}"/>
    <cellStyle name="Notas 61 6 2" xfId="20328" xr:uid="{0DCF9FC5-33D9-45B2-B0CF-20BE104D7A71}"/>
    <cellStyle name="Notas 61 7" xfId="5033" xr:uid="{19891E82-E121-4960-8CF5-7256B1346FA4}"/>
    <cellStyle name="Notas 61 7 2" xfId="20329" xr:uid="{8701DDBF-07DE-4989-ADFB-B15114973575}"/>
    <cellStyle name="Notas 61 8" xfId="19929" xr:uid="{36BE65C5-5467-4725-8038-8DE2BB3E7996}"/>
    <cellStyle name="Notas 62" xfId="2979" xr:uid="{913628CB-7947-4EF2-A75E-5FF345319FE2}"/>
    <cellStyle name="Notas 62 2" xfId="5034" xr:uid="{39CB7942-7C00-4CDD-B2E4-4F16EBA18B6B}"/>
    <cellStyle name="Notas 62 2 2" xfId="20330" xr:uid="{8EEAD726-A6C9-4DFD-83A7-C381F8A56E90}"/>
    <cellStyle name="Notas 62 3" xfId="5035" xr:uid="{E8CA6C36-98AF-4098-86F7-FD0A95E7698A}"/>
    <cellStyle name="Notas 62 3 2" xfId="20331" xr:uid="{633A10D5-CE31-4971-B565-CA14793E4196}"/>
    <cellStyle name="Notas 62 4" xfId="5036" xr:uid="{6BDBFEF9-25C8-4579-8204-E5532F036081}"/>
    <cellStyle name="Notas 62 4 2" xfId="20332" xr:uid="{2AB1F27E-C867-42F7-A3F9-4BBA14788125}"/>
    <cellStyle name="Notas 62 5" xfId="5037" xr:uid="{CAF1C09D-C62F-4FAC-9CC0-CD16756462E3}"/>
    <cellStyle name="Notas 62 5 2" xfId="20333" xr:uid="{DC51F461-9F5B-495F-829D-C6B0A886D7F4}"/>
    <cellStyle name="Notas 62 6" xfId="5038" xr:uid="{7CD136DB-00F4-4261-BA1A-D3E5EEF780E1}"/>
    <cellStyle name="Notas 62 6 2" xfId="20334" xr:uid="{6C708C94-AB22-4C21-98D3-B7DF712E1A8B}"/>
    <cellStyle name="Notas 62 7" xfId="5039" xr:uid="{83582FE8-DD8B-489A-BDAB-9CCC42F79A2D}"/>
    <cellStyle name="Notas 62 7 2" xfId="20335" xr:uid="{6B1E0464-6BEB-4A93-AC36-EFC8081ED761}"/>
    <cellStyle name="Notas 62 8" xfId="19930" xr:uid="{92C5F6F9-20EA-451C-8C03-5789554852E5}"/>
    <cellStyle name="Notas 63" xfId="2980" xr:uid="{0BBF2074-4FA4-4B50-AB17-A01A3F74AB47}"/>
    <cellStyle name="Notas 63 2" xfId="5040" xr:uid="{D4D8564C-B12F-4B0F-B910-4C6C9A27981D}"/>
    <cellStyle name="Notas 63 2 2" xfId="20336" xr:uid="{2C0FA535-EDEC-447C-A713-CD8D6E176547}"/>
    <cellStyle name="Notas 63 3" xfId="5041" xr:uid="{A9A99EFB-7AD9-4976-A019-F72E3B6256E7}"/>
    <cellStyle name="Notas 63 3 2" xfId="20337" xr:uid="{E989E008-24AF-4C0A-8F4C-76826083F5B6}"/>
    <cellStyle name="Notas 63 4" xfId="5042" xr:uid="{898582F0-DA3C-4340-BD6A-958F6056EB93}"/>
    <cellStyle name="Notas 63 4 2" xfId="20338" xr:uid="{D7F69B5A-D398-4324-A485-6F57BC86ACA6}"/>
    <cellStyle name="Notas 63 5" xfId="5043" xr:uid="{FB5A3D42-7C82-48C2-A4D6-4C6957A05E9E}"/>
    <cellStyle name="Notas 63 5 2" xfId="20339" xr:uid="{55307863-12DD-4802-9C5F-0090AE97C290}"/>
    <cellStyle name="Notas 63 6" xfId="5044" xr:uid="{28268F4D-7C24-4769-B66B-4953C795D75C}"/>
    <cellStyle name="Notas 63 6 2" xfId="20340" xr:uid="{B0437B76-61B7-46E8-8209-D5E3EA774951}"/>
    <cellStyle name="Notas 63 7" xfId="5045" xr:uid="{A8C2FF48-6F03-4CB5-8D1D-421B7FFFC656}"/>
    <cellStyle name="Notas 63 7 2" xfId="20341" xr:uid="{3EE3EEE6-F901-46AA-B809-F9915F46E9FF}"/>
    <cellStyle name="Notas 63 8" xfId="19931" xr:uid="{BA9BE3FB-6664-4E54-965B-87BF82C7FC43}"/>
    <cellStyle name="Notas 64" xfId="2981" xr:uid="{67070F11-9A1D-4DDB-8156-C5EF5375C80E}"/>
    <cellStyle name="Notas 64 2" xfId="5046" xr:uid="{21313AC0-4014-4BD2-9870-4CDBB9DB9133}"/>
    <cellStyle name="Notas 64 2 2" xfId="20342" xr:uid="{DD940F17-BA25-41F1-B81A-E14A2C8474E2}"/>
    <cellStyle name="Notas 64 3" xfId="5047" xr:uid="{149105FD-4947-4D39-98BF-B5F0A1BC8E8F}"/>
    <cellStyle name="Notas 64 3 2" xfId="20343" xr:uid="{741EF201-33DD-4B78-8105-1AE27A586413}"/>
    <cellStyle name="Notas 64 4" xfId="5048" xr:uid="{0B71DDA0-9740-4BBA-8250-371412926743}"/>
    <cellStyle name="Notas 64 4 2" xfId="20344" xr:uid="{A4C93B4B-0D52-4AA5-B444-C94FAB2CB375}"/>
    <cellStyle name="Notas 64 5" xfId="5049" xr:uid="{66BE5D1E-E244-475A-AF0E-E404F5B85C8D}"/>
    <cellStyle name="Notas 64 5 2" xfId="20345" xr:uid="{687A37C4-376D-4252-86A2-D80B88194158}"/>
    <cellStyle name="Notas 64 6" xfId="5050" xr:uid="{86BA3D0C-3CA8-45F9-BB3F-AC535D5FD54A}"/>
    <cellStyle name="Notas 64 6 2" xfId="20346" xr:uid="{B0591CB1-95A8-4469-9665-703F3282698A}"/>
    <cellStyle name="Notas 64 7" xfId="5051" xr:uid="{3BD891D3-2CEA-498E-A4B3-F3D9E7E19109}"/>
    <cellStyle name="Notas 64 7 2" xfId="20347" xr:uid="{A01F9152-BA16-450B-84C6-5874C0351609}"/>
    <cellStyle name="Notas 64 8" xfId="19932" xr:uid="{4F4DEB42-C1EC-4026-8282-8CC99509565B}"/>
    <cellStyle name="Notas 65" xfId="2982" xr:uid="{292C6D86-0FD2-42F7-AA42-85295792095B}"/>
    <cellStyle name="Notas 65 2" xfId="5052" xr:uid="{57E401F5-BB18-4336-A8B5-D40925F34317}"/>
    <cellStyle name="Notas 65 2 2" xfId="20348" xr:uid="{8854C864-C4AF-4446-945C-745425E1AC3F}"/>
    <cellStyle name="Notas 65 3" xfId="5053" xr:uid="{398509D8-46B8-46DC-B001-0C6ADEB19E44}"/>
    <cellStyle name="Notas 65 3 2" xfId="20349" xr:uid="{2EBA9BF0-134D-4C56-98DC-15F43619E41B}"/>
    <cellStyle name="Notas 65 4" xfId="5054" xr:uid="{23CF80F1-71ED-45FA-8B46-E8CBD4E9A6D9}"/>
    <cellStyle name="Notas 65 4 2" xfId="20350" xr:uid="{98C1F696-76A5-44E0-B3EF-A9163FC3D42C}"/>
    <cellStyle name="Notas 65 5" xfId="5055" xr:uid="{96732692-67AF-47E2-B14A-27756851DBDA}"/>
    <cellStyle name="Notas 65 5 2" xfId="20351" xr:uid="{B87E9C2D-56A2-43CE-874C-DFA27587C82C}"/>
    <cellStyle name="Notas 65 6" xfId="5056" xr:uid="{50F6F901-CF64-41BC-99EC-10E8066F6CF3}"/>
    <cellStyle name="Notas 65 6 2" xfId="20352" xr:uid="{CF4D3BCA-B6B4-4A4A-903A-C8332916F079}"/>
    <cellStyle name="Notas 65 7" xfId="5057" xr:uid="{2B209FDE-143D-465D-AD0F-89FC9977B023}"/>
    <cellStyle name="Notas 65 7 2" xfId="20353" xr:uid="{FB44EA99-A0EF-4F6B-B292-E44595B7D02D}"/>
    <cellStyle name="Notas 65 8" xfId="19933" xr:uid="{B6B567E4-67E5-4E1A-A522-9E902C5CA6F0}"/>
    <cellStyle name="Notas 66" xfId="2983" xr:uid="{97815991-9A4A-4EF9-B7BE-4E23D898A30B}"/>
    <cellStyle name="Notas 66 2" xfId="5058" xr:uid="{55FEF008-8474-4BE0-8872-FF9BB68E7E95}"/>
    <cellStyle name="Notas 66 2 2" xfId="20354" xr:uid="{AE0A36E7-A3A2-48D8-AB7D-76FB9523870C}"/>
    <cellStyle name="Notas 66 3" xfId="5059" xr:uid="{D9EE1D77-4774-4CFF-BFCE-4E299B2E4561}"/>
    <cellStyle name="Notas 66 3 2" xfId="20355" xr:uid="{9DEA9B09-94D5-4325-92D3-5CAE3825C457}"/>
    <cellStyle name="Notas 66 4" xfId="5060" xr:uid="{61E31947-4634-4A79-BFBA-A93DB4FF4963}"/>
    <cellStyle name="Notas 66 4 2" xfId="20356" xr:uid="{23032C8A-541E-4977-B6CF-9ABE12F3F99F}"/>
    <cellStyle name="Notas 66 5" xfId="5061" xr:uid="{8E44E457-09CB-4595-AC32-6437A50E9F4F}"/>
    <cellStyle name="Notas 66 5 2" xfId="20357" xr:uid="{9A736D2A-A3BB-4556-85D2-854778477361}"/>
    <cellStyle name="Notas 66 6" xfId="5062" xr:uid="{1AEAA400-8011-4D05-9AA8-12988072E04C}"/>
    <cellStyle name="Notas 66 6 2" xfId="20358" xr:uid="{B198860B-0BE7-4804-96BC-733DE6DBB4EE}"/>
    <cellStyle name="Notas 66 7" xfId="5063" xr:uid="{B398D815-0B09-4E06-B664-CD327DD5960E}"/>
    <cellStyle name="Notas 66 7 2" xfId="20359" xr:uid="{105AF4C8-6A24-40A3-B91C-BFF1BD6A7AD5}"/>
    <cellStyle name="Notas 66 8" xfId="19934" xr:uid="{82359215-936C-4E45-9B8A-F20E234DB87A}"/>
    <cellStyle name="Notas 67" xfId="2984" xr:uid="{D1153033-BD61-4870-8DAA-21E357689A96}"/>
    <cellStyle name="Notas 67 2" xfId="5064" xr:uid="{07808FBC-5675-4BD0-9CEE-C7F8A9984C36}"/>
    <cellStyle name="Notas 67 2 2" xfId="20360" xr:uid="{519E86E4-B471-48A8-9247-9A0311414C0A}"/>
    <cellStyle name="Notas 67 3" xfId="5065" xr:uid="{B4D4F34E-6A33-487A-A5BA-73E46884162E}"/>
    <cellStyle name="Notas 67 3 2" xfId="20361" xr:uid="{BA57E7BB-2D5A-4CB6-B172-E6F18F7B220F}"/>
    <cellStyle name="Notas 67 4" xfId="5066" xr:uid="{9E231541-6FD0-4115-BEE9-B7C3EECC5CCB}"/>
    <cellStyle name="Notas 67 4 2" xfId="20362" xr:uid="{E7FF65E1-CEB7-4840-85DD-9A207DF4070C}"/>
    <cellStyle name="Notas 67 5" xfId="5067" xr:uid="{9E0F0E0D-3150-4381-A65B-F10CC6E6BF23}"/>
    <cellStyle name="Notas 67 5 2" xfId="20363" xr:uid="{4379685A-4EAF-4A13-9739-E316F54F4151}"/>
    <cellStyle name="Notas 67 6" xfId="5068" xr:uid="{5A1A8BEB-91AB-42DD-9274-9654DA07BD94}"/>
    <cellStyle name="Notas 67 6 2" xfId="20364" xr:uid="{FE93F301-6437-4174-A059-9769723349EF}"/>
    <cellStyle name="Notas 67 7" xfId="5069" xr:uid="{65B1CFAD-EC4F-4DDF-AE63-9ED6A54AC588}"/>
    <cellStyle name="Notas 67 7 2" xfId="20365" xr:uid="{9FAB1550-A815-4476-A3FD-9CD2456B8EB0}"/>
    <cellStyle name="Notas 67 8" xfId="19935" xr:uid="{C3A4E424-B992-49A9-AF78-C6300F2760BB}"/>
    <cellStyle name="Notas 68" xfId="2985" xr:uid="{6AE121E8-A8A2-4B9C-B9F5-691C8D20ED10}"/>
    <cellStyle name="Notas 68 2" xfId="5070" xr:uid="{7F65947E-21D6-45AF-9985-52BC77AFE791}"/>
    <cellStyle name="Notas 68 2 2" xfId="20366" xr:uid="{E1DF2FE6-F1FD-4D79-AD88-6075A556DF4D}"/>
    <cellStyle name="Notas 68 3" xfId="5071" xr:uid="{B711C869-3DD1-4785-8C60-E595715A1541}"/>
    <cellStyle name="Notas 68 3 2" xfId="20367" xr:uid="{2F25FDAB-BBAD-479C-87BA-ADBF520DD5B5}"/>
    <cellStyle name="Notas 68 4" xfId="5072" xr:uid="{54771EDA-4BF1-4C41-86AB-277FE86B065F}"/>
    <cellStyle name="Notas 68 4 2" xfId="20368" xr:uid="{D96C4D11-4156-40C7-8EB3-5B46EF0E85B7}"/>
    <cellStyle name="Notas 68 5" xfId="5073" xr:uid="{D9ADC5CC-6158-4576-B647-442D54479FA7}"/>
    <cellStyle name="Notas 68 5 2" xfId="20369" xr:uid="{E4EB9EF6-BA2F-44F6-A5A6-E2B5C9316814}"/>
    <cellStyle name="Notas 68 6" xfId="5074" xr:uid="{7A24DD1D-B32E-4627-8B0F-DE17892B7ADF}"/>
    <cellStyle name="Notas 68 6 2" xfId="20370" xr:uid="{78D604C8-F5D0-4E65-8275-BEB48F417EEE}"/>
    <cellStyle name="Notas 68 7" xfId="5075" xr:uid="{88F6906A-5829-4906-B4DF-C6DC7A708C19}"/>
    <cellStyle name="Notas 68 7 2" xfId="20371" xr:uid="{241E553D-26F3-4022-AE99-B5F71936BC17}"/>
    <cellStyle name="Notas 68 8" xfId="19936" xr:uid="{DA870BDD-546A-4D85-AA51-5C0A051F6D22}"/>
    <cellStyle name="Notas 69" xfId="2986" xr:uid="{EA612C7F-E8AD-45D8-8DA3-DF5B98D30082}"/>
    <cellStyle name="Notas 69 2" xfId="5076" xr:uid="{58138ED8-321E-46B6-94AC-878629102814}"/>
    <cellStyle name="Notas 69 2 2" xfId="20372" xr:uid="{71140947-7ADB-49CC-8614-8BC1951A4685}"/>
    <cellStyle name="Notas 69 3" xfId="5077" xr:uid="{BBEB77EC-70AF-4F4C-BB16-1A85E7C9F817}"/>
    <cellStyle name="Notas 69 3 2" xfId="20373" xr:uid="{096B0359-BA69-4054-B10A-ABC522B44A5F}"/>
    <cellStyle name="Notas 69 4" xfId="5078" xr:uid="{BD136D3E-D6A0-4D8E-BB28-9548A012EC01}"/>
    <cellStyle name="Notas 69 4 2" xfId="20374" xr:uid="{BE935C97-25BD-4EA3-BCB3-B53AA4D7CDBC}"/>
    <cellStyle name="Notas 69 5" xfId="5079" xr:uid="{0583F603-43A6-4077-9164-B8ECAFF96681}"/>
    <cellStyle name="Notas 69 5 2" xfId="20375" xr:uid="{4564841E-01D1-47A4-AEFB-4C857A1450A8}"/>
    <cellStyle name="Notas 69 6" xfId="5080" xr:uid="{B3440568-79E9-4246-8938-6151C537A86A}"/>
    <cellStyle name="Notas 69 6 2" xfId="20376" xr:uid="{47A2FF9A-DFD7-48AF-A4D5-5394EEFCED43}"/>
    <cellStyle name="Notas 69 7" xfId="5081" xr:uid="{A2DE2CEF-F392-4DBE-8358-EBC0BB959A88}"/>
    <cellStyle name="Notas 69 7 2" xfId="20377" xr:uid="{62959031-ECBA-4816-8B52-082C7C66FBF5}"/>
    <cellStyle name="Notas 69 8" xfId="19937" xr:uid="{AFA6CF59-561F-4EFA-9ACE-6A4314791520}"/>
    <cellStyle name="Notas 7" xfId="425" xr:uid="{3E6D658E-8127-463C-BDD7-27FAFC134212}"/>
    <cellStyle name="Notas 7 2" xfId="426" xr:uid="{A40D0777-3F8C-46B4-B5C5-DF20650F9F18}"/>
    <cellStyle name="Notas 7 2 2" xfId="5082" xr:uid="{9120CDFA-4A9F-4424-A1BD-EAFB41A96283}"/>
    <cellStyle name="Notas 7 3" xfId="2987" xr:uid="{679FD78B-D9D7-4C5D-883C-E7B2B07F07CF}"/>
    <cellStyle name="Notas 7 3 2" xfId="20378" xr:uid="{C8A32913-0E7D-483E-879D-7BE54576E660}"/>
    <cellStyle name="Notas 7 4" xfId="5083" xr:uid="{4253ADA0-9F73-4E14-B935-F66F42BC7A77}"/>
    <cellStyle name="Notas 7 4 2" xfId="20379" xr:uid="{06806763-59E2-415E-B167-491A82566538}"/>
    <cellStyle name="Notas 7 5" xfId="5084" xr:uid="{D8F70CFB-C58F-41DA-BE1D-F96DA2EB3360}"/>
    <cellStyle name="Notas 7 5 2" xfId="20380" xr:uid="{90D37E08-6E71-4B80-95A0-A75A0991CAE1}"/>
    <cellStyle name="Notas 7 6" xfId="5085" xr:uid="{C83B57CC-796A-48C8-A549-CD07413365AB}"/>
    <cellStyle name="Notas 7 6 2" xfId="20381" xr:uid="{7D9AF093-9FB5-473D-9367-E046287889B6}"/>
    <cellStyle name="Notas 7 7" xfId="5086" xr:uid="{B0184CF9-65BB-4015-AF0A-B6B8043CB459}"/>
    <cellStyle name="Notas 7 7 2" xfId="20382" xr:uid="{5DBFEBB0-3F18-4825-A057-0F0B3BCD321B}"/>
    <cellStyle name="Notas 7 8" xfId="19938" xr:uid="{B4798B0F-CB96-4324-93FA-39D3AD1B2C0E}"/>
    <cellStyle name="Notas 70" xfId="2988" xr:uid="{9D5C54AD-F2BE-4861-BB76-7F17C718DDE4}"/>
    <cellStyle name="Notas 70 2" xfId="5087" xr:uid="{012CA6AE-FDEE-4CB7-A937-A9170F561860}"/>
    <cellStyle name="Notas 70 2 2" xfId="20383" xr:uid="{8AF649AA-FAE1-4883-A6FC-50C15BA6EF6D}"/>
    <cellStyle name="Notas 70 3" xfId="5088" xr:uid="{F50E12EF-48BD-4258-BED9-ED0CCD6BF332}"/>
    <cellStyle name="Notas 70 3 2" xfId="20384" xr:uid="{F13AD24C-1DE6-4238-93BE-624049702A8E}"/>
    <cellStyle name="Notas 70 4" xfId="5089" xr:uid="{0B543D04-DF52-45AA-B1EF-1A5BB4C3C3B0}"/>
    <cellStyle name="Notas 70 4 2" xfId="20385" xr:uid="{1BABD9FD-57D5-4A03-A322-4319CFA71010}"/>
    <cellStyle name="Notas 70 5" xfId="5090" xr:uid="{3152EA3A-BFEA-4384-8B7C-AF9C6687F016}"/>
    <cellStyle name="Notas 70 5 2" xfId="20386" xr:uid="{D47CDD4E-93B8-45F8-B135-AAF22EF5D496}"/>
    <cellStyle name="Notas 70 6" xfId="5091" xr:uid="{E8A15864-311B-4FB1-8F81-ED6AA8EA90C0}"/>
    <cellStyle name="Notas 70 6 2" xfId="20387" xr:uid="{9E75AF15-3C69-42E6-A443-14865588A6A7}"/>
    <cellStyle name="Notas 70 7" xfId="5092" xr:uid="{A865AA0C-C326-448F-A359-51137060FF71}"/>
    <cellStyle name="Notas 70 7 2" xfId="20388" xr:uid="{9973C040-F689-4D67-A2EB-3B68B1C3907A}"/>
    <cellStyle name="Notas 70 8" xfId="19939" xr:uid="{0E7034BD-4EE8-4255-A81C-1B44F900A66C}"/>
    <cellStyle name="Notas 71" xfId="2989" xr:uid="{6C320BAA-5B0B-4A9C-9FA8-78CC35C6084A}"/>
    <cellStyle name="Notas 71 2" xfId="5093" xr:uid="{1451BF89-75E1-43B8-9C8B-ECD53D7583F0}"/>
    <cellStyle name="Notas 71 2 2" xfId="20389" xr:uid="{9ABDC85D-76C1-4A51-A04A-E26FA1127280}"/>
    <cellStyle name="Notas 71 3" xfId="5094" xr:uid="{09545140-7D9B-447B-B690-9E8F003DD30B}"/>
    <cellStyle name="Notas 71 3 2" xfId="20390" xr:uid="{4D387CD0-8808-444D-9EF2-35343ADD36D3}"/>
    <cellStyle name="Notas 71 4" xfId="5095" xr:uid="{947FEEE4-D89C-4EBE-BB1A-07DBBD763B00}"/>
    <cellStyle name="Notas 71 4 2" xfId="20391" xr:uid="{FB34E2B0-DB0C-4BA6-8E87-29ED668D55F4}"/>
    <cellStyle name="Notas 71 5" xfId="5096" xr:uid="{5F976F77-309E-42C6-8079-0627E251FD92}"/>
    <cellStyle name="Notas 71 5 2" xfId="20392" xr:uid="{580E2AFC-D610-494A-A953-BE155B390D51}"/>
    <cellStyle name="Notas 71 6" xfId="5097" xr:uid="{55BA3A10-0A18-4872-9C36-390274BB8C47}"/>
    <cellStyle name="Notas 71 6 2" xfId="20393" xr:uid="{DCBDCEDC-A126-48B1-A37C-EAEFBCAC5EB7}"/>
    <cellStyle name="Notas 71 7" xfId="5098" xr:uid="{BD1B6CAC-D2A2-47B1-A436-9CFE19CBA0BB}"/>
    <cellStyle name="Notas 71 7 2" xfId="20394" xr:uid="{4759F374-E779-4FBE-8C17-AAA43F61BE31}"/>
    <cellStyle name="Notas 71 8" xfId="19940" xr:uid="{DFB90F99-AE93-41E4-B911-38CB8B508CA9}"/>
    <cellStyle name="Notas 72" xfId="2990" xr:uid="{D520A4F5-AA50-434B-A654-8CCAF2CF59F6}"/>
    <cellStyle name="Notas 72 2" xfId="5099" xr:uid="{395BE823-C6CF-4821-999C-94FCAF133EAE}"/>
    <cellStyle name="Notas 72 2 2" xfId="20395" xr:uid="{6E3138B4-3006-4308-91D1-D4DC3E4BB143}"/>
    <cellStyle name="Notas 72 3" xfId="5100" xr:uid="{CBCA791B-F246-4C33-B25C-4797657C2E0A}"/>
    <cellStyle name="Notas 72 3 2" xfId="20396" xr:uid="{DC2EA357-01D2-42FF-B6C4-4119762BD07F}"/>
    <cellStyle name="Notas 72 4" xfId="5101" xr:uid="{E426C6FE-D345-4869-B5DA-E1C6B54C70E3}"/>
    <cellStyle name="Notas 72 4 2" xfId="20397" xr:uid="{5DFF52CA-3500-4EE0-9FC2-7BA1FF74FC29}"/>
    <cellStyle name="Notas 72 5" xfId="5102" xr:uid="{D9409EBF-2AC1-4A76-876A-7A6CBFB85EAB}"/>
    <cellStyle name="Notas 72 5 2" xfId="20398" xr:uid="{B2991D2F-ACE3-4C9D-A59F-56F57BEBE6BC}"/>
    <cellStyle name="Notas 72 6" xfId="5103" xr:uid="{059E7036-005E-4919-A732-A6DB6BF975CB}"/>
    <cellStyle name="Notas 72 6 2" xfId="20399" xr:uid="{F961D79C-AFE6-4277-A27A-4F013526C4B0}"/>
    <cellStyle name="Notas 72 7" xfId="5104" xr:uid="{1C17A849-C209-42A8-A44A-8F61B83E17B2}"/>
    <cellStyle name="Notas 72 7 2" xfId="20400" xr:uid="{4A16ED0B-BF0D-4A4C-BA09-B98AED3DD150}"/>
    <cellStyle name="Notas 72 8" xfId="19941" xr:uid="{2EDA4B22-BE3E-4B97-9478-E2A08306977B}"/>
    <cellStyle name="Notas 73" xfId="2991" xr:uid="{B6A7FF13-298E-488C-91A9-EF02C0225898}"/>
    <cellStyle name="Notas 73 2" xfId="5105" xr:uid="{51976871-25A5-42F3-9DD8-0A686357BEDD}"/>
    <cellStyle name="Notas 73 2 2" xfId="20401" xr:uid="{1DA77395-8136-44E4-9789-6CC8B5F6552E}"/>
    <cellStyle name="Notas 73 3" xfId="5106" xr:uid="{F50BB0DB-6D8E-454A-8B2C-7BA6C942E6EF}"/>
    <cellStyle name="Notas 73 3 2" xfId="20402" xr:uid="{50D5F712-1EE7-4CEB-B9B3-E5BB485CF824}"/>
    <cellStyle name="Notas 73 4" xfId="5107" xr:uid="{3395245D-78F9-4CB1-9AE5-F8B53EAD85AE}"/>
    <cellStyle name="Notas 73 4 2" xfId="20403" xr:uid="{D6F62231-ECC4-4A58-B69F-C2A2CF29371A}"/>
    <cellStyle name="Notas 73 5" xfId="5108" xr:uid="{BFD11BC0-A01D-4165-AB3B-C9C53F8FC21F}"/>
    <cellStyle name="Notas 73 5 2" xfId="20404" xr:uid="{E5CE3D83-32D8-4FAC-969C-42FC5BE14387}"/>
    <cellStyle name="Notas 73 6" xfId="5109" xr:uid="{CFEADEE0-DB48-4DD6-9FDF-6D7546B6E7A9}"/>
    <cellStyle name="Notas 73 6 2" xfId="20405" xr:uid="{4353ECF9-850F-4371-B5C4-1289C8F2AC50}"/>
    <cellStyle name="Notas 73 7" xfId="5110" xr:uid="{64E4BB01-1FBC-4362-91E6-E9715CBD5112}"/>
    <cellStyle name="Notas 73 7 2" xfId="20406" xr:uid="{06171FD8-DF5A-423B-B65E-269013256F69}"/>
    <cellStyle name="Notas 73 8" xfId="19942" xr:uid="{0E91624F-228D-4431-B1A9-C3507CC4471C}"/>
    <cellStyle name="Notas 74" xfId="2992" xr:uid="{C15DB761-830D-404E-8296-BA867BD41A4D}"/>
    <cellStyle name="Notas 74 2" xfId="5111" xr:uid="{2D0EB0FC-40B0-499F-A790-6F11E8AB1200}"/>
    <cellStyle name="Notas 74 2 2" xfId="20407" xr:uid="{18BCBEE9-7202-43C3-90B5-CAD8EAEDF865}"/>
    <cellStyle name="Notas 74 3" xfId="5112" xr:uid="{EA0E2F12-1375-407E-A62B-FDC3A8BF6B27}"/>
    <cellStyle name="Notas 74 3 2" xfId="20408" xr:uid="{B610B0F4-A51B-4123-984F-833F382BF1EE}"/>
    <cellStyle name="Notas 74 4" xfId="5113" xr:uid="{8CD44346-F015-4823-83DD-F1583F581BE3}"/>
    <cellStyle name="Notas 74 4 2" xfId="20409" xr:uid="{F8AA143A-66EB-4DC7-853C-1F8DE1F0FD3E}"/>
    <cellStyle name="Notas 74 5" xfId="5114" xr:uid="{504A5613-EA77-4014-BA7B-1E9A1BE76708}"/>
    <cellStyle name="Notas 74 5 2" xfId="20410" xr:uid="{8E71A4AD-DA33-48B2-B5ED-992D94A2716C}"/>
    <cellStyle name="Notas 74 6" xfId="5115" xr:uid="{62302EDD-3775-46CD-989F-3C81816DED62}"/>
    <cellStyle name="Notas 74 6 2" xfId="20411" xr:uid="{72095CCA-5D18-4A86-BC1C-DE6A950C4943}"/>
    <cellStyle name="Notas 74 7" xfId="5116" xr:uid="{D50F761C-41AB-4636-9AD4-B9A552ADB2E6}"/>
    <cellStyle name="Notas 74 7 2" xfId="20412" xr:uid="{8B6C37B8-3243-4249-BB14-719496E88CBA}"/>
    <cellStyle name="Notas 74 8" xfId="19943" xr:uid="{443EBE94-7E11-4720-8605-7F07E4383E69}"/>
    <cellStyle name="Notas 75" xfId="2993" xr:uid="{4C115455-145B-4F2D-AA3D-55B18218F069}"/>
    <cellStyle name="Notas 75 2" xfId="5117" xr:uid="{C9051E50-1080-423D-BFFF-71F2BE3D08E1}"/>
    <cellStyle name="Notas 75 2 2" xfId="20413" xr:uid="{BFB98034-0DF1-4839-B034-1E4B9212AE48}"/>
    <cellStyle name="Notas 75 3" xfId="5118" xr:uid="{F2358D9A-FD44-4622-BA7C-DE2207D1C8CA}"/>
    <cellStyle name="Notas 75 3 2" xfId="20414" xr:uid="{625180FD-9EC7-44B6-B783-45118A747D37}"/>
    <cellStyle name="Notas 75 4" xfId="5119" xr:uid="{B4FD1731-568A-44DF-AE09-C48E117704C1}"/>
    <cellStyle name="Notas 75 4 2" xfId="20415" xr:uid="{B4A941BF-ED52-4D92-BEDC-CFF03AE29867}"/>
    <cellStyle name="Notas 75 5" xfId="5120" xr:uid="{3DFA252D-099F-4649-B515-87D33AF3DAE9}"/>
    <cellStyle name="Notas 75 5 2" xfId="20416" xr:uid="{EE05728D-BAA5-4E08-A4C4-E61B633F47E5}"/>
    <cellStyle name="Notas 75 6" xfId="5121" xr:uid="{5DCB60A5-DBC7-4286-B1F9-DCBCBA916083}"/>
    <cellStyle name="Notas 75 6 2" xfId="20417" xr:uid="{CA40E5F5-099A-4C70-A31C-4FB97F421E8B}"/>
    <cellStyle name="Notas 75 7" xfId="5122" xr:uid="{C9E200AD-1A7F-4650-B191-17AAE054DD09}"/>
    <cellStyle name="Notas 75 7 2" xfId="20418" xr:uid="{2E29378C-F9C5-4132-99DA-A2DDD4DC4FFE}"/>
    <cellStyle name="Notas 75 8" xfId="19944" xr:uid="{BD37403A-D60D-48F6-B96E-667AEC4529CD}"/>
    <cellStyle name="Notas 76" xfId="2994" xr:uid="{2414AF9C-F8FB-4981-916D-9AF7D862C9E8}"/>
    <cellStyle name="Notas 76 2" xfId="2995" xr:uid="{9FE476C7-2083-4CC8-92DB-B211AB48508F}"/>
    <cellStyle name="Notas 76 2 2" xfId="5123" xr:uid="{4D37072D-90B7-41A0-86A9-3F83B95C9D2A}"/>
    <cellStyle name="Notas 76 2 2 2" xfId="20419" xr:uid="{EAE0F5D0-DD80-4DCB-9124-8F8877ED0DAD}"/>
    <cellStyle name="Notas 76 2 3" xfId="5124" xr:uid="{3F5EFC25-35E1-49E5-813A-AA2A950027CE}"/>
    <cellStyle name="Notas 76 2 3 2" xfId="20420" xr:uid="{24979DB8-4E4F-4298-B897-03DE63543AB4}"/>
    <cellStyle name="Notas 76 2 4" xfId="5125" xr:uid="{31FBC6C4-B694-464C-97A0-F0DF412AB64D}"/>
    <cellStyle name="Notas 76 2 4 2" xfId="20421" xr:uid="{19D87C6F-1CD3-477C-894A-7DA7536CA951}"/>
    <cellStyle name="Notas 76 2 5" xfId="5126" xr:uid="{3A426DCC-5606-4B3B-A873-C42942BCD61A}"/>
    <cellStyle name="Notas 76 2 5 2" xfId="20422" xr:uid="{FA331CFB-CF21-40B2-A83C-77B89E7A2C01}"/>
    <cellStyle name="Notas 76 2 6" xfId="5127" xr:uid="{0D88E53A-D698-4556-9155-0DE2DE00978D}"/>
    <cellStyle name="Notas 76 2 6 2" xfId="20423" xr:uid="{00C9017E-9B36-492D-AB34-8F2A187DDC49}"/>
    <cellStyle name="Notas 76 2 7" xfId="5128" xr:uid="{5E925EE5-1BE0-4CF6-BB26-FBC1F6A2233D}"/>
    <cellStyle name="Notas 76 2 7 2" xfId="20424" xr:uid="{4C465398-DF24-4B5A-9A6C-1D67109BFC6E}"/>
    <cellStyle name="Notas 76 2 8" xfId="19946" xr:uid="{C6DE21CF-A637-4B4E-B7DF-3E33AD3BF430}"/>
    <cellStyle name="Notas 76 3" xfId="5129" xr:uid="{BC92003D-9BC2-451A-921B-438C2D77579F}"/>
    <cellStyle name="Notas 76 3 2" xfId="20425" xr:uid="{2944A39B-4025-46B0-88D6-3F385870DD3D}"/>
    <cellStyle name="Notas 76 4" xfId="5130" xr:uid="{6D104060-30D5-4988-A687-95276EA0C966}"/>
    <cellStyle name="Notas 76 4 2" xfId="20426" xr:uid="{7AC32313-87DF-4548-9F4E-B066867BF4DE}"/>
    <cellStyle name="Notas 76 5" xfId="5131" xr:uid="{B9A342E2-98AF-4833-99AC-A55F35325CCC}"/>
    <cellStyle name="Notas 76 5 2" xfId="20427" xr:uid="{C838EEA1-A69A-4E99-B72B-840870290DCA}"/>
    <cellStyle name="Notas 76 6" xfId="5132" xr:uid="{4057FDC9-E2B5-4BEC-9641-EE93DE6B24E0}"/>
    <cellStyle name="Notas 76 6 2" xfId="20428" xr:uid="{2FDCB341-7980-4B55-BA4D-9E6AD6A5846A}"/>
    <cellStyle name="Notas 76 7" xfId="5133" xr:uid="{87E4981A-5309-42E5-93A9-DA7C5E371ED8}"/>
    <cellStyle name="Notas 76 7 2" xfId="20429" xr:uid="{1D8EECF1-E2D6-4990-AC61-F1F709C3F590}"/>
    <cellStyle name="Notas 76 8" xfId="5134" xr:uid="{76D49F49-F019-4862-9B28-5F73CBFDBD33}"/>
    <cellStyle name="Notas 76 8 2" xfId="20430" xr:uid="{02A0C764-5EDE-4817-912F-812DC82A5500}"/>
    <cellStyle name="Notas 76 9" xfId="19945" xr:uid="{D43310C0-33BD-4FC0-8303-03627B11F4C2}"/>
    <cellStyle name="Notas 77" xfId="2996" xr:uid="{B014766F-3B10-4C73-8D22-48D2D9B00EF0}"/>
    <cellStyle name="Notas 77 2" xfId="5135" xr:uid="{C18C4C10-62B8-417D-B048-E0D110C4FA7F}"/>
    <cellStyle name="Notas 77 2 2" xfId="20431" xr:uid="{592B717B-85E7-40FF-B718-0ED5667693BF}"/>
    <cellStyle name="Notas 77 3" xfId="5136" xr:uid="{AA7C7CCF-D396-4F05-8784-B533F32FEBBF}"/>
    <cellStyle name="Notas 77 3 2" xfId="20432" xr:uid="{C216583C-C8AC-44BB-A335-6AE8923EAD07}"/>
    <cellStyle name="Notas 77 4" xfId="5137" xr:uid="{98A2C548-2D53-4573-8AB3-1FA974556247}"/>
    <cellStyle name="Notas 77 4 2" xfId="20433" xr:uid="{163938F4-D467-405D-AD8A-F3F966796F78}"/>
    <cellStyle name="Notas 77 5" xfId="5138" xr:uid="{18B63543-1C84-4F8E-B066-69929617DC56}"/>
    <cellStyle name="Notas 77 5 2" xfId="20434" xr:uid="{FFC40C52-93A2-4CAD-A2ED-4C7FB1E4B7BD}"/>
    <cellStyle name="Notas 77 6" xfId="5139" xr:uid="{9AB0C4AA-8281-4111-98A7-28C80AF27875}"/>
    <cellStyle name="Notas 77 6 2" xfId="20435" xr:uid="{A70ED134-5006-40FD-8087-6A31461E196B}"/>
    <cellStyle name="Notas 77 7" xfId="5140" xr:uid="{CDB8F0F0-E430-4D9C-ADDE-38902B2D44D1}"/>
    <cellStyle name="Notas 77 7 2" xfId="20436" xr:uid="{2ECCF26F-6136-4F28-AF11-62B67CDCAC2E}"/>
    <cellStyle name="Notas 77 8" xfId="19947" xr:uid="{716D602C-EAB5-44E3-B194-E997A1DDCE00}"/>
    <cellStyle name="Notas 78" xfId="2997" xr:uid="{CABBC910-B3E4-4E1E-8CEC-3C0B3A4EA7A0}"/>
    <cellStyle name="Notas 78 2" xfId="5141" xr:uid="{973A51C1-C9C6-4CD4-93CB-6CD13E7CAC34}"/>
    <cellStyle name="Notas 78 2 2" xfId="20437" xr:uid="{512250D7-FC2B-45FF-B26F-3DEF522F2F2A}"/>
    <cellStyle name="Notas 78 3" xfId="5142" xr:uid="{1792B810-B653-4FFE-BDD4-A27A777C7C2B}"/>
    <cellStyle name="Notas 78 3 2" xfId="20438" xr:uid="{3029ED67-8A85-41C6-95A3-89FB61A925E7}"/>
    <cellStyle name="Notas 78 4" xfId="5143" xr:uid="{A08A0DCD-F2AB-4EEE-9DA8-1CA8FC867536}"/>
    <cellStyle name="Notas 78 4 2" xfId="20439" xr:uid="{748F74B7-0DB6-4892-A8A4-6E9DA852ADCC}"/>
    <cellStyle name="Notas 78 5" xfId="5144" xr:uid="{5804E861-74F8-4384-9293-9E3E07635FC9}"/>
    <cellStyle name="Notas 78 5 2" xfId="20440" xr:uid="{B4D7553D-9DDB-465E-8EB6-83DF24C37779}"/>
    <cellStyle name="Notas 78 6" xfId="5145" xr:uid="{58B4B664-DEBB-41F5-BCA4-10D60A6DBD0B}"/>
    <cellStyle name="Notas 78 6 2" xfId="20441" xr:uid="{1AAF61EE-EDFE-48BB-9E81-7ECA5FEC26B2}"/>
    <cellStyle name="Notas 78 7" xfId="5146" xr:uid="{42F0B993-7EE2-46F2-9429-FA11BEADED5E}"/>
    <cellStyle name="Notas 78 7 2" xfId="20442" xr:uid="{F899DE7B-5193-4C12-807A-530E853B3BBD}"/>
    <cellStyle name="Notas 78 8" xfId="19948" xr:uid="{3FBDF3A3-D3A4-4AAD-9E67-93F6B4F190FD}"/>
    <cellStyle name="Notas 79" xfId="538" xr:uid="{B4817474-9D68-4F9F-B1C7-081A365377E2}"/>
    <cellStyle name="Notas 79 2" xfId="19681" xr:uid="{F940DF6E-8D08-4BB6-B47F-D28A4EBAA2C7}"/>
    <cellStyle name="Notas 8" xfId="2998" xr:uid="{A9C10F9B-041B-4281-8D4E-0CB6524C84EE}"/>
    <cellStyle name="Notas 8 2" xfId="5147" xr:uid="{83E84230-DC60-40D7-B3C7-A8A9910985C2}"/>
    <cellStyle name="Notas 8 2 2" xfId="20443" xr:uid="{10E4C435-85AD-437F-B654-F249F853E1ED}"/>
    <cellStyle name="Notas 8 3" xfId="5148" xr:uid="{327EF8E7-546A-438A-B650-DDA43BE38606}"/>
    <cellStyle name="Notas 8 3 2" xfId="20444" xr:uid="{AC86D861-4D84-4F00-93DD-01617D5964A0}"/>
    <cellStyle name="Notas 8 4" xfId="5149" xr:uid="{7C71BE8B-ED44-4DFD-BD4A-364F75CF9BCA}"/>
    <cellStyle name="Notas 8 4 2" xfId="20445" xr:uid="{438E2A64-143C-4A54-938E-6E66993E968C}"/>
    <cellStyle name="Notas 8 5" xfId="5150" xr:uid="{1AC97ADB-C375-40DF-A899-864B7864A984}"/>
    <cellStyle name="Notas 8 5 2" xfId="20446" xr:uid="{B56DB7E6-B3D4-4009-B531-D1074C3FF737}"/>
    <cellStyle name="Notas 8 6" xfId="5151" xr:uid="{64F9EB8F-1C2A-47E8-B214-91417FF30027}"/>
    <cellStyle name="Notas 8 6 2" xfId="20447" xr:uid="{3FD906A3-CF92-4BC7-82FF-730700FFB747}"/>
    <cellStyle name="Notas 8 7" xfId="5152" xr:uid="{D0750DA6-ED8E-4F1F-AF17-9DE8BAC3260B}"/>
    <cellStyle name="Notas 8 7 2" xfId="20448" xr:uid="{D0959011-AEC0-43A5-AD8D-C53E8E0684C0}"/>
    <cellStyle name="Notas 8 8" xfId="19949" xr:uid="{46F904EA-0BD3-4059-B33F-F238036F443C}"/>
    <cellStyle name="Notas 80" xfId="5153" xr:uid="{CD7779DF-62CC-4A88-969E-8FAD5DFD0B2C}"/>
    <cellStyle name="Notas 80 2" xfId="20449" xr:uid="{265E6E86-C55E-465D-AC16-D794DCBE5D1A}"/>
    <cellStyle name="Notas 81" xfId="5154" xr:uid="{DF7B8A57-F2FC-4E69-A551-A7EB8E7A5272}"/>
    <cellStyle name="Notas 81 2" xfId="20450" xr:uid="{79E44B4A-F1EC-4291-A1FB-5F263992FEF2}"/>
    <cellStyle name="Notas 82" xfId="5155" xr:uid="{7FD8E0FC-72E2-4CFD-BFDA-EB7642B4B7D0}"/>
    <cellStyle name="Notas 82 2" xfId="20451" xr:uid="{5AE176A8-9C4A-4873-AABE-6F26915DA788}"/>
    <cellStyle name="Notas 83" xfId="5156" xr:uid="{F3BE00E4-5913-4A03-89B2-A86E1C9A19C8}"/>
    <cellStyle name="Notas 83 2" xfId="20452" xr:uid="{1AD34CB7-3DBE-40C8-A5F6-EA8A68F5C1D1}"/>
    <cellStyle name="Notas 84" xfId="5157" xr:uid="{17E3D626-B272-44D7-9138-E797A1605F43}"/>
    <cellStyle name="Notas 84 2" xfId="20453" xr:uid="{F03993BD-257A-4098-A689-B93DD469D54F}"/>
    <cellStyle name="Notas 85" xfId="8222" xr:uid="{5D4092FD-9A41-4F21-9BFF-C1BCF83E6A4E}"/>
    <cellStyle name="Notas 9" xfId="2999" xr:uid="{80BD1663-97F8-4BD3-A6E4-C77F6D65855A}"/>
    <cellStyle name="Notas 9 2" xfId="5158" xr:uid="{D62143AC-AFEA-4CF7-A6A8-7780C074CA62}"/>
    <cellStyle name="Notas 9 2 2" xfId="20454" xr:uid="{2D2B485C-3EF2-4D4A-A70A-0498F96CC084}"/>
    <cellStyle name="Notas 9 3" xfId="5159" xr:uid="{629990B5-73FC-480C-90CE-C7C40BC9C9B1}"/>
    <cellStyle name="Notas 9 3 2" xfId="20455" xr:uid="{221E2724-B605-4C40-AF93-41AB127D738E}"/>
    <cellStyle name="Notas 9 4" xfId="5160" xr:uid="{E6E7E781-6BB1-4208-9B48-93064747A5A7}"/>
    <cellStyle name="Notas 9 4 2" xfId="20456" xr:uid="{3EF9CB30-16EF-4561-959E-C117866AECA0}"/>
    <cellStyle name="Notas 9 5" xfId="5161" xr:uid="{A279B7B0-BCE5-44BF-9B49-0E800052051B}"/>
    <cellStyle name="Notas 9 5 2" xfId="20457" xr:uid="{0C8CBCBF-BA44-41A9-BEA2-74A966D69AE0}"/>
    <cellStyle name="Notas 9 6" xfId="5162" xr:uid="{20DCBFA6-41CC-4AF8-97AD-BCD7BB8D74BB}"/>
    <cellStyle name="Notas 9 6 2" xfId="20458" xr:uid="{1DA40E64-43FE-4AFA-9750-2D42BF2FE68E}"/>
    <cellStyle name="Notas 9 7" xfId="5163" xr:uid="{EFB63600-D53F-4A3C-A9B4-8426F78BEB07}"/>
    <cellStyle name="Notas 9 7 2" xfId="20459" xr:uid="{52DB882E-DA0C-4AF0-A840-2478950BC5AB}"/>
    <cellStyle name="Notas 9 8" xfId="19950" xr:uid="{F5FA7C0F-B897-4B6E-8578-9595BE478C8A}"/>
    <cellStyle name="Note" xfId="11881" xr:uid="{1406555B-D0FA-4B18-B7AB-D09B985DB736}"/>
    <cellStyle name="Output" xfId="11826" xr:uid="{986D63EB-E730-4D95-AA76-69B3209B7AA6}"/>
    <cellStyle name="Output 10" xfId="11465" xr:uid="{68B6BA57-CFDC-4E27-BD03-38BB85B652FE}"/>
    <cellStyle name="Output 11" xfId="11425" xr:uid="{4B077EDA-CD65-4224-828B-45FD7603A3F6}"/>
    <cellStyle name="Output 12" xfId="11670" xr:uid="{E285E1EF-FB7C-4343-A0A2-71EC8AA81096}"/>
    <cellStyle name="Output 13" xfId="11746" xr:uid="{A7A1DB80-1EE6-4BD0-96D3-7578B702F435}"/>
    <cellStyle name="Output 14" xfId="12723" xr:uid="{F3825CD7-7A97-4D6B-8F01-C69CE0BD11BA}"/>
    <cellStyle name="Output 15" xfId="12327" xr:uid="{7CACC40A-8296-4656-B134-494CA5A26B53}"/>
    <cellStyle name="Output 16" xfId="11371" xr:uid="{D8293F60-DB7A-4CB4-8EF1-91D76DE4870C}"/>
    <cellStyle name="Output 17" xfId="11657" xr:uid="{E7F5D16B-2782-4392-9245-4B7B07206F00}"/>
    <cellStyle name="Output 18" xfId="11906" xr:uid="{11B96A9F-F6BC-44F4-B81C-946D4318FE56}"/>
    <cellStyle name="Output 19" xfId="12547" xr:uid="{F9E67CA1-4EF8-4405-AC11-935122FAD1B1}"/>
    <cellStyle name="Output 2" xfId="13203" xr:uid="{1FEEA595-A3D6-421D-AAA4-B3ADF766D223}"/>
    <cellStyle name="Output 20" xfId="11094" xr:uid="{5A8587DC-76EF-42E5-9721-BB04A076FCC7}"/>
    <cellStyle name="Output 21" xfId="12502" xr:uid="{96715526-8328-4E4F-89BB-8FE938A6C7C0}"/>
    <cellStyle name="Output 22" xfId="12716" xr:uid="{8DDCDDE3-B435-4821-A1D2-1E0573052C5D}"/>
    <cellStyle name="Output 23" xfId="12600" xr:uid="{A06968FB-84FA-4A4A-A035-40FE81EDDEB4}"/>
    <cellStyle name="Output 3" xfId="11288" xr:uid="{915A34A1-834E-4503-A06A-EC70F9C5C84C}"/>
    <cellStyle name="Output 4" xfId="11344" xr:uid="{AC308697-562B-43DD-94B9-C1711BE7EDBD}"/>
    <cellStyle name="Output 5" xfId="11394" xr:uid="{2BF8FCE4-E561-42BE-8CC8-3B3C88365601}"/>
    <cellStyle name="Output 6" xfId="12818" xr:uid="{737B50B5-D6D2-4859-A9F4-B049855D629D}"/>
    <cellStyle name="Output 7" xfId="11827" xr:uid="{C6CCC21A-9258-4AB6-9744-4C3C8B903313}"/>
    <cellStyle name="Output 8" xfId="10919" xr:uid="{EF9E8AAE-BC32-443C-8233-D01B3AC32F97}"/>
    <cellStyle name="Output 9" xfId="11828" xr:uid="{1EE62DC3-F004-4277-9891-A7589ECE1D69}"/>
    <cellStyle name="Percent" xfId="3" xr:uid="{B80E4FBB-9796-4A6B-B196-763B5D954CEC}"/>
    <cellStyle name="Percent [2]" xfId="11944" xr:uid="{68579D7D-31BE-48BD-9215-FEAF75B18173}"/>
    <cellStyle name="Percent 2" xfId="12776" xr:uid="{FF31B331-28D4-4CB2-BBCF-9870C63E43D2}"/>
    <cellStyle name="Percent 3" xfId="12553" xr:uid="{5A06A659-9BE7-49F3-A435-4CCC31253B33}"/>
    <cellStyle name="Percent_laroux" xfId="11070" xr:uid="{4A3C432E-CE6A-4C20-947D-16EFDE87F3D1}"/>
    <cellStyle name="Porcentaje 2" xfId="50" xr:uid="{D0685A3E-BF8C-4616-8E81-CB1DF1779745}"/>
    <cellStyle name="Porcentaje 2 10" xfId="11830" xr:uid="{8DEFD2C6-DFDB-49C3-99A8-67CE80302F91}"/>
    <cellStyle name="Porcentaje 2 11" xfId="11876" xr:uid="{167FA703-F387-408F-8556-C597C499461E}"/>
    <cellStyle name="Porcentaje 2 12" xfId="11831" xr:uid="{233C83D3-36D2-49D6-8FEA-D2F02AC62C8F}"/>
    <cellStyle name="Porcentaje 2 13" xfId="11238" xr:uid="{2D01A9D9-DFAF-4395-90CA-0552DFCCD17C}"/>
    <cellStyle name="Porcentaje 2 14" xfId="11252" xr:uid="{23377C77-697C-4285-B7F4-C8D9A5630F90}"/>
    <cellStyle name="Porcentaje 2 15" xfId="13165" xr:uid="{519F7970-C9F1-4399-926B-108063C6A5D1}"/>
    <cellStyle name="Porcentaje 2 16" xfId="12777" xr:uid="{C291A827-8A00-49DB-93A3-E0C08105E633}"/>
    <cellStyle name="Porcentaje 2 17" xfId="12803" xr:uid="{D3E3BCA3-5E5E-45AA-89AD-5CB72AFBCA28}"/>
    <cellStyle name="Porcentaje 2 18" xfId="12577" xr:uid="{143DC054-52C5-47BD-BEA2-6ABA7FF99FA0}"/>
    <cellStyle name="Porcentaje 2 19" xfId="11832" xr:uid="{F237983F-AD69-4A61-B204-76995DAC6FDB}"/>
    <cellStyle name="Porcentaje 2 2" xfId="154" xr:uid="{18F76C21-821A-428D-A4DB-1B6AD85915B2}"/>
    <cellStyle name="Porcentaje 2 2 2" xfId="3522" xr:uid="{77C393CD-AFB1-4B4E-9D1C-EFF5570C6D69}"/>
    <cellStyle name="Porcentaje 2 2 2 2" xfId="8223" xr:uid="{EE771BB9-5C0B-4678-8171-7814E2B0FA03}"/>
    <cellStyle name="Porcentaje 2 2 2 2 2" xfId="9274" xr:uid="{C2D4A286-166B-4CD1-A086-0833E96D0CC2}"/>
    <cellStyle name="Porcentaje 2 2 2 2 2 2" xfId="19326" xr:uid="{17179EDC-9AE5-4EC2-9E32-F5DDAAE0A08C}"/>
    <cellStyle name="Porcentaje 2 2 2 2 3" xfId="16777" xr:uid="{41B0DDFE-CC29-4EB9-BA67-10F5145474AD}"/>
    <cellStyle name="Porcentaje 2 2 2 2 4" xfId="14892" xr:uid="{8147FF88-37EC-4161-8386-63B7CE02F133}"/>
    <cellStyle name="Porcentaje 2 2 2 3" xfId="8826" xr:uid="{857FD65E-C96A-42A8-B6DA-6918C6E3BA46}"/>
    <cellStyle name="Porcentaje 2 2 2 3 2" xfId="18878" xr:uid="{2009FCF0-E3D3-4B1B-978B-99608FA50830}"/>
    <cellStyle name="Porcentaje 2 2 2 3 3" xfId="16257" xr:uid="{4693F3B7-6E1D-4326-BF83-2D935885A622}"/>
    <cellStyle name="Porcentaje 2 2 2 4" xfId="16227" xr:uid="{0AEC57EE-6363-4146-B2A0-E6AF28D097A7}"/>
    <cellStyle name="Porcentaje 2 2 2 4 2" xfId="16337" xr:uid="{5E029D71-7AB9-45CE-B494-DC6B51E0FF63}"/>
    <cellStyle name="Porcentaje 2 2 2 5" xfId="15287" xr:uid="{9BDBA2CD-5AA5-4113-A764-C3FC1DCE2A12}"/>
    <cellStyle name="Porcentaje 2 2 3" xfId="8224" xr:uid="{E2B2E7E3-543E-4A85-B24C-D0E4F82ED57A}"/>
    <cellStyle name="Porcentaje 2 2 3 2" xfId="9126" xr:uid="{30F59ACA-A08B-42F3-A691-48FB4F50F2B3}"/>
    <cellStyle name="Porcentaje 2 2 3 2 2" xfId="19178" xr:uid="{68C4D805-6D49-46DF-B9E6-0D1F49B4719C}"/>
    <cellStyle name="Porcentaje 2 2 3 3" xfId="16629" xr:uid="{CD051CA1-8B42-453D-9904-DE95AC36E55A}"/>
    <cellStyle name="Porcentaje 2 2 3 4" xfId="15017" xr:uid="{B87F3498-5A2E-4952-851E-B8F727CA9252}"/>
    <cellStyle name="Porcentaje 2 2 4" xfId="8225" xr:uid="{B12088F2-7626-4BAC-BB40-A72AF557CB76}"/>
    <cellStyle name="Porcentaje 2 2 4 2" xfId="17660" xr:uid="{8CFCCC73-DF0D-42C9-921E-A7F092B5AA9A}"/>
    <cellStyle name="Porcentaje 2 2 4 3" xfId="14184" xr:uid="{8ADD303E-65DF-45CA-A14C-9C3E38D333D1}"/>
    <cellStyle name="Porcentaje 2 2 5" xfId="8226" xr:uid="{C290530D-C165-486C-A15B-2FA6A4D349D1}"/>
    <cellStyle name="Porcentaje 2 2 5 2" xfId="18272" xr:uid="{86833C4B-1657-4242-A4DE-7E3D9633BFF3}"/>
    <cellStyle name="Porcentaje 2 2 5 3" xfId="14047" xr:uid="{78EA72D8-2F5E-42BB-BE56-968D2C188AF4}"/>
    <cellStyle name="Porcentaje 2 2 6" xfId="8398" xr:uid="{7ECD4771-F7B5-47D2-A43B-02BE3D5CBE11}"/>
    <cellStyle name="Porcentaje 2 2 6 2" xfId="18450" xr:uid="{425A19CE-576E-446E-B093-D538B283FAF5}"/>
    <cellStyle name="Porcentaje 2 2 7" xfId="10145" xr:uid="{066B5911-981A-4630-8C7D-67F911C72196}"/>
    <cellStyle name="Porcentaje 2 2 8" xfId="10836" xr:uid="{1074A9C7-4297-472C-B209-1774F39EAC71}"/>
    <cellStyle name="Porcentaje 2 2 9" xfId="11833" xr:uid="{8409EAA9-E2D5-49D0-9800-A5A3839D9678}"/>
    <cellStyle name="Porcentaje 2 2 9 2" xfId="16066" xr:uid="{45F2C0C7-AB3A-4BB2-AC54-EEB44680CCCB}"/>
    <cellStyle name="Porcentaje 2 2 9 3" xfId="20627" xr:uid="{02EBF257-F23B-45A8-BFFC-FAB7F3C55141}"/>
    <cellStyle name="Porcentaje 2 20" xfId="11426" xr:uid="{6D4A5259-D085-4ED9-AF15-0D5D09B09B5F}"/>
    <cellStyle name="Porcentaje 2 21" xfId="12586" xr:uid="{A544A2E4-07E1-4EDD-AFA6-54BEEC793B11}"/>
    <cellStyle name="Porcentaje 2 22" xfId="11747" xr:uid="{36EECA91-ACBB-41C5-8F85-E4949E6F1BBD}"/>
    <cellStyle name="Porcentaje 2 23" xfId="11834" xr:uid="{22A10A75-CFAC-4894-9BE5-5FDC95733867}"/>
    <cellStyle name="Porcentaje 2 24" xfId="13740" xr:uid="{8FC02D14-F2E8-477B-BCDF-8C563D881046}"/>
    <cellStyle name="Porcentaje 2 25" xfId="12548" xr:uid="{C7D87D73-78CC-4513-AD3E-2175A322149E}"/>
    <cellStyle name="Porcentaje 2 26" xfId="11093" xr:uid="{F1294D04-A199-4544-B1CB-7C1B87741633}"/>
    <cellStyle name="Porcentaje 2 27" xfId="11835" xr:uid="{92E2C7D6-DBEB-458F-84AE-338394D132F7}"/>
    <cellStyle name="Porcentaje 2 28" xfId="11836" xr:uid="{E2EF51F1-16FB-4683-917C-2FB281AE0F00}"/>
    <cellStyle name="Porcentaje 2 29" xfId="11713" xr:uid="{D57C9EC7-F8C0-49F2-BEEA-07136AFD0185}"/>
    <cellStyle name="Porcentaje 2 3" xfId="157" xr:uid="{FF1BE792-99B1-421D-9AB7-4B43E7F16818}"/>
    <cellStyle name="Porcentaje 2 3 2" xfId="5164" xr:uid="{E2528E21-76EC-450B-B767-C78D6682467B}"/>
    <cellStyle name="Porcentaje 2 3 2 2" xfId="8227" xr:uid="{6690EE0E-A032-4ABC-AB2A-13F8706C8C9C}"/>
    <cellStyle name="Porcentaje 2 3 2 2 2" xfId="9551" xr:uid="{D8E74DB8-E1E7-4DA8-B81E-969365C5D09F}"/>
    <cellStyle name="Porcentaje 2 3 2 2 2 2" xfId="19603" xr:uid="{B6903259-B9FC-4CB8-8D3A-6715DD2E32CF}"/>
    <cellStyle name="Porcentaje 2 3 2 2 3" xfId="17054" xr:uid="{A3FCAEC6-DFFE-442C-96D0-F6D8F3E5276D}"/>
    <cellStyle name="Porcentaje 2 3 2 2 4" xfId="14818" xr:uid="{F97CF68B-CC95-43BE-953E-29883C11D348}"/>
    <cellStyle name="Porcentaje 2 3 2 3" xfId="9103" xr:uid="{D513F579-95BF-4F8E-9703-0F6CDFBC5165}"/>
    <cellStyle name="Porcentaje 2 3 2 3 2" xfId="19155" xr:uid="{04BF419C-3210-4581-BAF8-5620B067779A}"/>
    <cellStyle name="Porcentaje 2 3 2 3 3" xfId="16258" xr:uid="{2D6027C3-CCDE-4136-894B-93B4B7B14437}"/>
    <cellStyle name="Porcentaje 2 3 2 4" xfId="16215" xr:uid="{7208D291-A22B-4565-938A-79EB126810B6}"/>
    <cellStyle name="Porcentaje 2 3 2 4 2" xfId="16608" xr:uid="{3A51A682-8A3C-4937-B5D8-10398C471A81}"/>
    <cellStyle name="Porcentaje 2 3 2 5" xfId="15037" xr:uid="{1DD2ACAB-EA93-453B-BD77-BFB9DCD4A810}"/>
    <cellStyle name="Porcentaje 2 3 3" xfId="8228" xr:uid="{3DE923E6-DA0A-41FD-8A32-3A9AD5A7E0AD}"/>
    <cellStyle name="Porcentaje 2 3 3 2" xfId="15015" xr:uid="{B55F183F-2B69-41AD-8817-DF439CB6DC8B}"/>
    <cellStyle name="Porcentaje 2 3 3 3" xfId="15465" xr:uid="{BE74F7D6-485F-42A6-81B5-2B88C00428C7}"/>
    <cellStyle name="Porcentaje 2 3 4" xfId="8229" xr:uid="{718F2EF1-A902-4FA9-A784-0182DF5A9073}"/>
    <cellStyle name="Porcentaje 2 3 4 2" xfId="17661" xr:uid="{726636C1-46CD-41FC-8160-DD40AC5B9A4A}"/>
    <cellStyle name="Porcentaje 2 3 5" xfId="8230" xr:uid="{30A734EE-6635-4CD4-910B-CB4014B0B6B3}"/>
    <cellStyle name="Porcentaje 2 3 5 2" xfId="18273" xr:uid="{AE2876C1-9B11-4DC1-AA65-567DB2A4F188}"/>
    <cellStyle name="Porcentaje 2 3 6" xfId="8675" xr:uid="{7DA6F103-F4B3-4924-98B0-75773074C06E}"/>
    <cellStyle name="Porcentaje 2 3 6 2" xfId="18727" xr:uid="{13E87262-695C-4153-AD18-D34B02EB9433}"/>
    <cellStyle name="Porcentaje 2 3 7" xfId="10146" xr:uid="{98CAFDE0-257B-478A-86A3-EDDAE18756C7}"/>
    <cellStyle name="Porcentaje 2 3 8" xfId="10837" xr:uid="{F65A2F2C-D6CE-4CD1-8C3D-F476F63754FE}"/>
    <cellStyle name="Porcentaje 2 3 9" xfId="15836" xr:uid="{3440A6B2-0185-4F0F-A5EA-66C422E98BCB}"/>
    <cellStyle name="Porcentaje 2 30" xfId="12778" xr:uid="{24BF8B0F-A31F-4C9E-86D5-17D495A17D69}"/>
    <cellStyle name="Porcentaje 2 31" xfId="12807" xr:uid="{192B2F77-8756-456B-A95B-76EE084772F1}"/>
    <cellStyle name="Porcentaje 2 32" xfId="12575" xr:uid="{F50677A1-D0C8-450A-ADEE-4F1B97FAABD4}"/>
    <cellStyle name="Porcentaje 2 33" xfId="11253" xr:uid="{A2E3400B-F600-4614-B0F9-39C8D40F46FD}"/>
    <cellStyle name="Porcentaje 2 34" xfId="11837" xr:uid="{33DD828A-596B-4F44-B53D-7F59772BABFE}"/>
    <cellStyle name="Porcentaje 2 35" xfId="11130" xr:uid="{7BA0A755-9671-4E27-B1FB-63853ABE66ED}"/>
    <cellStyle name="Porcentaje 2 36" xfId="12779" xr:uid="{2FC52DDF-79AA-42DF-AC01-6D8484751DAB}"/>
    <cellStyle name="Porcentaje 2 37" xfId="11001" xr:uid="{9B299595-F5D8-4152-9E3D-B672A3B50084}"/>
    <cellStyle name="Porcentaje 2 38" xfId="11071" xr:uid="{28D02FF9-29E1-462E-BFBB-636D4AE71155}"/>
    <cellStyle name="Porcentaje 2 39" xfId="11838" xr:uid="{C002F9D6-6287-42B4-AF6E-FA47D6D9AFAE}"/>
    <cellStyle name="Porcentaje 2 4" xfId="142" xr:uid="{2D28DA6B-3CE4-4917-ADC0-0CE6098130B2}"/>
    <cellStyle name="Porcentaje 2 4 2" xfId="8231" xr:uid="{6E93BB55-2950-4D7E-AFBD-6A77D1B57D30}"/>
    <cellStyle name="Porcentaje 2 4 2 2" xfId="17382" xr:uid="{1DDB15B1-A4A6-4936-ACFD-56479CC4CB68}"/>
    <cellStyle name="Porcentaje 2 4 2 3" xfId="14794" xr:uid="{486E7A5E-1266-43ED-9646-0CADC88F17E0}"/>
    <cellStyle name="Porcentaje 2 4 3" xfId="8232" xr:uid="{8A5B4242-578C-4CA4-926D-440A839CFE66}"/>
    <cellStyle name="Porcentaje 2 4 3 2" xfId="17996" xr:uid="{CD7102C1-8763-4729-B996-3CDA0DCD5606}"/>
    <cellStyle name="Porcentaje 2 4 4" xfId="9123" xr:uid="{1A6B513E-D7BC-4025-9E89-EA7B6FB7CFF1}"/>
    <cellStyle name="Porcentaje 2 4 4 2" xfId="19175" xr:uid="{418B48F3-9FF8-4EAA-9239-7BDAC1791BC9}"/>
    <cellStyle name="Porcentaje 2 4 5" xfId="9872" xr:uid="{96F8DEA2-A011-4C44-AF79-62B0C186206E}"/>
    <cellStyle name="Porcentaje 2 4 6" xfId="10838" xr:uid="{B0BAB7C0-032B-4E59-8E33-81C92A955CC4}"/>
    <cellStyle name="Porcentaje 2 4 7" xfId="11839" xr:uid="{E27C3BC3-F9F7-4D20-8401-D114301FB108}"/>
    <cellStyle name="Porcentaje 2 4 7 2" xfId="15020" xr:uid="{45F75F4A-74D4-44EC-949C-99DDD63FE464}"/>
    <cellStyle name="Porcentaje 2 4 7 3" xfId="20628" xr:uid="{AB13DA59-2F26-4AFA-BB04-2D15731EA8EB}"/>
    <cellStyle name="Porcentaje 2 40" xfId="11427" xr:uid="{7F8496C8-08AE-4682-8CBC-BCEB3941165D}"/>
    <cellStyle name="Porcentaje 2 41" xfId="11840" xr:uid="{B0477571-2711-4953-A594-3B3E27A4A4A3}"/>
    <cellStyle name="Porcentaje 2 42" xfId="11748" xr:uid="{F0EA1C2B-2F3F-4CCA-B70F-1EA9D1CF83AC}"/>
    <cellStyle name="Porcentaje 2 43" xfId="11841" xr:uid="{F2374FE2-E483-4849-A8AC-0A8C6EBAD0BA}"/>
    <cellStyle name="Porcentaje 2 44" xfId="13955" xr:uid="{46C37B25-677C-4AF0-BA56-355BFC7AAFA8}"/>
    <cellStyle name="Porcentaje 2 45" xfId="12780" xr:uid="{1089CA4D-5377-4079-B397-EE0A489BD827}"/>
    <cellStyle name="Porcentaje 2 46" xfId="11357" xr:uid="{E53EBB7E-409B-42AB-A64E-26F8B1E57D3B}"/>
    <cellStyle name="Porcentaje 2 47" xfId="11829" xr:uid="{CB8F84BE-66EB-4034-A34E-3AC35E8C01E0}"/>
    <cellStyle name="Porcentaje 2 48" xfId="12331" xr:uid="{5F6B109C-7755-4A1F-92C1-1905281AB1C7}"/>
    <cellStyle name="Porcentaje 2 5" xfId="8233" xr:uid="{6F1063AF-DB8B-47E9-B36D-0D2148A9BEF9}"/>
    <cellStyle name="Porcentaje 2 5 2" xfId="10156" xr:uid="{07650F1A-C3DC-46B0-B4E1-90FD3858E223}"/>
    <cellStyle name="Porcentaje 2 5 2 2" xfId="19658" xr:uid="{4D7309B7-77CB-46FA-83EE-DE5109250CCC}"/>
    <cellStyle name="Porcentaje 2 5 3" xfId="10244" xr:uid="{7101AF31-A3D8-45BF-A5D6-39CAE45EFE48}"/>
    <cellStyle name="Porcentaje 2 5 4" xfId="17236" xr:uid="{F7442C32-6660-40D6-8113-74C82A658ACD}"/>
    <cellStyle name="Porcentaje 2 5 5" xfId="15492" xr:uid="{4A6DD20A-0631-4155-8587-BE2B4D706599}"/>
    <cellStyle name="Porcentaje 2 6" xfId="8234" xr:uid="{15FBA5FB-B3EF-4BD3-9B36-8006ECA10835}"/>
    <cellStyle name="Porcentaje 2 6 2" xfId="11696" xr:uid="{32A180FA-DA60-4BAA-8572-3F0D70DB9F2F}"/>
    <cellStyle name="Porcentaje 2 6 2 2" xfId="17845" xr:uid="{2F53D97A-1F39-4FDF-A5D1-AB2CB8072677}"/>
    <cellStyle name="Porcentaje 2 6 2 3" xfId="20587" xr:uid="{D4DB6903-525B-493E-9EDE-0449970C808D}"/>
    <cellStyle name="Porcentaje 2 7" xfId="9726" xr:uid="{6545B94B-6568-4344-899B-641E01C967C4}"/>
    <cellStyle name="Porcentaje 2 7 2" xfId="10933" xr:uid="{992D8794-FB3E-45EE-90E4-DF4C9E3830C5}"/>
    <cellStyle name="Porcentaje 2 8" xfId="10383" xr:uid="{99BE94FF-A8B4-4E66-96C4-C16A51B2CC43}"/>
    <cellStyle name="Porcentaje 2 8 2" xfId="10928" xr:uid="{8D1A567F-1965-4506-9818-F720D282106E}"/>
    <cellStyle name="Porcentaje 2 9" xfId="12705" xr:uid="{68F0AC16-7E52-451F-A82A-DB14BF037C4F}"/>
    <cellStyle name="Porcentaje 3" xfId="147" xr:uid="{897895E5-2DBD-46A2-8119-FD945C48B152}"/>
    <cellStyle name="Porcentaje 3 2" xfId="151" xr:uid="{64A420E3-ED10-4C1C-95BB-5B5F42914301}"/>
    <cellStyle name="Porcentaje 3 2 2" xfId="478" xr:uid="{4CAA401D-B649-4B24-A253-CC3EBDB1B463}"/>
    <cellStyle name="Porcentaje 3 2 2 2" xfId="10201" xr:uid="{ADCE4E1D-4F26-4A2F-852F-5340727F5FB8}"/>
    <cellStyle name="Porcentaje 3 2 3" xfId="8235" xr:uid="{AD8E5590-CE72-4F00-AD8C-3F417B722DAF}"/>
    <cellStyle name="Porcentaje 3 2 3 2" xfId="20468" xr:uid="{1A966457-CEAE-4624-ACF1-8A49C4B7F596}"/>
    <cellStyle name="Porcentaje 3 3" xfId="428" xr:uid="{6AF0870F-1DB9-40F7-8B92-7F0DE2B1DD5E}"/>
    <cellStyle name="Porcentaje 3 3 2" xfId="10211" xr:uid="{48598E45-9420-4E9C-BFDD-2E9028091848}"/>
    <cellStyle name="Porcentaje 3 4" xfId="8236" xr:uid="{E0FEE48A-A518-45C1-A1F8-C762FDD93AF5}"/>
    <cellStyle name="Porcentaje 4" xfId="427" xr:uid="{20E2B752-5554-40A7-AAB3-5E27889877D5}"/>
    <cellStyle name="Porcentaje 4 2" xfId="5165" xr:uid="{CFFCF29E-A2A6-4349-8D39-AAE6D7DE58CB}"/>
    <cellStyle name="Porcentaje 4 2 2" xfId="20460" xr:uid="{B919D718-31EC-4564-B8DC-ACCD3A415BD3}"/>
    <cellStyle name="Porcentaje 4 3" xfId="10164" xr:uid="{9CB64FD4-16A4-4527-8390-4CBC3110A0EB}"/>
    <cellStyle name="Porcentaje 4 3 2" xfId="10871" xr:uid="{2AC93671-DC59-40ED-898D-DACF815275CC}"/>
    <cellStyle name="Porcentaje 5" xfId="483" xr:uid="{1817C8E5-1226-4006-B4A0-ECC13655EF60}"/>
    <cellStyle name="Porcentaje 5 2" xfId="8237" xr:uid="{3F527934-87DB-40C9-9268-07768623087B}"/>
    <cellStyle name="Porcentaje 5 2 2" xfId="8688" xr:uid="{5BA4CF49-FE47-43CC-8296-A968F8221E1F}"/>
    <cellStyle name="Porcentaje 5 2 2 2" xfId="18740" xr:uid="{825B6549-DCCE-4E1C-AD83-7585DC7A6F8C}"/>
    <cellStyle name="Porcentaje 5 2 3" xfId="16328" xr:uid="{72B4E205-C6D2-46BE-995B-9BC8C81FC7F7}"/>
    <cellStyle name="Porcentaje 5 2 4" xfId="15825" xr:uid="{F2354C32-89E6-4378-A25C-5C124B745B6B}"/>
    <cellStyle name="Porcentaje 5 3" xfId="8238" xr:uid="{6897373F-60A0-48E9-AE54-A8F70D0E3FCE}"/>
    <cellStyle name="Porcentaje 5 3 2" xfId="9136" xr:uid="{F851C48C-6403-45B3-A811-2D0503C5D0FD}"/>
    <cellStyle name="Porcentaje 5 3 2 2" xfId="19188" xr:uid="{BD45A612-F568-40D3-9DBD-3D369D9B511B}"/>
    <cellStyle name="Porcentaje 5 3 3" xfId="16638" xr:uid="{350C6F81-CF3C-480B-8227-C143D2F9977B}"/>
    <cellStyle name="Porcentaje 5 3 4" xfId="15008" xr:uid="{DD2733CD-D0DB-4B32-8AB6-1757111266A8}"/>
    <cellStyle name="Porcentaje 5 4" xfId="8239" xr:uid="{D0A36EB9-6066-4C41-8C27-6ADA168AB521}"/>
    <cellStyle name="Porcentaje 5 4 2" xfId="14548" xr:uid="{8A92E399-99E5-4972-B435-D369A2914801}"/>
    <cellStyle name="Porcentaje 5 4 3" xfId="16232" xr:uid="{B18771BC-E9FB-4250-821D-5C37DC4613D1}"/>
    <cellStyle name="Porcentaje 5 5" xfId="8260" xr:uid="{E733BECC-A551-4A5B-AD60-01EA08B6DE8F}"/>
    <cellStyle name="Porcentaje 5 5 2" xfId="18312" xr:uid="{CF1835F8-A7CD-43C2-A828-F9013BD0DAA7}"/>
    <cellStyle name="Porcentaje 5 5 3" xfId="14046" xr:uid="{194153EA-B6B1-4446-94AD-B1F66B4B0B16}"/>
    <cellStyle name="Porcentaje 5 6" xfId="16291" xr:uid="{1BF26A64-8D0B-4979-BB56-C19850CB6FBF}"/>
    <cellStyle name="Porcentaje 5 7" xfId="15446" xr:uid="{97BF818C-9687-4F9A-851B-35396AFFA98A}"/>
    <cellStyle name="Porcentaje 6" xfId="3531" xr:uid="{FBA4CD00-4F51-4292-B663-2F19C5B0416E}"/>
    <cellStyle name="Porcentaje 6 2" xfId="8240" xr:uid="{B3334783-22D6-4C3F-AD4F-AC0878FD7405}"/>
    <cellStyle name="Porcentaje 6 3" xfId="10904" xr:uid="{9F1E3FBB-88F9-4759-B53A-883A164F5E96}"/>
    <cellStyle name="Porcentaje 7" xfId="8241" xr:uid="{FBD262D6-F63A-4C97-979C-CEA519891689}"/>
    <cellStyle name="Porcentaje 7 2" xfId="17077" xr:uid="{8F92F079-A4C1-46E6-939C-2FAD98B24739}"/>
    <cellStyle name="Porcentaje 8" xfId="8242" xr:uid="{89700FD2-D755-4AE7-A55B-E6ABE8793387}"/>
    <cellStyle name="Porcentaje 8 2" xfId="17689" xr:uid="{F5B94602-FDDA-4270-8663-53DD60524B82}"/>
    <cellStyle name="Porcentaje 9" xfId="9576" xr:uid="{0C0C7572-FE62-47A6-ACFD-5B6522B8102B}"/>
    <cellStyle name="Porcentual 2" xfId="65" xr:uid="{311B3978-F149-4EB6-A08F-0665CA1EF004}"/>
    <cellStyle name="Porcentual 2 2" xfId="6029" xr:uid="{06FC0EEB-B58D-4CC2-B831-C7115499BECD}"/>
    <cellStyle name="Porcentual 2 2 2" xfId="13777" xr:uid="{83C85F2F-3F9F-4891-9354-ACCA09FD5C03}"/>
    <cellStyle name="Porcentual 2 2 3" xfId="11907" xr:uid="{46FC2E29-A4BB-4D50-9B19-3A920B96B9F5}"/>
    <cellStyle name="Porcentual 2 3" xfId="496" xr:uid="{9248A3B8-376A-4CD6-AFEB-9E16564E5793}"/>
    <cellStyle name="Porcentual 2 3 10" xfId="12549" xr:uid="{B3A79F51-A022-46EF-9FE9-BCB5F5D44A9A}"/>
    <cellStyle name="Porcentual 2 3 11" xfId="14012" xr:uid="{87714057-D901-473A-B3B1-4B8B9F1ECB63}"/>
    <cellStyle name="Porcentual 2 3 12" xfId="11884" xr:uid="{3786F0A9-FCE2-4D82-8E70-CC2787B5E88A}"/>
    <cellStyle name="Porcentual 2 3 13" xfId="11324" xr:uid="{567F5AFC-B815-4486-B146-AD6E2E138F25}"/>
    <cellStyle name="Porcentual 2 3 14" xfId="11328" xr:uid="{915F445E-E150-4DE8-98A1-8681E32D9FA7}"/>
    <cellStyle name="Porcentual 2 3 15" xfId="11714" xr:uid="{CEA910D5-E272-4674-8CA8-7653067759F8}"/>
    <cellStyle name="Porcentual 2 3 16" xfId="12027" xr:uid="{402F67FD-AC66-44DB-B517-4A5B84CD75C2}"/>
    <cellStyle name="Porcentual 2 3 17" xfId="12781" xr:uid="{DD40DF7E-AB67-48C8-809B-86C5E9479B1C}"/>
    <cellStyle name="Porcentual 2 3 18" xfId="11396" xr:uid="{309A0C1C-634F-4A37-B5AB-B3381CD5CEE0}"/>
    <cellStyle name="Porcentual 2 3 19" xfId="11043" xr:uid="{F96B251E-5C72-40C8-83C5-318B9DE46DFF}"/>
    <cellStyle name="Porcentual 2 3 2" xfId="10999" xr:uid="{23A57865-AAEF-4AAE-9880-AC94383F7B44}"/>
    <cellStyle name="Porcentual 2 3 20" xfId="11468" xr:uid="{0B0F3EB6-0EAF-4F8A-903D-A158286BB22D}"/>
    <cellStyle name="Porcentual 2 3 21" xfId="11131" xr:uid="{B5D0F3AD-CE72-4CB8-8608-C3C2C12677F4}"/>
    <cellStyle name="Porcentual 2 3 22" xfId="12782" xr:uid="{4197D444-0BEF-4D55-B7C9-E7DC894014CE}"/>
    <cellStyle name="Porcentual 2 3 23" xfId="11945" xr:uid="{A9C96A70-548A-430C-BAFB-2C919208DDAB}"/>
    <cellStyle name="Porcentual 2 3 24" xfId="11908" xr:uid="{E2F546DF-5654-4364-8542-60981EA0CA55}"/>
    <cellStyle name="Porcentual 2 3 3" xfId="11072" xr:uid="{D41B549E-9163-4A65-9006-5E5E14B50C62}"/>
    <cellStyle name="Porcentual 2 3 4" xfId="11132" xr:uid="{459B1A25-61E5-471D-8034-CB9C2201E4C1}"/>
    <cellStyle name="Porcentual 2 3 5" xfId="11133" xr:uid="{0B38A59B-6B3F-4A9D-BD7D-A51ABBE3AEF1}"/>
    <cellStyle name="Porcentual 2 3 6" xfId="12813" xr:uid="{DEDD22FB-5C7C-4EB5-932C-F7881287BF38}"/>
    <cellStyle name="Porcentual 2 3 7" xfId="12587" xr:uid="{1C9D5328-7A06-4EA6-A40B-7FA9BBC201FE}"/>
    <cellStyle name="Porcentual 2 3 8" xfId="11225" xr:uid="{3F3F8DF9-5E33-42DC-BE2E-C5BF04A45C27}"/>
    <cellStyle name="Porcentual 2 3 9" xfId="12724" xr:uid="{F20DCD85-4619-48FF-88B1-443A6A8E46CD}"/>
    <cellStyle name="Porcentual 2 4" xfId="8243" xr:uid="{0282C712-245D-4BA5-BD04-AF44BD74BA34}"/>
    <cellStyle name="Porcentual 2 4 2" xfId="12328" xr:uid="{58C642C2-2CF4-45E3-B24C-A62D7EF9F236}"/>
    <cellStyle name="Porcentual 2 5" xfId="12393" xr:uid="{A81B3634-BD48-4762-A52C-AC9CC7426CAC}"/>
    <cellStyle name="Porcentual 2 6" xfId="11946" xr:uid="{593EAFD0-2C28-4068-96B3-EFC5D63A9D5A}"/>
    <cellStyle name="Porcentual 3" xfId="66" xr:uid="{A4CE6F87-46E2-4C31-B521-C22E2100FF70}"/>
    <cellStyle name="Porcentual 3 2" xfId="85" xr:uid="{C0D13E7F-94E6-4141-A984-D7F6E95F0B9A}"/>
    <cellStyle name="Porcentual 3 2 2" xfId="12725" xr:uid="{6749F0FA-EB3B-4002-9F7A-7BF7D228B7A2}"/>
    <cellStyle name="Porcentual 3 2 3" xfId="11329" xr:uid="{BCEB5D2C-393E-4D19-AD4B-7E61A29950A6}"/>
    <cellStyle name="Porcentual 3 3" xfId="9116" xr:uid="{39991998-EB69-44D1-8DEB-A75DAB6F48A8}"/>
    <cellStyle name="Porcentual 3 3 2" xfId="11428" xr:uid="{9F98F053-823B-4278-9685-E1742C457F4A}"/>
    <cellStyle name="Porcentual 3 3 2 2" xfId="19168" xr:uid="{27C800CE-37D2-4757-ACB6-6B83159E1065}"/>
    <cellStyle name="Porcentual 3 3 2 3" xfId="20573" xr:uid="{44D810F5-F3F0-4C94-B547-E7C7D7EDBE0E}"/>
    <cellStyle name="Porcentual 3 3 3" xfId="16259" xr:uid="{93FDC905-0A7C-463F-BDC1-AEA97D8D1692}"/>
    <cellStyle name="Porcentual 3 4" xfId="12726" xr:uid="{B3766A8E-AE14-4489-938C-4A36A76788B0}"/>
    <cellStyle name="Porcentual 3 4 2" xfId="16620" xr:uid="{CF79134B-F7AD-49B8-9CA1-607F70B8A1F8}"/>
    <cellStyle name="Porcentual 3 4 3" xfId="15454" xr:uid="{475DD509-2F8E-45B2-AA94-6F8D4545251A}"/>
    <cellStyle name="Porcentual 3 4 4" xfId="20712" xr:uid="{0A2047FE-0D33-44DE-9C8F-1773F7D68CBE}"/>
    <cellStyle name="Porcentual 3 5" xfId="11749" xr:uid="{7435B65B-2034-4815-83E3-EBE6DFACC5BE}"/>
    <cellStyle name="Porcentual 3 5 2" xfId="15026" xr:uid="{1934CAA0-93C1-49B1-972A-6D70F09A2C70}"/>
    <cellStyle name="Porcentual 3 5 3" xfId="20600" xr:uid="{A9A5741F-5767-4A8C-AFB7-3551767B598E}"/>
    <cellStyle name="Porcentual 3 6" xfId="10959" xr:uid="{D20F78BD-027A-4C07-803A-3A03A182428F}"/>
    <cellStyle name="Porcentual 4" xfId="67" xr:uid="{B0BC31E8-1804-469E-BADF-908658217CC3}"/>
    <cellStyle name="Porcentual 4 2" xfId="10923" xr:uid="{078F44A3-81BD-45E1-9697-C4A34C735A18}"/>
    <cellStyle name="Porcentual 4 23" xfId="51" xr:uid="{2306DF71-90B1-44A6-B4C9-2D1CF4C735DE}"/>
    <cellStyle name="Porcentual 4 3" xfId="12727" xr:uid="{2D06BDE3-2C3A-4F07-8BBF-0DE493A83529}"/>
    <cellStyle name="Porcentual 5" xfId="12722" xr:uid="{B010F2AD-6183-40C5-99AB-DB380F95A695}"/>
    <cellStyle name="Porcentual 5 2" xfId="11095" xr:uid="{215A9988-DDF3-4DBA-93C0-AEAA4FA08EA1}"/>
    <cellStyle name="Porcentual 5 3" xfId="12728" xr:uid="{A2E4908E-B58D-4D13-AAF7-3CA9F89D6C69}"/>
    <cellStyle name="Porcentual 6" xfId="11990" xr:uid="{65281EAC-100B-4CFA-AC47-19E9D9ED9FB6}"/>
    <cellStyle name="Porcentual 6 2" xfId="12834" xr:uid="{1DD6E316-C659-44AB-9D0A-0DC6E962B625}"/>
    <cellStyle name="Porcentual 7" xfId="12729" xr:uid="{0A3A1D1A-4212-4AA7-9273-F86A23542F23}"/>
    <cellStyle name="Porcentual 8" xfId="12783" xr:uid="{1943F4E9-28C4-4A18-8493-BC7D3846A472}"/>
    <cellStyle name="Porcentual 8 2" xfId="11395" xr:uid="{7BA954A4-77C6-451C-821A-09CBC662B22D}"/>
    <cellStyle name="Porcentual 9" xfId="11287" xr:uid="{3C6C45A9-AE02-4234-BAD0-6049A45D7C3E}"/>
    <cellStyle name="Punto0" xfId="139" xr:uid="{2E30BBE2-438E-4163-8AC1-1418D51D3AD9}"/>
    <cellStyle name="RM" xfId="12706" xr:uid="{4C2FB80A-665F-4DD1-9BBF-A1F9BF809359}"/>
    <cellStyle name="Salida 10" xfId="3000" xr:uid="{0237E285-B6F3-4060-B4F7-30EF9FEA0337}"/>
    <cellStyle name="Salida 10 2" xfId="5166" xr:uid="{0980504D-F7C5-45FF-A86A-29356623B4C9}"/>
    <cellStyle name="Salida 10 3" xfId="5167" xr:uid="{F866E718-805A-488F-BD87-70537218D7C2}"/>
    <cellStyle name="Salida 10 4" xfId="5168" xr:uid="{CEA17951-DF45-4EA1-99F3-7ABEB41A8D8D}"/>
    <cellStyle name="Salida 10 5" xfId="5169" xr:uid="{5407A7D0-48E5-4F76-9733-AF85D7AA60D5}"/>
    <cellStyle name="Salida 10 6" xfId="5170" xr:uid="{966853DB-FD76-4DF5-AAED-4F56A8E2A1E4}"/>
    <cellStyle name="Salida 10 7" xfId="5171" xr:uid="{327E4B28-DE26-403F-80F1-000E76351F8D}"/>
    <cellStyle name="Salida 11" xfId="3001" xr:uid="{8C265B66-FACA-42B1-8DD2-32FB680981AD}"/>
    <cellStyle name="Salida 11 2" xfId="5172" xr:uid="{317F1982-F29D-47C2-8328-F36982B308D7}"/>
    <cellStyle name="Salida 11 3" xfId="5173" xr:uid="{3538534F-EED1-4247-B50D-EE36F47712C0}"/>
    <cellStyle name="Salida 11 4" xfId="5174" xr:uid="{C6086F2F-0DEC-4FBF-9242-3E99A42E82A8}"/>
    <cellStyle name="Salida 11 5" xfId="5175" xr:uid="{4A4136B9-6990-4FF1-BB04-99DAA9A257AB}"/>
    <cellStyle name="Salida 11 6" xfId="5176" xr:uid="{244213CE-E562-4226-86E5-29C9481A179E}"/>
    <cellStyle name="Salida 11 7" xfId="5177" xr:uid="{26C00C46-F260-4673-BD91-4C1C1F99D529}"/>
    <cellStyle name="Salida 12" xfId="3002" xr:uid="{647CA2DF-167A-47E5-8391-76CD64B9206F}"/>
    <cellStyle name="Salida 12 2" xfId="5178" xr:uid="{CFA5A701-E92D-45E9-9C43-F8EC06F266F6}"/>
    <cellStyle name="Salida 12 3" xfId="5179" xr:uid="{44B8757F-3E06-49D4-AA4F-CA5C70FFBA77}"/>
    <cellStyle name="Salida 12 4" xfId="5180" xr:uid="{A8A19B31-50F7-49AF-AC99-17C090FB81DB}"/>
    <cellStyle name="Salida 12 5" xfId="5181" xr:uid="{393578F2-FBFF-4E46-B0C3-6FABBA0A1F90}"/>
    <cellStyle name="Salida 12 6" xfId="5182" xr:uid="{397D4D13-31A0-4631-997A-199D3816862A}"/>
    <cellStyle name="Salida 12 7" xfId="5183" xr:uid="{554CDBC7-31C0-4A5A-A4E2-4A51812674B9}"/>
    <cellStyle name="Salida 13" xfId="3003" xr:uid="{A4FB7F51-C785-4616-BF67-4CBBA0F51E91}"/>
    <cellStyle name="Salida 13 2" xfId="5184" xr:uid="{C5596CBF-05BB-4804-8380-7A2E6977D435}"/>
    <cellStyle name="Salida 13 3" xfId="5185" xr:uid="{A7482D57-28D4-4CAB-B171-7E46B96C38FC}"/>
    <cellStyle name="Salida 13 4" xfId="5186" xr:uid="{81D85D25-3709-46B2-B585-32A3FD1C026F}"/>
    <cellStyle name="Salida 13 5" xfId="5187" xr:uid="{305B171F-C0BF-41B7-B8AD-90A5FF0832F3}"/>
    <cellStyle name="Salida 13 6" xfId="5188" xr:uid="{FE3256C0-82E4-47FF-8DAA-1B01E2D5C4AE}"/>
    <cellStyle name="Salida 13 7" xfId="5189" xr:uid="{D1C16ED7-4E62-4F56-81B9-218A9079BBD4}"/>
    <cellStyle name="Salida 14" xfId="3004" xr:uid="{5C15AF56-4E42-4AF8-995D-5C2A2C09E5D9}"/>
    <cellStyle name="Salida 14 2" xfId="5190" xr:uid="{A41A8852-2253-4765-A14A-A8F40C5A65CB}"/>
    <cellStyle name="Salida 14 3" xfId="5191" xr:uid="{7504C687-79E0-481B-9963-C273DA5D4774}"/>
    <cellStyle name="Salida 14 4" xfId="5192" xr:uid="{432D6D20-9FD0-468B-A505-4DDF21ED068E}"/>
    <cellStyle name="Salida 14 5" xfId="5193" xr:uid="{56378DEA-9DB7-4CBD-A451-A27E9529BDA1}"/>
    <cellStyle name="Salida 14 6" xfId="5194" xr:uid="{12F53BD8-8D90-49FF-9D82-E637E92A9F87}"/>
    <cellStyle name="Salida 14 7" xfId="5195" xr:uid="{C29E3658-205A-4715-A03B-75606EC5F039}"/>
    <cellStyle name="Salida 15" xfId="3005" xr:uid="{5EDEFCC4-D0DC-4C35-8114-46968F4C60C1}"/>
    <cellStyle name="Salida 15 2" xfId="5196" xr:uid="{FA0BC458-9511-4C09-ACC2-69DF30F32B13}"/>
    <cellStyle name="Salida 15 3" xfId="5197" xr:uid="{265336DF-4FE3-4AF1-BF26-1A425F595693}"/>
    <cellStyle name="Salida 15 4" xfId="5198" xr:uid="{0145D94C-9BAF-498A-AF97-D2EFF5C4C29D}"/>
    <cellStyle name="Salida 15 5" xfId="5199" xr:uid="{B990A067-680C-4677-B942-E7E9116463BC}"/>
    <cellStyle name="Salida 15 6" xfId="5200" xr:uid="{FE7C6701-7209-44FE-9927-B194E70157A3}"/>
    <cellStyle name="Salida 15 7" xfId="5201" xr:uid="{C7EC104F-FFD6-4C99-8EB4-85653B2F3FE5}"/>
    <cellStyle name="Salida 16" xfId="3006" xr:uid="{367C2ACB-2915-4F9D-8470-5EE1FF10016F}"/>
    <cellStyle name="Salida 16 2" xfId="5202" xr:uid="{156A433D-F639-4E14-BD81-A8D1E4563A19}"/>
    <cellStyle name="Salida 16 3" xfId="5203" xr:uid="{7A25D24F-4AB7-438A-9305-247FD2E6831F}"/>
    <cellStyle name="Salida 16 4" xfId="5204" xr:uid="{6ED5BE79-34F5-4A30-AE00-2F3D8C9D7F55}"/>
    <cellStyle name="Salida 16 5" xfId="5205" xr:uid="{5F0FBE43-3022-442A-8EED-0712E84E3B4C}"/>
    <cellStyle name="Salida 16 6" xfId="5206" xr:uid="{18800574-0F0C-43DB-9E49-2A3A150B7085}"/>
    <cellStyle name="Salida 16 7" xfId="5207" xr:uid="{B2FC86B2-D023-45B9-8FC5-EC2CD26B1380}"/>
    <cellStyle name="Salida 17" xfId="3007" xr:uid="{0A140168-0D34-42A3-835A-2B46BE128FE6}"/>
    <cellStyle name="Salida 17 2" xfId="5208" xr:uid="{E5BA0B65-B461-4B79-8273-46937268D7A9}"/>
    <cellStyle name="Salida 17 3" xfId="5209" xr:uid="{6DE9FDE3-105F-4560-801C-4D8E58C24E89}"/>
    <cellStyle name="Salida 17 4" xfId="5210" xr:uid="{5E6ED594-9499-4F7F-9302-D1B7F0EC581C}"/>
    <cellStyle name="Salida 17 5" xfId="5211" xr:uid="{195D798E-F277-4C6A-B835-E84B5C34EFC4}"/>
    <cellStyle name="Salida 17 6" xfId="5212" xr:uid="{EA7C2417-89E7-490A-A179-19A07F2FEB5E}"/>
    <cellStyle name="Salida 17 7" xfId="5213" xr:uid="{F75E9F03-76DC-4A54-9543-5169C3D766AD}"/>
    <cellStyle name="Salida 18" xfId="3008" xr:uid="{CAAB7B7B-B3C0-4399-BDA7-1FA3AF7FF8B8}"/>
    <cellStyle name="Salida 18 2" xfId="5214" xr:uid="{E11C524C-0825-4094-8D24-A43A5733DE50}"/>
    <cellStyle name="Salida 18 3" xfId="5215" xr:uid="{CB2F2579-9002-4E31-A138-BE16D5639006}"/>
    <cellStyle name="Salida 18 4" xfId="5216" xr:uid="{15244154-C1A1-40BA-B329-E3C2C5D521D8}"/>
    <cellStyle name="Salida 18 5" xfId="5217" xr:uid="{16E756C1-B761-49A0-A47E-1FBB600DF500}"/>
    <cellStyle name="Salida 18 6" xfId="5218" xr:uid="{6C28F456-2CD0-4311-B27E-B893948C0EE2}"/>
    <cellStyle name="Salida 18 7" xfId="5219" xr:uid="{39D06B82-1B17-46B9-93E8-AEF87BA1502F}"/>
    <cellStyle name="Salida 19" xfId="3009" xr:uid="{B69B3B6B-1F74-4403-BE20-500D886CED37}"/>
    <cellStyle name="Salida 19 2" xfId="5220" xr:uid="{37F85149-D2B5-45A0-B951-A66B0DBBF6E4}"/>
    <cellStyle name="Salida 19 3" xfId="5221" xr:uid="{8C119D58-9EDD-4217-B700-38D50498FDB0}"/>
    <cellStyle name="Salida 19 4" xfId="5222" xr:uid="{35260C42-CAA7-4DC6-94EA-347EC5B38641}"/>
    <cellStyle name="Salida 19 5" xfId="5223" xr:uid="{1FF673B6-4794-4D3F-9811-55421F74EFC0}"/>
    <cellStyle name="Salida 19 6" xfId="5224" xr:uid="{E2CACA0E-AA26-433D-9A49-10E4BC4123A1}"/>
    <cellStyle name="Salida 19 7" xfId="5225" xr:uid="{D028E4D5-F9AB-4A9A-9A97-FE9B08907CDB}"/>
    <cellStyle name="Salida 2" xfId="52" xr:uid="{EB8A3F16-E400-4520-95EF-3D0460C61B19}"/>
    <cellStyle name="Salida 2 10" xfId="5226" xr:uid="{5F7A511B-1483-485E-920B-08DFE15FBEB5}"/>
    <cellStyle name="Salida 2 11" xfId="5227" xr:uid="{F8639E90-F61D-4EA5-997C-0C8CA38789F7}"/>
    <cellStyle name="Salida 2 12" xfId="11330" xr:uid="{1EC8E42A-78FA-4893-8F10-ABAFC58845DD}"/>
    <cellStyle name="Salida 2 2" xfId="3010" xr:uid="{F4F776AE-6FA2-403E-B0E5-92B230413DE6}"/>
    <cellStyle name="Salida 2 2 2" xfId="5228" xr:uid="{DB497696-9B77-4C43-A454-E9951AC0FAB9}"/>
    <cellStyle name="Salida 2 2 3" xfId="5229" xr:uid="{FD7CE35A-7067-4CC6-BEB3-8F2763F0D927}"/>
    <cellStyle name="Salida 2 2 4" xfId="5230" xr:uid="{30540384-B9A3-4129-A859-69AE1CF9FF05}"/>
    <cellStyle name="Salida 2 2 5" xfId="5231" xr:uid="{7F887455-7391-4291-A56E-E315F42277E9}"/>
    <cellStyle name="Salida 2 2 6" xfId="5232" xr:uid="{C527DB37-5616-4418-A4E0-9A058CAB5A63}"/>
    <cellStyle name="Salida 2 2 7" xfId="5233" xr:uid="{3F02017A-2D28-4C2C-905B-188DACBD229E}"/>
    <cellStyle name="Salida 2 3" xfId="3011" xr:uid="{9C73781C-B0A2-4BD0-B98C-F25F183F3C8F}"/>
    <cellStyle name="Salida 2 3 2" xfId="5234" xr:uid="{120C370B-C49F-4A6D-8591-3CCFC85AD351}"/>
    <cellStyle name="Salida 2 3 3" xfId="5235" xr:uid="{FDF1BB4B-8E88-4A59-8338-4D60C083CC7B}"/>
    <cellStyle name="Salida 2 3 4" xfId="5236" xr:uid="{36CE8115-3871-4A96-A89F-D6CC00558B9F}"/>
    <cellStyle name="Salida 2 3 5" xfId="5237" xr:uid="{71C92568-1B39-47EA-823E-1ED1683DA7B8}"/>
    <cellStyle name="Salida 2 3 6" xfId="5238" xr:uid="{A97E81EF-32E9-4213-9674-5183053C5C21}"/>
    <cellStyle name="Salida 2 3 7" xfId="5239" xr:uid="{4D87B362-76BF-43FA-AAEA-FC854B00D64A}"/>
    <cellStyle name="Salida 2 4" xfId="3012" xr:uid="{0B956B84-2939-4035-99D5-54841728436A}"/>
    <cellStyle name="Salida 2 4 2" xfId="5240" xr:uid="{85538A0C-FBD1-4FB9-84F6-D9D9ADD4DD0A}"/>
    <cellStyle name="Salida 2 4 3" xfId="5241" xr:uid="{5827FDC1-78BF-40EF-B372-EFFA0136FEF1}"/>
    <cellStyle name="Salida 2 4 4" xfId="5242" xr:uid="{307BAFDB-5C7E-48CE-916A-2A2CC22CEAF0}"/>
    <cellStyle name="Salida 2 4 5" xfId="5243" xr:uid="{185C23D3-367A-4480-945B-07C7D4979896}"/>
    <cellStyle name="Salida 2 4 6" xfId="5244" xr:uid="{12C84E3C-D0C6-4CED-B587-9A4785001E4C}"/>
    <cellStyle name="Salida 2 4 7" xfId="5245" xr:uid="{4703704F-03AA-4323-852F-B75E811FD259}"/>
    <cellStyle name="Salida 2 5" xfId="3013" xr:uid="{12519940-BD4C-4C13-B128-EF602357CD7A}"/>
    <cellStyle name="Salida 2 5 2" xfId="5246" xr:uid="{9C39CFDA-4B40-4FCA-99E8-4CBD97084BE8}"/>
    <cellStyle name="Salida 2 5 3" xfId="5247" xr:uid="{8B043757-3168-4806-9F57-EA056D30A10A}"/>
    <cellStyle name="Salida 2 5 4" xfId="5248" xr:uid="{E22713E2-2E9D-407B-97B9-B5017377EB4D}"/>
    <cellStyle name="Salida 2 5 5" xfId="5249" xr:uid="{083DE540-6E2F-4A02-9F45-858D1224D210}"/>
    <cellStyle name="Salida 2 5 6" xfId="5250" xr:uid="{321F4DD5-9582-4F82-88E1-5A7C943F54E9}"/>
    <cellStyle name="Salida 2 5 7" xfId="5251" xr:uid="{FBBF90BE-EC1C-4DDF-9EEB-853EE8786132}"/>
    <cellStyle name="Salida 2 6" xfId="5252" xr:uid="{14F06634-8233-462D-B28C-A8D2D1CD8E7D}"/>
    <cellStyle name="Salida 2 7" xfId="5253" xr:uid="{5B9593B0-28A1-469A-A2ED-98AE17B44129}"/>
    <cellStyle name="Salida 2 8" xfId="5254" xr:uid="{A3260E92-B449-48ED-B3C2-5AD8C8A09308}"/>
    <cellStyle name="Salida 2 9" xfId="5255" xr:uid="{830567CC-DDFC-4A4A-8266-DC75188682A6}"/>
    <cellStyle name="Salida 20" xfId="3014" xr:uid="{0BE25EED-C6F2-4D24-87F5-0A5C74564AEF}"/>
    <cellStyle name="Salida 20 2" xfId="5256" xr:uid="{A2C8DB18-2E0A-4BBA-B992-5EA21D2C8A37}"/>
    <cellStyle name="Salida 20 3" xfId="5257" xr:uid="{56ED4063-F64B-42CC-96F7-E88473166474}"/>
    <cellStyle name="Salida 20 4" xfId="5258" xr:uid="{1C1803F1-9A5A-4BFC-8029-EEBE23A0E9AC}"/>
    <cellStyle name="Salida 20 5" xfId="5259" xr:uid="{7CC689A2-CF9E-45AE-9E68-5BBD740438CD}"/>
    <cellStyle name="Salida 20 6" xfId="5260" xr:uid="{660C4E23-D65D-423C-BED0-A73DDF9C84B8}"/>
    <cellStyle name="Salida 20 7" xfId="5261" xr:uid="{18413C21-34DA-4E96-B68E-B6D1BE3B5A29}"/>
    <cellStyle name="Salida 21" xfId="3015" xr:uid="{148D2F59-F0FE-48C6-AA73-FB602D06F82A}"/>
    <cellStyle name="Salida 21 2" xfId="5262" xr:uid="{67FABE1D-972F-4DAF-923E-4B9B393516EA}"/>
    <cellStyle name="Salida 21 3" xfId="5263" xr:uid="{8E37501E-621B-4FAC-B9F1-D31B3C3CB886}"/>
    <cellStyle name="Salida 21 4" xfId="5264" xr:uid="{5E077C37-ED5D-4AA5-B1DA-6A8AFC0757C9}"/>
    <cellStyle name="Salida 21 5" xfId="5265" xr:uid="{615540BA-EB09-4CDE-9E78-9B314C4FAB3F}"/>
    <cellStyle name="Salida 21 6" xfId="5266" xr:uid="{BA21329C-6FE8-4B08-BD03-ADBE49966B46}"/>
    <cellStyle name="Salida 21 7" xfId="5267" xr:uid="{DA117333-3517-42CF-B1DA-4452CF346560}"/>
    <cellStyle name="Salida 22" xfId="3016" xr:uid="{D347C7D7-7844-4C32-A726-603A3889A557}"/>
    <cellStyle name="Salida 22 2" xfId="5268" xr:uid="{E2D345ED-059A-4C57-93ED-8B940D0C09D4}"/>
    <cellStyle name="Salida 22 3" xfId="5269" xr:uid="{CA989446-76DD-47ED-8BEB-C0D680B919AA}"/>
    <cellStyle name="Salida 22 4" xfId="5270" xr:uid="{68741DB5-8265-419B-BB37-D80DE989675F}"/>
    <cellStyle name="Salida 22 5" xfId="5271" xr:uid="{FFD49A91-254A-48D3-A1C6-8B6BC4283A06}"/>
    <cellStyle name="Salida 22 6" xfId="5272" xr:uid="{D6EAC24A-1B85-4C3A-B5A7-E63C75469FF5}"/>
    <cellStyle name="Salida 22 7" xfId="5273" xr:uid="{722C9A2B-B673-4815-855F-E3A6A267BD51}"/>
    <cellStyle name="Salida 23" xfId="3017" xr:uid="{98086E18-7277-43CC-9F21-8C308CBA4D0D}"/>
    <cellStyle name="Salida 23 2" xfId="5274" xr:uid="{323A526D-55D8-4991-9010-01A7A8A26417}"/>
    <cellStyle name="Salida 23 3" xfId="5275" xr:uid="{A4649F55-E0EF-42CA-A769-3F21BD4A77A1}"/>
    <cellStyle name="Salida 23 4" xfId="5276" xr:uid="{F45349FE-EED9-459B-A534-5E811AA08CB7}"/>
    <cellStyle name="Salida 23 5" xfId="5277" xr:uid="{53A2BB59-29E5-4A98-B664-809484DC123F}"/>
    <cellStyle name="Salida 23 6" xfId="5278" xr:uid="{39463C2C-096E-4402-883F-41835A9BD0F7}"/>
    <cellStyle name="Salida 23 7" xfId="5279" xr:uid="{A39AC358-8B3A-42A4-8825-A9A52B3121A8}"/>
    <cellStyle name="Salida 24" xfId="3018" xr:uid="{57226668-0853-4E83-913F-13219C7CE015}"/>
    <cellStyle name="Salida 24 2" xfId="5280" xr:uid="{74D08234-ABD1-4687-9650-272E1598FAB7}"/>
    <cellStyle name="Salida 24 3" xfId="5281" xr:uid="{3E77738F-11A7-469F-83AE-63BCFDC3A17E}"/>
    <cellStyle name="Salida 24 4" xfId="5282" xr:uid="{97A39F33-531E-4845-9AA2-7DC1C7DCB61F}"/>
    <cellStyle name="Salida 24 5" xfId="5283" xr:uid="{64D605B8-D45A-4B4E-A5D3-DF37FB01A8D6}"/>
    <cellStyle name="Salida 24 6" xfId="5284" xr:uid="{C394AAB7-89F2-4C7A-A910-8430393FCE57}"/>
    <cellStyle name="Salida 24 7" xfId="5285" xr:uid="{BA8DF6D5-9D9C-477E-BDF6-9479E2F2344C}"/>
    <cellStyle name="Salida 25" xfId="3019" xr:uid="{65163229-B2E6-4377-9672-C7A66B75921D}"/>
    <cellStyle name="Salida 25 2" xfId="5286" xr:uid="{64FE069B-093F-42F0-9934-821C0DAB4ED1}"/>
    <cellStyle name="Salida 25 3" xfId="5287" xr:uid="{E2047A31-2E82-471C-A281-1C311AE186E7}"/>
    <cellStyle name="Salida 25 4" xfId="5288" xr:uid="{D2827C43-6175-45B0-B315-7FBDA9477313}"/>
    <cellStyle name="Salida 25 5" xfId="5289" xr:uid="{0A3A9D20-D0E8-4E04-A6A2-3DB20F046121}"/>
    <cellStyle name="Salida 25 6" xfId="5290" xr:uid="{CF2FC741-0CFF-4A4D-B489-3E14B05627C2}"/>
    <cellStyle name="Salida 25 7" xfId="5291" xr:uid="{7C0C76B5-C837-46F4-AA0A-BB46C7E4C10B}"/>
    <cellStyle name="Salida 26" xfId="3020" xr:uid="{C61E94B5-1DA6-4BE8-A057-7787777464BE}"/>
    <cellStyle name="Salida 26 2" xfId="5292" xr:uid="{ADF6B698-9F65-415B-AF32-098152ACFB05}"/>
    <cellStyle name="Salida 26 3" xfId="5293" xr:uid="{0D780985-B129-4731-BFFF-FF8FAF35641D}"/>
    <cellStyle name="Salida 26 4" xfId="5294" xr:uid="{7DCAD6DC-61A6-4C89-A5B6-4A3FCF59DBF0}"/>
    <cellStyle name="Salida 26 5" xfId="5295" xr:uid="{D102E983-CB97-4643-89FD-62B029A1167D}"/>
    <cellStyle name="Salida 26 6" xfId="5296" xr:uid="{09FEB4E9-DA8D-49AD-8124-E7C1E964EAA8}"/>
    <cellStyle name="Salida 26 7" xfId="5297" xr:uid="{55872ADB-6197-4049-AA2D-D5BE1C1031CA}"/>
    <cellStyle name="Salida 27" xfId="3021" xr:uid="{03A32F90-B2B8-4B5C-A65B-6969A003869D}"/>
    <cellStyle name="Salida 27 2" xfId="5298" xr:uid="{35A93B65-4FF2-4F2E-B5CB-01CB192CACDE}"/>
    <cellStyle name="Salida 27 3" xfId="5299" xr:uid="{94BDD368-B9B2-42BB-84D0-9C377DCA3342}"/>
    <cellStyle name="Salida 27 4" xfId="5300" xr:uid="{C3A7D5A2-E515-4B34-A61B-ECB32F71ECB1}"/>
    <cellStyle name="Salida 27 5" xfId="5301" xr:uid="{217D410A-9804-4F99-B500-B5D9F7905296}"/>
    <cellStyle name="Salida 27 6" xfId="5302" xr:uid="{03356191-80C7-4BDD-ABCE-3357F5184EA3}"/>
    <cellStyle name="Salida 27 7" xfId="5303" xr:uid="{FF42E4CB-D4F6-4222-BB98-C7555698262C}"/>
    <cellStyle name="Salida 28" xfId="3022" xr:uid="{8631D982-4BE6-462E-8FA8-4EB3ADD0B0B3}"/>
    <cellStyle name="Salida 28 2" xfId="5304" xr:uid="{9BE06A45-7937-425F-926F-3FA6C98F9115}"/>
    <cellStyle name="Salida 28 3" xfId="5305" xr:uid="{5E68294C-91C1-4511-9A21-FB386930416E}"/>
    <cellStyle name="Salida 28 4" xfId="5306" xr:uid="{1B8BFCDC-D7FC-4CA9-BC8E-B34D325BAB32}"/>
    <cellStyle name="Salida 28 5" xfId="5307" xr:uid="{452A3CE0-9BFB-4AEC-AD43-371727C7117D}"/>
    <cellStyle name="Salida 28 6" xfId="5308" xr:uid="{189B46AB-B8D8-47EC-ABCC-AFE3F963A7C4}"/>
    <cellStyle name="Salida 28 7" xfId="5309" xr:uid="{7465FE9A-4859-4286-AB8A-192E15A10C74}"/>
    <cellStyle name="Salida 29" xfId="3023" xr:uid="{4928D44A-3144-4A54-A59A-B1F2D405DB5B}"/>
    <cellStyle name="Salida 29 2" xfId="5310" xr:uid="{54B4945D-1688-4DB0-8341-AF4D86E2A3EA}"/>
    <cellStyle name="Salida 29 3" xfId="5311" xr:uid="{608403BB-5340-4D7A-9CB5-57EB26690945}"/>
    <cellStyle name="Salida 29 4" xfId="5312" xr:uid="{6519AA5A-3F4C-4562-BC0F-3BF885710379}"/>
    <cellStyle name="Salida 29 5" xfId="5313" xr:uid="{81CF8A2F-617E-428E-BC25-D2D4C0ADC2DC}"/>
    <cellStyle name="Salida 29 6" xfId="5314" xr:uid="{E579AE86-CE8D-4690-85C8-DC776E7B95E6}"/>
    <cellStyle name="Salida 29 7" xfId="5315" xr:uid="{A74034D6-5E17-4B6E-AA25-7690D842E8B6}"/>
    <cellStyle name="Salida 3" xfId="429" xr:uid="{53BCB551-7562-4FB9-A49D-B50A7E10F3BE}"/>
    <cellStyle name="Salida 3 2" xfId="5316" xr:uid="{154D45AF-0677-4663-B673-654D19B31BB4}"/>
    <cellStyle name="Salida 3 3" xfId="5317" xr:uid="{C78D13AC-6CFE-4439-BA1B-9DA5C4D4528B}"/>
    <cellStyle name="Salida 3 4" xfId="5318" xr:uid="{5707947A-CCE3-48DD-8FD1-5A33B698F6AB}"/>
    <cellStyle name="Salida 3 5" xfId="5319" xr:uid="{D1649009-8634-4934-90AA-2F954A30F433}"/>
    <cellStyle name="Salida 3 6" xfId="5320" xr:uid="{B2B1EBBB-843D-4834-BCD9-1964C0DF2B9E}"/>
    <cellStyle name="Salida 3 7" xfId="5321" xr:uid="{436DFFD1-261F-44F0-ABDC-FB55CF98112D}"/>
    <cellStyle name="Salida 3 8" xfId="12784" xr:uid="{6E043272-BDB8-4101-8A66-0857361F5491}"/>
    <cellStyle name="Salida 30" xfId="3024" xr:uid="{53395584-FDF9-4F4F-9401-2C3D91FD9B6E}"/>
    <cellStyle name="Salida 30 2" xfId="5322" xr:uid="{F3B2761A-1BD4-4949-98DA-E6850AF63D87}"/>
    <cellStyle name="Salida 30 3" xfId="5323" xr:uid="{45460855-48F3-43E0-86B7-8274DE56A6D8}"/>
    <cellStyle name="Salida 30 4" xfId="5324" xr:uid="{CE77AFB4-DAAB-447D-8DBB-8EB564431FF5}"/>
    <cellStyle name="Salida 30 5" xfId="5325" xr:uid="{18EFA0C0-50F0-41C7-97F5-63FDEE68F37F}"/>
    <cellStyle name="Salida 30 6" xfId="5326" xr:uid="{79B9D3DA-865D-4A27-9E87-99EE73B103A7}"/>
    <cellStyle name="Salida 30 7" xfId="5327" xr:uid="{92A9BC29-DB0A-4625-AAF1-38D6A3A3E18D}"/>
    <cellStyle name="Salida 31" xfId="3025" xr:uid="{E3D19727-82A5-461D-B521-E2408BF84849}"/>
    <cellStyle name="Salida 31 2" xfId="5328" xr:uid="{4D16DA4E-8972-4E49-9CE3-28E00E1B7AA0}"/>
    <cellStyle name="Salida 31 3" xfId="5329" xr:uid="{F6D42F72-6493-4338-B1FB-7C68C2765AE5}"/>
    <cellStyle name="Salida 31 4" xfId="5330" xr:uid="{5D404A15-DEBD-424F-8F63-4419FB4DBB47}"/>
    <cellStyle name="Salida 31 5" xfId="5331" xr:uid="{942A6C5C-CD26-4BAF-9240-125AC63FAEBD}"/>
    <cellStyle name="Salida 31 6" xfId="5332" xr:uid="{AD851189-8CC6-40B1-925A-8FDEE5C3B174}"/>
    <cellStyle name="Salida 31 7" xfId="5333" xr:uid="{DDB36B29-42C2-4499-9EE3-3FFD9D0E532B}"/>
    <cellStyle name="Salida 32" xfId="3026" xr:uid="{1C700D38-E77B-4559-BD5B-A941C0D754CE}"/>
    <cellStyle name="Salida 32 2" xfId="5334" xr:uid="{A839CF48-824F-46CE-8F17-1A3C2C96DBDE}"/>
    <cellStyle name="Salida 32 3" xfId="5335" xr:uid="{E600AAFD-7D29-4B4C-864B-FD432425D368}"/>
    <cellStyle name="Salida 32 4" xfId="5336" xr:uid="{3C443176-C23D-4A8D-9B3D-FADC722F90A3}"/>
    <cellStyle name="Salida 32 5" xfId="5337" xr:uid="{F9AB628A-F1ED-4A91-8B2E-5293F244F1E5}"/>
    <cellStyle name="Salida 32 6" xfId="5338" xr:uid="{03E0368B-DE53-4B54-A31B-386C7DB1EC40}"/>
    <cellStyle name="Salida 32 7" xfId="5339" xr:uid="{D12FED89-FBD0-4C96-96C7-AE5586AA6EAC}"/>
    <cellStyle name="Salida 33" xfId="3027" xr:uid="{2F649879-D296-4293-B370-482891341CFE}"/>
    <cellStyle name="Salida 33 2" xfId="5340" xr:uid="{AF3DF560-8F0F-482E-9EA8-BE26BB80C9E7}"/>
    <cellStyle name="Salida 33 3" xfId="5341" xr:uid="{40132B13-B8C2-428C-A14F-9F7522D467C5}"/>
    <cellStyle name="Salida 33 4" xfId="5342" xr:uid="{A91A2B75-2AC0-4C3F-866D-BB15080EE813}"/>
    <cellStyle name="Salida 33 5" xfId="5343" xr:uid="{F0F3171E-E587-4CA1-971D-8C135761D221}"/>
    <cellStyle name="Salida 33 6" xfId="5344" xr:uid="{E241A211-8651-447C-A478-5225E3CBE06B}"/>
    <cellStyle name="Salida 33 7" xfId="5345" xr:uid="{62591CBC-D4AC-4B8A-BDB0-3F22A38D6D1A}"/>
    <cellStyle name="Salida 34" xfId="3028" xr:uid="{1363FD2F-3146-495A-A015-4A40DD7D1849}"/>
    <cellStyle name="Salida 34 2" xfId="5346" xr:uid="{A4CB6C1C-38A8-4A18-97E4-D42D028DCE5B}"/>
    <cellStyle name="Salida 34 3" xfId="5347" xr:uid="{2098541F-70D2-4D17-B90E-3AE7A6145789}"/>
    <cellStyle name="Salida 34 4" xfId="5348" xr:uid="{9881C084-2E60-4CE9-B5E0-24EA4E13D5CD}"/>
    <cellStyle name="Salida 34 5" xfId="5349" xr:uid="{07BF7646-6AF2-4B15-A884-1767F67E5D90}"/>
    <cellStyle name="Salida 34 6" xfId="5350" xr:uid="{C3C0CE1C-1C2B-479A-BAE9-FCB409BAD79E}"/>
    <cellStyle name="Salida 34 7" xfId="5351" xr:uid="{9AEBAD78-8E13-4401-9434-7371288BEE25}"/>
    <cellStyle name="Salida 35" xfId="3029" xr:uid="{8AE563DE-9AFC-4A4C-B1EF-9990A67FD6C6}"/>
    <cellStyle name="Salida 35 2" xfId="5352" xr:uid="{1B44B853-E50F-41D7-9F39-FC54CC917B4F}"/>
    <cellStyle name="Salida 35 3" xfId="5353" xr:uid="{B043DA57-27D0-4689-B8EA-8DCCFA0B01EA}"/>
    <cellStyle name="Salida 35 4" xfId="5354" xr:uid="{78C01D7D-4E60-47FA-9BED-6F0598757B1E}"/>
    <cellStyle name="Salida 35 5" xfId="5355" xr:uid="{3B0F3A93-5E94-4CA5-9FDC-3CFEA55FB2F0}"/>
    <cellStyle name="Salida 35 6" xfId="5356" xr:uid="{E5E65897-6461-4704-9AD3-1DF8D74CA996}"/>
    <cellStyle name="Salida 35 7" xfId="5357" xr:uid="{96E8A8E6-C458-4219-921C-CCCD66DF5C8F}"/>
    <cellStyle name="Salida 36" xfId="3030" xr:uid="{EC5F22BC-D7CF-404A-A7F6-19CB74BAD1A7}"/>
    <cellStyle name="Salida 36 2" xfId="5358" xr:uid="{003F020D-5284-4308-9616-F5B20FFD2B6A}"/>
    <cellStyle name="Salida 36 3" xfId="5359" xr:uid="{A0FF6264-4C1E-4C63-B4CF-080C5240113A}"/>
    <cellStyle name="Salida 36 4" xfId="5360" xr:uid="{2AFA1A58-E5C9-4FE3-BAC5-EFB0C335D14D}"/>
    <cellStyle name="Salida 36 5" xfId="5361" xr:uid="{838A3462-4646-446B-A4AD-533DA17AFD3B}"/>
    <cellStyle name="Salida 36 6" xfId="5362" xr:uid="{4FC04DA2-B812-47A9-9A50-0F1BCA80E0E4}"/>
    <cellStyle name="Salida 36 7" xfId="5363" xr:uid="{E7D612F6-0561-4831-A069-A4E6E4F8577D}"/>
    <cellStyle name="Salida 37" xfId="3031" xr:uid="{C1D6A354-065B-4237-8F44-439C89502101}"/>
    <cellStyle name="Salida 37 2" xfId="5364" xr:uid="{0D6853B7-9996-4FF5-AC04-A15048912E29}"/>
    <cellStyle name="Salida 37 3" xfId="5365" xr:uid="{A443CB83-F463-466D-AC68-A8A4894999AF}"/>
    <cellStyle name="Salida 37 4" xfId="5366" xr:uid="{AF4A3F89-000F-469B-840F-933729357825}"/>
    <cellStyle name="Salida 37 5" xfId="5367" xr:uid="{F34F13EF-1E75-46EC-9371-841FC6040514}"/>
    <cellStyle name="Salida 37 6" xfId="5368" xr:uid="{A601A755-BB24-4676-808D-12B0C62AF6D9}"/>
    <cellStyle name="Salida 37 7" xfId="5369" xr:uid="{23896288-583F-43E8-9477-6D0655FEFD64}"/>
    <cellStyle name="Salida 38" xfId="3032" xr:uid="{D8E6685A-860A-4B53-87C2-830DEB0A68B7}"/>
    <cellStyle name="Salida 38 2" xfId="5370" xr:uid="{1DE2FCFD-8BB5-4359-A511-3B3F6FD99A69}"/>
    <cellStyle name="Salida 38 3" xfId="5371" xr:uid="{8C4D4289-F2F4-4BCC-80D5-0F6FA5CB513A}"/>
    <cellStyle name="Salida 38 4" xfId="5372" xr:uid="{5260EB86-5226-4230-8EFF-872C4744E136}"/>
    <cellStyle name="Salida 38 5" xfId="5373" xr:uid="{96B1B3CF-A36F-42B8-80B9-C4DD314CFBE3}"/>
    <cellStyle name="Salida 38 6" xfId="5374" xr:uid="{19398602-2065-4E32-8464-E2139626AA95}"/>
    <cellStyle name="Salida 38 7" xfId="5375" xr:uid="{F5D1927E-3D1B-49BD-93ED-1EA4D25213A6}"/>
    <cellStyle name="Salida 39" xfId="3033" xr:uid="{94A02017-114C-4D57-9CEF-16DEDABD48F9}"/>
    <cellStyle name="Salida 39 2" xfId="5376" xr:uid="{21532455-1A1F-4DD7-8BBF-ECB8D42A2203}"/>
    <cellStyle name="Salida 39 3" xfId="5377" xr:uid="{048DF139-EE37-4A64-B399-419CFC44AB0F}"/>
    <cellStyle name="Salida 39 4" xfId="5378" xr:uid="{DBA062D8-0263-4825-8851-8A04C6A1FE4D}"/>
    <cellStyle name="Salida 39 5" xfId="5379" xr:uid="{918C251E-E83D-4122-A725-CA7DDE36E9F7}"/>
    <cellStyle name="Salida 39 6" xfId="5380" xr:uid="{F2BF9C8D-E6FA-4A74-97EA-C529E4DCAD0A}"/>
    <cellStyle name="Salida 39 7" xfId="5381" xr:uid="{DA72965E-8FED-400F-AFA6-3488A0B00077}"/>
    <cellStyle name="Salida 4" xfId="430" xr:uid="{FEC0D481-0FD9-4E72-92AA-5B7D448434E1}"/>
    <cellStyle name="Salida 4 2" xfId="5382" xr:uid="{902F5905-7C63-4909-B7E0-F81CEFEEBB73}"/>
    <cellStyle name="Salida 4 3" xfId="5383" xr:uid="{51467B19-0829-41DE-A210-1DC5065D76E2}"/>
    <cellStyle name="Salida 4 4" xfId="5384" xr:uid="{DECA9742-7475-43F8-B3DD-C05045CFC9C6}"/>
    <cellStyle name="Salida 4 5" xfId="5385" xr:uid="{AFC082E5-60C0-454C-BE82-743C4B6C6DBB}"/>
    <cellStyle name="Salida 4 6" xfId="5386" xr:uid="{E10F8918-0E6A-444E-B8F4-E9E2B469875A}"/>
    <cellStyle name="Salida 4 7" xfId="5387" xr:uid="{BFD8CB4B-226F-4F29-B813-42F5F3E10F87}"/>
    <cellStyle name="Salida 4 8" xfId="11947" xr:uid="{C0EB1FC9-8C66-4BDF-B75E-BFB00A994560}"/>
    <cellStyle name="Salida 40" xfId="3034" xr:uid="{694E05AE-2CEB-4641-B486-2A3C2200155E}"/>
    <cellStyle name="Salida 40 2" xfId="5388" xr:uid="{D4CDA8FC-EDA6-48F6-8742-0D5A00BF90F3}"/>
    <cellStyle name="Salida 40 3" xfId="5389" xr:uid="{BB6D36F9-D431-4384-A35F-E10A9FA9E859}"/>
    <cellStyle name="Salida 40 4" xfId="5390" xr:uid="{7767E635-9F35-4950-BDED-55719A7E466C}"/>
    <cellStyle name="Salida 40 5" xfId="5391" xr:uid="{77492291-C099-4BA2-909B-E3E5839675E8}"/>
    <cellStyle name="Salida 40 6" xfId="5392" xr:uid="{25B937AA-F8C1-4E01-8F0B-5D17E98267BE}"/>
    <cellStyle name="Salida 40 7" xfId="5393" xr:uid="{FCC0C1AE-C83C-4138-99CC-8CFBBB7E803D}"/>
    <cellStyle name="Salida 41" xfId="3035" xr:uid="{EAC86E69-EC2C-406F-8167-443A61CE83EC}"/>
    <cellStyle name="Salida 41 2" xfId="5394" xr:uid="{C792F4FF-8616-4771-A857-D47311E841B2}"/>
    <cellStyle name="Salida 41 3" xfId="5395" xr:uid="{7DB193E5-3D12-4173-B7D1-418254047416}"/>
    <cellStyle name="Salida 41 4" xfId="5396" xr:uid="{0E7F87C0-9A6C-4839-AD7D-D52B1C9245F5}"/>
    <cellStyle name="Salida 41 5" xfId="5397" xr:uid="{9E7590DF-641C-4346-9BEC-A59A467222C4}"/>
    <cellStyle name="Salida 41 6" xfId="5398" xr:uid="{60BA9B0A-67FE-4A5B-833B-D73716CCF9BA}"/>
    <cellStyle name="Salida 41 7" xfId="5399" xr:uid="{B5BF482A-C247-4097-8E00-7B755C9C998B}"/>
    <cellStyle name="Salida 42" xfId="3036" xr:uid="{0A8DF94C-F335-4B7A-B053-5A509F7526EE}"/>
    <cellStyle name="Salida 42 2" xfId="5400" xr:uid="{1BEED304-246A-4D5A-BE96-470DB56E9C9A}"/>
    <cellStyle name="Salida 42 3" xfId="5401" xr:uid="{3F365E59-C492-43B5-806A-B3EAC9228E0E}"/>
    <cellStyle name="Salida 42 4" xfId="5402" xr:uid="{5DACA4B3-146F-49FF-AAE8-DC29F933125E}"/>
    <cellStyle name="Salida 42 5" xfId="5403" xr:uid="{8347AEFF-A991-42FB-903F-E689365D9521}"/>
    <cellStyle name="Salida 42 6" xfId="5404" xr:uid="{F6917A10-7B39-4020-BCA5-A2B58DFD48C3}"/>
    <cellStyle name="Salida 42 7" xfId="5405" xr:uid="{CAA5D32B-0EFB-417D-B7F2-C6043871D01C}"/>
    <cellStyle name="Salida 43" xfId="3037" xr:uid="{6F8BE3B5-2967-414B-914F-829491C49147}"/>
    <cellStyle name="Salida 43 2" xfId="5406" xr:uid="{7B789E24-64AF-4738-A15F-ACF9CE42E37F}"/>
    <cellStyle name="Salida 43 3" xfId="5407" xr:uid="{185E8A41-5537-4B78-AEA4-848BCC5CBD79}"/>
    <cellStyle name="Salida 43 4" xfId="5408" xr:uid="{3FFE4107-00A4-41EA-8A0C-846C8FFE2FB1}"/>
    <cellStyle name="Salida 43 5" xfId="5409" xr:uid="{4053FCCC-BC43-42A7-A199-3F8AAEC23807}"/>
    <cellStyle name="Salida 43 6" xfId="5410" xr:uid="{D99FFC2B-EF33-4D4E-91CD-C4A18AABC977}"/>
    <cellStyle name="Salida 43 7" xfId="5411" xr:uid="{5500D60D-0087-42BF-9476-4838F2CE9F0D}"/>
    <cellStyle name="Salida 44" xfId="3038" xr:uid="{7E496D34-93A7-4C65-8B6B-51772552F2D0}"/>
    <cellStyle name="Salida 44 2" xfId="5412" xr:uid="{C083DD45-A31F-4E4C-9EDE-3B46D4F4B1E4}"/>
    <cellStyle name="Salida 44 3" xfId="5413" xr:uid="{132A02AA-6859-46BA-8509-52C60AF07487}"/>
    <cellStyle name="Salida 44 4" xfId="5414" xr:uid="{0C8F27B2-DA20-4D57-BB89-628FFF2480C5}"/>
    <cellStyle name="Salida 44 5" xfId="5415" xr:uid="{5CB70093-3004-494D-845F-F951B6239F08}"/>
    <cellStyle name="Salida 44 6" xfId="5416" xr:uid="{31639B30-3E45-42E1-80D9-52DADABA5D87}"/>
    <cellStyle name="Salida 44 7" xfId="5417" xr:uid="{4C43958A-3BB8-4D80-9B07-380B73837BBE}"/>
    <cellStyle name="Salida 45" xfId="3039" xr:uid="{3E9BC6F4-251D-434C-9A7A-C844C34E855A}"/>
    <cellStyle name="Salida 45 2" xfId="5418" xr:uid="{DAB85296-60FA-407B-B707-208F9E4DA283}"/>
    <cellStyle name="Salida 45 3" xfId="5419" xr:uid="{3B306B7D-9E19-451F-B7E4-67BB559C8C84}"/>
    <cellStyle name="Salida 45 4" xfId="5420" xr:uid="{DA7D12ED-82B4-4AA7-A14A-E72FA91EE2FB}"/>
    <cellStyle name="Salida 45 5" xfId="5421" xr:uid="{B18AC469-E329-4800-A32B-469D3C0BA76E}"/>
    <cellStyle name="Salida 45 6" xfId="5422" xr:uid="{23570750-6B99-449D-8FC9-8B605F6B9346}"/>
    <cellStyle name="Salida 45 7" xfId="5423" xr:uid="{9393B1F5-9212-4511-8596-524C42395145}"/>
    <cellStyle name="Salida 46" xfId="3040" xr:uid="{D29564B0-4BDC-4ECB-85CE-0F3675379614}"/>
    <cellStyle name="Salida 46 2" xfId="5424" xr:uid="{91C1015A-432F-4CCE-B357-7C7E50ACFA6E}"/>
    <cellStyle name="Salida 46 3" xfId="5425" xr:uid="{3BFE7EBB-3A06-4BF9-B6EF-996E3F1F1767}"/>
    <cellStyle name="Salida 46 4" xfId="5426" xr:uid="{74302222-5D0D-4FD1-B07B-E1B8E260133D}"/>
    <cellStyle name="Salida 46 5" xfId="5427" xr:uid="{87583BFD-CA31-4876-A4A3-353E7311F95F}"/>
    <cellStyle name="Salida 46 6" xfId="5428" xr:uid="{DF0EBCA7-2EA7-43B6-B8CF-FAF867954298}"/>
    <cellStyle name="Salida 46 7" xfId="5429" xr:uid="{A1205342-E196-47A7-9420-39B917D4F0C1}"/>
    <cellStyle name="Salida 47" xfId="3041" xr:uid="{89C8DF40-D647-490D-92CD-D80A1B77DB65}"/>
    <cellStyle name="Salida 47 2" xfId="5430" xr:uid="{63FEA167-6AC1-46E8-8C56-D19FF60D0269}"/>
    <cellStyle name="Salida 47 3" xfId="5431" xr:uid="{62687E41-B32A-46B6-B5B2-C8F994C83B18}"/>
    <cellStyle name="Salida 47 4" xfId="5432" xr:uid="{C8751F63-50C6-4494-808A-07A4BD8F2BFC}"/>
    <cellStyle name="Salida 47 5" xfId="5433" xr:uid="{6D5A5264-812B-43A0-9F5A-37ACAA7BF09B}"/>
    <cellStyle name="Salida 47 6" xfId="5434" xr:uid="{31E40388-CDA0-4855-8495-FCAF034CB35D}"/>
    <cellStyle name="Salida 47 7" xfId="5435" xr:uid="{D02408DD-A0B7-48CD-8D02-7C93FF1B6190}"/>
    <cellStyle name="Salida 48" xfId="3042" xr:uid="{CAAD6B17-1C22-4D96-AF2B-3B8F8A03DD34}"/>
    <cellStyle name="Salida 48 2" xfId="5436" xr:uid="{33E72848-696D-4B65-A88E-CFBFB08183FF}"/>
    <cellStyle name="Salida 48 3" xfId="5437" xr:uid="{2320381E-460F-4699-8F5E-FB0D4FE01998}"/>
    <cellStyle name="Salida 48 4" xfId="5438" xr:uid="{CAEDEFE9-1A3B-4146-B8A5-84645B93B003}"/>
    <cellStyle name="Salida 48 5" xfId="5439" xr:uid="{F170855E-895E-4762-AA90-44CEEFF9D5B4}"/>
    <cellStyle name="Salida 48 6" xfId="5440" xr:uid="{23FC9CD4-A630-43BF-AE99-FDE7D4424995}"/>
    <cellStyle name="Salida 48 7" xfId="5441" xr:uid="{839CCAE2-E652-4456-B9B0-AAA07AE0B85D}"/>
    <cellStyle name="Salida 49" xfId="3043" xr:uid="{0B6887A4-3521-4DEE-99A1-537C0B2D08FD}"/>
    <cellStyle name="Salida 49 2" xfId="5442" xr:uid="{B4BB0BA9-515F-4433-8DF5-6E733E1489F4}"/>
    <cellStyle name="Salida 49 3" xfId="5443" xr:uid="{E8AB670A-F999-4283-8CE4-A89B9C6BFE69}"/>
    <cellStyle name="Salida 49 4" xfId="5444" xr:uid="{A32A4150-09E3-4273-8DDB-157DCE99DFED}"/>
    <cellStyle name="Salida 49 5" xfId="5445" xr:uid="{3D93460A-6CFC-4FFF-9506-1D2F98D9E1A0}"/>
    <cellStyle name="Salida 49 6" xfId="5446" xr:uid="{0DA75B88-B52F-4FCD-B0D4-2DD5FED4F209}"/>
    <cellStyle name="Salida 49 7" xfId="5447" xr:uid="{00FE022A-1FF6-4EDF-B24D-3D97650EFF1D}"/>
    <cellStyle name="Salida 5" xfId="431" xr:uid="{C88F4FAA-A24A-4276-BD2A-DFC1F60A2BD1}"/>
    <cellStyle name="Salida 5 2" xfId="5448" xr:uid="{0999A763-B780-44EE-908C-66EB362867FB}"/>
    <cellStyle name="Salida 5 3" xfId="5449" xr:uid="{6E17C15B-2B9E-405C-8180-4868E813994D}"/>
    <cellStyle name="Salida 5 4" xfId="5450" xr:uid="{E594A96A-B689-4B3F-8791-76FBD233B0A9}"/>
    <cellStyle name="Salida 5 5" xfId="5451" xr:uid="{795BEA7D-A48E-4AAF-AA8D-294FCB2A7B61}"/>
    <cellStyle name="Salida 5 6" xfId="5452" xr:uid="{751C192A-E096-4D26-AD99-DA3B1DA6247B}"/>
    <cellStyle name="Salida 5 7" xfId="5453" xr:uid="{7F9231AC-C45A-47C5-B147-295B76CF6A89}"/>
    <cellStyle name="Salida 5 8" xfId="10960" xr:uid="{4DCB5C7D-8C9B-4CDC-9A1C-A7489D23752D}"/>
    <cellStyle name="Salida 50" xfId="3044" xr:uid="{ABED0BD8-5DF7-417B-AF0B-0B45EE632324}"/>
    <cellStyle name="Salida 50 2" xfId="5454" xr:uid="{3D38E05A-B0E3-4B99-A556-AD109ACAB32E}"/>
    <cellStyle name="Salida 50 3" xfId="5455" xr:uid="{8D85D1AC-E363-459E-B76E-FE07D0B53B54}"/>
    <cellStyle name="Salida 50 4" xfId="5456" xr:uid="{BCB5FCD7-74F9-4876-A22B-9D2D76575BBB}"/>
    <cellStyle name="Salida 50 5" xfId="5457" xr:uid="{F3FBA9E8-4993-49F8-969E-16291D3C6988}"/>
    <cellStyle name="Salida 50 6" xfId="5458" xr:uid="{F923E707-7DC3-455A-AB8F-414FEFE4A8D1}"/>
    <cellStyle name="Salida 50 7" xfId="5459" xr:uid="{6A3E2C85-591C-4CFD-83BB-6D33B9F716FD}"/>
    <cellStyle name="Salida 51" xfId="3045" xr:uid="{22F6D2B6-DAFB-4D72-8CFD-379892960BCE}"/>
    <cellStyle name="Salida 51 2" xfId="5460" xr:uid="{A4C83BF3-356C-47F1-A11D-3861F421EA96}"/>
    <cellStyle name="Salida 51 3" xfId="5461" xr:uid="{C9375567-997E-4B14-9EF9-503ADE7459E1}"/>
    <cellStyle name="Salida 51 4" xfId="5462" xr:uid="{B07E7A93-566B-4DEF-84B0-84A192AEB6BE}"/>
    <cellStyle name="Salida 51 5" xfId="5463" xr:uid="{B10A9F9D-58E7-4530-BDE4-F0A9E804CB35}"/>
    <cellStyle name="Salida 51 6" xfId="5464" xr:uid="{11683697-4FE7-49B2-89A3-448C0EC8BC48}"/>
    <cellStyle name="Salida 51 7" xfId="5465" xr:uid="{97ECDC4B-4CF9-467F-8D8B-4ADDC3429462}"/>
    <cellStyle name="Salida 52" xfId="3046" xr:uid="{850A4F84-1056-4072-8393-487EC9183DE2}"/>
    <cellStyle name="Salida 52 2" xfId="5466" xr:uid="{5CD92799-0355-451A-BBCB-D4A33515D3DC}"/>
    <cellStyle name="Salida 52 3" xfId="5467" xr:uid="{E5148B8A-BFE3-4A9C-B92C-72846634250E}"/>
    <cellStyle name="Salida 52 4" xfId="5468" xr:uid="{96651C92-6EB4-46C2-B959-AD994695CE36}"/>
    <cellStyle name="Salida 52 5" xfId="5469" xr:uid="{7A583114-7DDE-4ED8-8A88-260159CE8B2D}"/>
    <cellStyle name="Salida 52 6" xfId="5470" xr:uid="{EACE753D-A53F-4240-8C87-E5E51AFB1005}"/>
    <cellStyle name="Salida 52 7" xfId="5471" xr:uid="{48F19DB4-52DB-4B30-AA3F-63919C8829D2}"/>
    <cellStyle name="Salida 53" xfId="3047" xr:uid="{F7E7D879-8472-4AA2-8467-87C8735BC301}"/>
    <cellStyle name="Salida 53 2" xfId="5472" xr:uid="{9FF50850-C73E-46AD-BD30-11903ED839EC}"/>
    <cellStyle name="Salida 53 3" xfId="5473" xr:uid="{F443F230-9EC4-428F-BAEB-07B947090E62}"/>
    <cellStyle name="Salida 53 4" xfId="5474" xr:uid="{A25FA74B-9617-4B5F-9A5D-BA4337FE0FCB}"/>
    <cellStyle name="Salida 53 5" xfId="5475" xr:uid="{CC69BF28-EC16-43F1-A11F-3C4957A22DE0}"/>
    <cellStyle name="Salida 53 6" xfId="5476" xr:uid="{2BD07ADE-B18B-47CC-91BD-FF64EBB2B779}"/>
    <cellStyle name="Salida 53 7" xfId="5477" xr:uid="{74BBB170-3FD8-45D5-A9F5-AEA00AC9A67E}"/>
    <cellStyle name="Salida 54" xfId="3048" xr:uid="{B83B418C-5B64-49BB-BAE7-AB0BE863C6E3}"/>
    <cellStyle name="Salida 54 2" xfId="5478" xr:uid="{CF6486E5-A6B7-4FCC-B562-D8C55E5CAAAD}"/>
    <cellStyle name="Salida 54 3" xfId="5479" xr:uid="{DB886DAA-0F96-47A1-A215-FA0608FA2DAE}"/>
    <cellStyle name="Salida 54 4" xfId="5480" xr:uid="{5519CE24-590B-43EE-87B1-14D810519FB6}"/>
    <cellStyle name="Salida 54 5" xfId="5481" xr:uid="{F7AD8628-4A06-403D-B0AB-DDF821C41853}"/>
    <cellStyle name="Salida 54 6" xfId="5482" xr:uid="{AC8662FF-80CA-4B8D-AD8B-91E848BAE57E}"/>
    <cellStyle name="Salida 54 7" xfId="5483" xr:uid="{56435817-25E5-4E5C-8483-C03C49708F6D}"/>
    <cellStyle name="Salida 55" xfId="3049" xr:uid="{7C3434CA-B4FB-4D2A-AE2A-34F9E7DF4380}"/>
    <cellStyle name="Salida 55 2" xfId="5484" xr:uid="{AFEC80E8-FEBA-4603-8B98-90693E1AFF61}"/>
    <cellStyle name="Salida 55 3" xfId="5485" xr:uid="{6FC494EA-471C-4B03-837A-08E8F51B7A9E}"/>
    <cellStyle name="Salida 55 4" xfId="5486" xr:uid="{8F497947-B75B-4D6A-83AD-CAFF206528F2}"/>
    <cellStyle name="Salida 55 5" xfId="5487" xr:uid="{68D0DCC5-28A7-4A9E-B7BC-6E09C3BFC943}"/>
    <cellStyle name="Salida 55 6" xfId="5488" xr:uid="{3E711BAB-1455-4AFD-B693-48E98702CB9F}"/>
    <cellStyle name="Salida 55 7" xfId="5489" xr:uid="{A7872BEA-A846-478F-B522-65B6B47C75A6}"/>
    <cellStyle name="Salida 56" xfId="3050" xr:uid="{9147D570-49A0-43CB-AAB3-6F890F0821E0}"/>
    <cellStyle name="Salida 56 2" xfId="5490" xr:uid="{422F2EF6-3C05-45BD-B500-DC4514E27EAC}"/>
    <cellStyle name="Salida 56 3" xfId="5491" xr:uid="{8EF80C82-1808-45BE-96A5-A8B92F0A0CF0}"/>
    <cellStyle name="Salida 56 4" xfId="5492" xr:uid="{29CBA95E-F7ED-47C3-A9A3-90C1C4CEC0B7}"/>
    <cellStyle name="Salida 56 5" xfId="5493" xr:uid="{0D4F6AF7-413B-4813-87FE-5DB92A8CF658}"/>
    <cellStyle name="Salida 56 6" xfId="5494" xr:uid="{7AADFA8F-8D0B-4906-B0FA-B1D61BC6D135}"/>
    <cellStyle name="Salida 56 7" xfId="5495" xr:uid="{AAF54F70-9D1C-401E-ACCE-1BEB5AD329FC}"/>
    <cellStyle name="Salida 57" xfId="3051" xr:uid="{CE837019-F307-4B44-9AF0-4E62E730773E}"/>
    <cellStyle name="Salida 57 2" xfId="5496" xr:uid="{A252F2D2-F4AA-42D2-8B8B-7351F19A8B88}"/>
    <cellStyle name="Salida 57 3" xfId="5497" xr:uid="{020517D1-6F96-436E-95A3-105C85D36C89}"/>
    <cellStyle name="Salida 57 4" xfId="5498" xr:uid="{A9CDEC69-5C33-4A55-BEB1-1FBC049B63D6}"/>
    <cellStyle name="Salida 57 5" xfId="5499" xr:uid="{18C65124-01D7-46FE-89E4-EC849C03CD5E}"/>
    <cellStyle name="Salida 57 6" xfId="5500" xr:uid="{7DFD2128-8AF1-4CEE-96D3-8404832AF03A}"/>
    <cellStyle name="Salida 57 7" xfId="5501" xr:uid="{AFA920D8-91C0-47A6-9126-3E8FD7205C3B}"/>
    <cellStyle name="Salida 58" xfId="3052" xr:uid="{8C9A4D28-ED8D-4014-B028-AC0EEB9915BB}"/>
    <cellStyle name="Salida 58 2" xfId="5502" xr:uid="{FC40AF36-B501-4856-8D36-E997766D257E}"/>
    <cellStyle name="Salida 58 3" xfId="5503" xr:uid="{0A975997-9DEB-4B26-B0D8-F17D5E97B336}"/>
    <cellStyle name="Salida 58 4" xfId="5504" xr:uid="{06857641-DE00-479A-90E4-9AD6A45855FF}"/>
    <cellStyle name="Salida 58 5" xfId="5505" xr:uid="{BB9EE4E5-9851-4244-B667-862213C8BBA4}"/>
    <cellStyle name="Salida 58 6" xfId="5506" xr:uid="{267EC237-4F9C-4315-82A0-8EC6BD744E0B}"/>
    <cellStyle name="Salida 58 7" xfId="5507" xr:uid="{9895351A-A573-4C5A-BED2-8019EA37401A}"/>
    <cellStyle name="Salida 59" xfId="3053" xr:uid="{ED81D631-1222-4AFD-A90E-878187723CC8}"/>
    <cellStyle name="Salida 59 2" xfId="5508" xr:uid="{A8068DF4-9D3E-4B23-B1DB-2AA7866ABF47}"/>
    <cellStyle name="Salida 59 3" xfId="5509" xr:uid="{31600FEE-02E3-4BFF-B943-5C33260AAE01}"/>
    <cellStyle name="Salida 59 4" xfId="5510" xr:uid="{3A848A12-3F90-48CC-99C1-85B7B79DEAF7}"/>
    <cellStyle name="Salida 59 5" xfId="5511" xr:uid="{38A6B0F6-04DD-4175-B03D-B5DC77FFF119}"/>
    <cellStyle name="Salida 59 6" xfId="5512" xr:uid="{B2327CAA-9243-41AB-A87B-1367B9405B0E}"/>
    <cellStyle name="Salida 59 7" xfId="5513" xr:uid="{83D0E27D-FF44-4183-AF31-D09EF5A60C16}"/>
    <cellStyle name="Salida 6" xfId="432" xr:uid="{E1EFE818-D20C-4399-B13C-25F5E7E785E8}"/>
    <cellStyle name="Salida 6 2" xfId="5514" xr:uid="{647E7181-0C46-4737-81B3-B4F5EA7A29FC}"/>
    <cellStyle name="Salida 6 3" xfId="5515" xr:uid="{246F7ECE-956E-4783-BFF0-6ACBDC079816}"/>
    <cellStyle name="Salida 6 4" xfId="5516" xr:uid="{C9CA3616-8EA1-4C19-A2E8-17AB325C663B}"/>
    <cellStyle name="Salida 6 5" xfId="5517" xr:uid="{06F10CB9-CAA4-45A9-9E6E-C8BAF4A1CA0B}"/>
    <cellStyle name="Salida 6 6" xfId="5518" xr:uid="{55B98FE4-D165-4511-8048-4B02A31A9A54}"/>
    <cellStyle name="Salida 6 7" xfId="5519" xr:uid="{B803E6A3-F68B-460F-9AE1-FF877A876EFE}"/>
    <cellStyle name="Salida 6 8" xfId="10998" xr:uid="{421CFA95-1E3E-40E0-9DF5-26845C083D68}"/>
    <cellStyle name="Salida 60" xfId="3054" xr:uid="{FFAC4366-6EA7-4F2A-910F-DFBCE1E7F82F}"/>
    <cellStyle name="Salida 60 2" xfId="5520" xr:uid="{8D416B91-0F1E-4C14-9D28-045DD7881464}"/>
    <cellStyle name="Salida 60 3" xfId="5521" xr:uid="{8CC87177-3A80-4E49-B023-C9593FE3D4AF}"/>
    <cellStyle name="Salida 60 4" xfId="5522" xr:uid="{7AFFC821-FBEF-4934-8517-3EF122B2C130}"/>
    <cellStyle name="Salida 60 5" xfId="5523" xr:uid="{C47C8B16-62B2-4D7D-B218-92B929C9775F}"/>
    <cellStyle name="Salida 60 6" xfId="5524" xr:uid="{7BDD7D65-1910-40C3-82E0-3A4EFFE16277}"/>
    <cellStyle name="Salida 60 7" xfId="5525" xr:uid="{A0BB8785-1BD0-4658-9FD7-679D0747CE5F}"/>
    <cellStyle name="Salida 61" xfId="3055" xr:uid="{5ACC1B6A-9372-44BC-B2C0-DDF13BE72EBA}"/>
    <cellStyle name="Salida 61 2" xfId="5526" xr:uid="{27E3711C-03F3-4191-8A65-486093E0971A}"/>
    <cellStyle name="Salida 61 3" xfId="5527" xr:uid="{ED0DB706-7EE7-4BA4-80AD-1832383CFC76}"/>
    <cellStyle name="Salida 61 4" xfId="5528" xr:uid="{9BE11806-C5FF-4203-891F-546E5545EAC9}"/>
    <cellStyle name="Salida 61 5" xfId="5529" xr:uid="{531C8545-ADC2-401B-8153-D87C7D19746B}"/>
    <cellStyle name="Salida 61 6" xfId="5530" xr:uid="{4B2EDE6A-B5B2-493A-9EBB-B929747B32A6}"/>
    <cellStyle name="Salida 61 7" xfId="5531" xr:uid="{BC1C81F5-0CD5-4E9D-9A46-A8806408004B}"/>
    <cellStyle name="Salida 62" xfId="3056" xr:uid="{BE0E7976-7819-4C37-A08A-77E436C5113B}"/>
    <cellStyle name="Salida 62 2" xfId="5532" xr:uid="{7485FC73-F707-417F-9B06-AEA170C3489E}"/>
    <cellStyle name="Salida 62 3" xfId="5533" xr:uid="{2266F5C5-C777-4DF4-BC46-84F4F0BD10A1}"/>
    <cellStyle name="Salida 62 4" xfId="5534" xr:uid="{868F3191-423B-4628-893F-4B917E8BC0F6}"/>
    <cellStyle name="Salida 62 5" xfId="5535" xr:uid="{C58B3BD9-4C3E-40AF-95FB-AB40560F3B75}"/>
    <cellStyle name="Salida 62 6" xfId="5536" xr:uid="{D2051973-6916-4C86-A933-972DA71DBE81}"/>
    <cellStyle name="Salida 62 7" xfId="5537" xr:uid="{780D666E-E4E1-452F-B4E7-20B04EA4B8B2}"/>
    <cellStyle name="Salida 63" xfId="3057" xr:uid="{17BDF3B1-610D-4997-AF4C-EFBC29565065}"/>
    <cellStyle name="Salida 63 2" xfId="5538" xr:uid="{78CA251D-3F0D-4327-88DD-4D05E402C1F2}"/>
    <cellStyle name="Salida 63 3" xfId="5539" xr:uid="{E8CE2645-9286-42F5-9333-6DF7FEEDD7EE}"/>
    <cellStyle name="Salida 63 4" xfId="5540" xr:uid="{A52705E8-2F55-4AFD-8ADB-D3BD702C11E1}"/>
    <cellStyle name="Salida 63 5" xfId="5541" xr:uid="{36A0DBB7-F9ED-41CE-AC1C-F3A401C6F721}"/>
    <cellStyle name="Salida 63 6" xfId="5542" xr:uid="{78688A90-E5EE-4C02-AE3E-6F3B03443C71}"/>
    <cellStyle name="Salida 63 7" xfId="5543" xr:uid="{B5F5CC76-B26C-463F-8DCA-83D798FCA392}"/>
    <cellStyle name="Salida 64" xfId="3058" xr:uid="{90430250-2D58-4188-A767-5932A6916105}"/>
    <cellStyle name="Salida 64 2" xfId="5544" xr:uid="{67BDCD99-2C3D-4F9C-992C-28A3F5532F9F}"/>
    <cellStyle name="Salida 64 3" xfId="5545" xr:uid="{34D4D99F-8ED7-4BA0-B9EC-0D757CBC32A9}"/>
    <cellStyle name="Salida 64 4" xfId="5546" xr:uid="{C58C5EF7-FA52-4C04-8BF0-5AB8B0AE80CF}"/>
    <cellStyle name="Salida 64 5" xfId="5547" xr:uid="{BB9CD440-C78C-42D2-A80B-33CF3329A013}"/>
    <cellStyle name="Salida 64 6" xfId="5548" xr:uid="{A2245188-E83E-4D4C-9E68-39438ACBE4D2}"/>
    <cellStyle name="Salida 64 7" xfId="5549" xr:uid="{C12BB096-0825-4A7A-9380-86BBF237E772}"/>
    <cellStyle name="Salida 65" xfId="3059" xr:uid="{965F6307-6D4E-403A-8C9F-56FD8F98D433}"/>
    <cellStyle name="Salida 65 2" xfId="5550" xr:uid="{26B78DAA-DDC6-427B-B540-D0B043343673}"/>
    <cellStyle name="Salida 65 3" xfId="5551" xr:uid="{950B9FDF-9D78-4AB7-BAA6-7CC17D1CA57B}"/>
    <cellStyle name="Salida 65 4" xfId="5552" xr:uid="{D2D31977-D7D7-439E-B142-1FA7C66F73FA}"/>
    <cellStyle name="Salida 65 5" xfId="5553" xr:uid="{14000F06-CFCB-4183-9F38-CFA7A681100E}"/>
    <cellStyle name="Salida 65 6" xfId="5554" xr:uid="{6BA14118-E002-4D3A-A8A5-4B1681B61AD1}"/>
    <cellStyle name="Salida 65 7" xfId="5555" xr:uid="{A439A472-8620-4BBA-A0C6-B36CB195E977}"/>
    <cellStyle name="Salida 66" xfId="3060" xr:uid="{2FF84614-DE48-4922-AA3A-ACAF6FE37A6E}"/>
    <cellStyle name="Salida 66 2" xfId="5556" xr:uid="{1178066A-6165-4136-B725-DF96F5071CCA}"/>
    <cellStyle name="Salida 66 3" xfId="5557" xr:uid="{29D1826B-B141-4BA9-97D3-A10BDBC839C4}"/>
    <cellStyle name="Salida 66 4" xfId="5558" xr:uid="{3D0A8437-5094-49C3-A992-F11721A23F77}"/>
    <cellStyle name="Salida 66 5" xfId="5559" xr:uid="{4B7AC679-3E4A-478E-AC96-5F9F95844204}"/>
    <cellStyle name="Salida 66 6" xfId="5560" xr:uid="{438245AD-8FBE-4D3D-AE77-D412C7B89663}"/>
    <cellStyle name="Salida 66 7" xfId="5561" xr:uid="{445433BE-ACEB-4129-BFC6-C6934D72A1E1}"/>
    <cellStyle name="Salida 67" xfId="3061" xr:uid="{A318E9B6-97B3-4EBA-AB7C-4D05C0309827}"/>
    <cellStyle name="Salida 67 2" xfId="5562" xr:uid="{3B66EA54-069F-4F1E-A94E-B894434FAC82}"/>
    <cellStyle name="Salida 67 3" xfId="5563" xr:uid="{D7E052BC-9683-4B6C-BE19-C2A79F86BBCA}"/>
    <cellStyle name="Salida 67 4" xfId="5564" xr:uid="{4556A2C6-D8B7-457F-AF19-2B98ED39B40F}"/>
    <cellStyle name="Salida 67 5" xfId="5565" xr:uid="{FEDD3071-960B-45BC-82CB-2EBA7D54D122}"/>
    <cellStyle name="Salida 67 6" xfId="5566" xr:uid="{6A65CDDE-A742-4F98-A5B1-DB3024F963AA}"/>
    <cellStyle name="Salida 67 7" xfId="5567" xr:uid="{0A37CDE0-BBC5-47EF-B314-6AC07F21499E}"/>
    <cellStyle name="Salida 68" xfId="539" xr:uid="{63A90C3F-5367-4C5B-8DBB-CC71723B88B0}"/>
    <cellStyle name="Salida 69" xfId="5568" xr:uid="{4A1A76A3-DE87-4A1B-8E90-55F7136762CA}"/>
    <cellStyle name="Salida 7" xfId="433" xr:uid="{A561ACE3-3D34-47BE-913C-291FBD438D87}"/>
    <cellStyle name="Salida 7 2" xfId="5569" xr:uid="{47B96640-82BE-4CE4-9339-E62C9633AF45}"/>
    <cellStyle name="Salida 7 3" xfId="5570" xr:uid="{81043429-E3B7-474D-90DA-02A6F4893A2E}"/>
    <cellStyle name="Salida 7 4" xfId="5571" xr:uid="{73167225-C4A6-44C9-A137-B94B7E7D07C5}"/>
    <cellStyle name="Salida 7 5" xfId="5572" xr:uid="{65307E8F-56CF-495F-8EB1-768954FA731B}"/>
    <cellStyle name="Salida 7 6" xfId="5573" xr:uid="{902BB4D6-8986-47C8-8090-88DB2C3B3203}"/>
    <cellStyle name="Salida 7 7" xfId="5574" xr:uid="{83C7723A-0DBD-452D-8490-C83DD7805A9D}"/>
    <cellStyle name="Salida 70" xfId="5575" xr:uid="{6E03028B-C91B-47EB-AF94-33261B39C141}"/>
    <cellStyle name="Salida 71" xfId="5576" xr:uid="{D95E8E09-96D9-47C0-B026-614AD6643563}"/>
    <cellStyle name="Salida 72" xfId="5577" xr:uid="{BAD7A678-E691-4C4A-89E8-2B70E567B1C1}"/>
    <cellStyle name="Salida 73" xfId="5578" xr:uid="{1B7DCBA2-6596-4C7F-A8B1-2BC2CFD7F52B}"/>
    <cellStyle name="Salida 8" xfId="3062" xr:uid="{F5F4692D-6C16-4DFC-95D2-E34113BF8F9D}"/>
    <cellStyle name="Salida 8 2" xfId="5579" xr:uid="{D00B21A5-D43E-42B7-9625-564EA2E9B796}"/>
    <cellStyle name="Salida 8 3" xfId="5580" xr:uid="{68A968B9-22DA-49ED-BEBA-6FCFC135D686}"/>
    <cellStyle name="Salida 8 4" xfId="5581" xr:uid="{AEBCEAC7-BFAC-4DE2-B95C-811BD5511966}"/>
    <cellStyle name="Salida 8 5" xfId="5582" xr:uid="{D428BF96-5944-4538-986C-FCC22915A138}"/>
    <cellStyle name="Salida 8 6" xfId="5583" xr:uid="{086F582B-5D9C-4C03-8880-691611E8A898}"/>
    <cellStyle name="Salida 8 7" xfId="5584" xr:uid="{9562D7CD-7121-4A81-B53D-D7478A6A3148}"/>
    <cellStyle name="Salida 9" xfId="3063" xr:uid="{DEEF2626-8BF6-41C3-939D-8EEB55712CB4}"/>
    <cellStyle name="Salida 9 2" xfId="5585" xr:uid="{66D9A1E7-B857-4AEB-B192-8E2D892DA86A}"/>
    <cellStyle name="Salida 9 3" xfId="5586" xr:uid="{3FBC5170-9E8F-46E2-9736-EE26F3A2CD7E}"/>
    <cellStyle name="Salida 9 4" xfId="5587" xr:uid="{FB42B9CE-1753-45B3-9145-AE7F6FC7AF38}"/>
    <cellStyle name="Salida 9 5" xfId="5588" xr:uid="{5D13EC51-03B9-482C-847B-ED295242120B}"/>
    <cellStyle name="Salida 9 6" xfId="5589" xr:uid="{EE5597F4-BFB9-4F6D-A114-1FD4BF1FBC69}"/>
    <cellStyle name="Salida 9 7" xfId="5590" xr:uid="{C03A4336-6FEB-4B65-9814-B9663F951174}"/>
    <cellStyle name="STYL1 - Style1" xfId="11331" xr:uid="{F32B19B2-816E-4D82-AB9B-28A709133EF5}"/>
    <cellStyle name="Style 1" xfId="12529" xr:uid="{8CDC13CC-B024-48EE-8D11-9E4696F35865}"/>
    <cellStyle name="Sub Titulos" xfId="11332" xr:uid="{F3B0D9CC-F5BF-4CCE-ACDE-5C65D5A507D5}"/>
    <cellStyle name="Sub Titulos 2" xfId="11750" xr:uid="{BAEC2EC4-56E0-4A53-98B3-92A3C86438AB}"/>
    <cellStyle name="Texto de advertencia 10" xfId="3064" xr:uid="{AA33FABF-A258-488E-BFFF-FC59F191E914}"/>
    <cellStyle name="Texto de advertencia 11" xfId="3065" xr:uid="{64C077F1-9C5D-4081-8925-D2FD99BE878D}"/>
    <cellStyle name="Texto de advertencia 12" xfId="3066" xr:uid="{E620C7CB-691C-4E64-ADB1-F86D91060A72}"/>
    <cellStyle name="Texto de advertencia 13" xfId="3067" xr:uid="{AE979A74-9B5C-42D3-8D22-7ABF1834767D}"/>
    <cellStyle name="Texto de advertencia 14" xfId="3068" xr:uid="{BE99AF9E-FFB3-4C31-9B7E-2EB667074EA2}"/>
    <cellStyle name="Texto de advertencia 15" xfId="3069" xr:uid="{8699B05F-36A9-4ED3-BEB2-3809AE74CB15}"/>
    <cellStyle name="Texto de advertencia 16" xfId="3070" xr:uid="{4979CB70-46C9-4991-AB9F-0FA05513A5B9}"/>
    <cellStyle name="Texto de advertencia 17" xfId="3071" xr:uid="{9C4E6308-BDCA-4DE3-8727-E943300E9C0E}"/>
    <cellStyle name="Texto de advertencia 18" xfId="3072" xr:uid="{DB298F62-9CE9-407F-BA5A-8793E390732A}"/>
    <cellStyle name="Texto de advertencia 19" xfId="3073" xr:uid="{14A36376-2296-4752-9391-3F381824EDF7}"/>
    <cellStyle name="Texto de advertencia 2" xfId="53" xr:uid="{E8B5B5D3-61E0-404E-9A53-F74B4A46FA47}"/>
    <cellStyle name="Texto de advertencia 2 2" xfId="3074" xr:uid="{1425A39C-4575-422A-B3BD-363959CDFB3A}"/>
    <cellStyle name="Texto de advertencia 2 3" xfId="3075" xr:uid="{C9C39E9C-A169-48F8-9612-34F0016349E8}"/>
    <cellStyle name="Texto de advertencia 2 4" xfId="3076" xr:uid="{08E76218-A09B-4F74-9486-4C5586422C68}"/>
    <cellStyle name="Texto de advertencia 2 5" xfId="3077" xr:uid="{5AAE31B7-4101-4A78-B06C-79B901B1B873}"/>
    <cellStyle name="Texto de advertencia 20" xfId="3078" xr:uid="{748E3877-5DE0-48C0-9565-C283E79A0265}"/>
    <cellStyle name="Texto de advertencia 21" xfId="3079" xr:uid="{73819D50-6F29-483E-84F3-E8D45D0C12A1}"/>
    <cellStyle name="Texto de advertencia 22" xfId="3080" xr:uid="{4E71CF67-0A9F-46B7-9A26-325F448FBC8A}"/>
    <cellStyle name="Texto de advertencia 23" xfId="3081" xr:uid="{F664F94A-3AD5-427A-B1EF-A8E7D0F5B720}"/>
    <cellStyle name="Texto de advertencia 24" xfId="3082" xr:uid="{01577A7D-2883-48EE-8940-6FA7277CDAE3}"/>
    <cellStyle name="Texto de advertencia 25" xfId="3083" xr:uid="{ED30D5D0-0236-4B5C-9AD3-6A72658EF2BE}"/>
    <cellStyle name="Texto de advertencia 26" xfId="3084" xr:uid="{91DBBEAB-FD72-4C21-B9E9-66CB7429DC94}"/>
    <cellStyle name="Texto de advertencia 27" xfId="3085" xr:uid="{F19AC495-5CAE-4939-994E-BA93A0E75E2F}"/>
    <cellStyle name="Texto de advertencia 28" xfId="3086" xr:uid="{EB0C9BE6-AB46-4726-95F7-3D8F45BDDBAD}"/>
    <cellStyle name="Texto de advertencia 29" xfId="3087" xr:uid="{53826526-D8C5-4DBB-8DAA-07CD6433638B}"/>
    <cellStyle name="Texto de advertencia 3" xfId="434" xr:uid="{CDFF6B95-9BF3-4FCF-9E73-907673244AFA}"/>
    <cellStyle name="Texto de advertencia 30" xfId="3088" xr:uid="{2E189271-FBA3-4BC1-86F1-D69F6796B1D1}"/>
    <cellStyle name="Texto de advertencia 31" xfId="3089" xr:uid="{D045409C-878F-42C3-AB11-0B9D377DD325}"/>
    <cellStyle name="Texto de advertencia 32" xfId="3090" xr:uid="{6C017184-2A95-4D06-A4FF-1974CE9604D7}"/>
    <cellStyle name="Texto de advertencia 33" xfId="3091" xr:uid="{96CCB6FA-4400-48EA-8E3F-0F7014178BDC}"/>
    <cellStyle name="Texto de advertencia 34" xfId="3092" xr:uid="{3AF156A7-8C88-4BFE-AB6E-17BD1EC21E71}"/>
    <cellStyle name="Texto de advertencia 35" xfId="3093" xr:uid="{B4DCA626-EC86-42DA-B3AF-EA884FF644CB}"/>
    <cellStyle name="Texto de advertencia 36" xfId="3094" xr:uid="{513A9E7D-3499-4342-B2F4-59BAA3E00A46}"/>
    <cellStyle name="Texto de advertencia 37" xfId="3095" xr:uid="{90CB683F-3065-43D7-9B31-5A2CB302479B}"/>
    <cellStyle name="Texto de advertencia 38" xfId="3096" xr:uid="{4ABA1180-3269-4996-AA9B-DA02D96E3D38}"/>
    <cellStyle name="Texto de advertencia 39" xfId="3097" xr:uid="{EEE914F6-FB07-4698-8B5F-84ADFE445CCA}"/>
    <cellStyle name="Texto de advertencia 4" xfId="435" xr:uid="{991425E9-6D89-41B9-B2BB-0EC961F5EDFD}"/>
    <cellStyle name="Texto de advertencia 40" xfId="3098" xr:uid="{F9AB2A28-6CD9-4CF8-A9DA-0531B5C67550}"/>
    <cellStyle name="Texto de advertencia 41" xfId="3099" xr:uid="{C851F809-2856-4B07-917C-FF076CB95A22}"/>
    <cellStyle name="Texto de advertencia 42" xfId="3100" xr:uid="{B1B2EA26-7358-421E-AD36-DB9308CF26C5}"/>
    <cellStyle name="Texto de advertencia 43" xfId="3101" xr:uid="{C002C238-CD06-443D-A809-E64600857914}"/>
    <cellStyle name="Texto de advertencia 44" xfId="3102" xr:uid="{2BC8D1F4-2674-407B-AF32-371111EFD50B}"/>
    <cellStyle name="Texto de advertencia 45" xfId="3103" xr:uid="{09F94B75-DED4-4488-94B9-FFFBEE42202A}"/>
    <cellStyle name="Texto de advertencia 46" xfId="3104" xr:uid="{DBF075CE-AF75-4B75-960E-CAE469F353E7}"/>
    <cellStyle name="Texto de advertencia 47" xfId="3105" xr:uid="{414C1CF9-EBB0-436F-88CC-6B0D6B05581C}"/>
    <cellStyle name="Texto de advertencia 48" xfId="3106" xr:uid="{F37A0415-211F-49ED-ABE8-D08DD91A0380}"/>
    <cellStyle name="Texto de advertencia 49" xfId="3107" xr:uid="{1ACB4D22-4420-425B-86F5-19F9B4BD61AB}"/>
    <cellStyle name="Texto de advertencia 5" xfId="436" xr:uid="{9281E8B8-2577-47D2-A086-509BE0D48E3A}"/>
    <cellStyle name="Texto de advertencia 50" xfId="3108" xr:uid="{FD34B05B-D07B-4F79-B2C4-5D44FF18399B}"/>
    <cellStyle name="Texto de advertencia 51" xfId="3109" xr:uid="{48BC2016-898C-4F47-BD98-15E500122F85}"/>
    <cellStyle name="Texto de advertencia 52" xfId="3110" xr:uid="{C2A4B0B9-BD90-4C29-917F-A06A10BE47AE}"/>
    <cellStyle name="Texto de advertencia 53" xfId="3111" xr:uid="{EAB91038-593A-4B41-9897-E51537FEA2CD}"/>
    <cellStyle name="Texto de advertencia 54" xfId="3112" xr:uid="{77F6702E-075B-4275-9AEB-261965A316B2}"/>
    <cellStyle name="Texto de advertencia 55" xfId="3113" xr:uid="{877AF6A1-51DF-4EDB-B336-4C54E9219D57}"/>
    <cellStyle name="Texto de advertencia 56" xfId="3114" xr:uid="{15B87485-8040-481A-AFB4-4545A475F7C3}"/>
    <cellStyle name="Texto de advertencia 57" xfId="3115" xr:uid="{F4EC7441-AFF4-4A86-8290-58A7A661CD77}"/>
    <cellStyle name="Texto de advertencia 58" xfId="3116" xr:uid="{983EE1C0-882B-45F8-B850-01643C3456B2}"/>
    <cellStyle name="Texto de advertencia 59" xfId="3117" xr:uid="{1421C880-3D57-40DB-8EA7-CFFC423730C1}"/>
    <cellStyle name="Texto de advertencia 6" xfId="437" xr:uid="{F70EF268-EFEC-463C-9E5E-E669E34CC331}"/>
    <cellStyle name="Texto de advertencia 60" xfId="3118" xr:uid="{9CC79CF2-5BF6-4D3A-B69C-B787DD263895}"/>
    <cellStyle name="Texto de advertencia 61" xfId="3119" xr:uid="{226505AA-84D0-4BDC-85DC-F6F7156852F2}"/>
    <cellStyle name="Texto de advertencia 62" xfId="3120" xr:uid="{B9900D98-8EFE-442C-BE7B-9648078C45BF}"/>
    <cellStyle name="Texto de advertencia 63" xfId="3121" xr:uid="{6D0C9158-8254-46ED-82B8-B7387BE7D996}"/>
    <cellStyle name="Texto de advertencia 64" xfId="3122" xr:uid="{2F8A1C7E-A060-45C7-8E89-E19E142CAFE5}"/>
    <cellStyle name="Texto de advertencia 65" xfId="3123" xr:uid="{7364EA3F-3400-4349-9991-9CFFECB68E32}"/>
    <cellStyle name="Texto de advertencia 66" xfId="3124" xr:uid="{80F393AD-61A7-44F9-945B-8D6B5EC19C51}"/>
    <cellStyle name="Texto de advertencia 67" xfId="3125" xr:uid="{384753E8-6659-47D9-98B3-4BA08E7AF1CA}"/>
    <cellStyle name="Texto de advertencia 68" xfId="540" xr:uid="{1A4C1949-CFEC-4DF3-AE56-17C21C2068EB}"/>
    <cellStyle name="Texto de advertencia 7" xfId="438" xr:uid="{A001B67A-59A6-4F49-A96B-9BF4585D515B}"/>
    <cellStyle name="Texto de advertencia 8" xfId="3127" xr:uid="{DC50B00F-C7BF-44D2-888D-5BA801CC2AB7}"/>
    <cellStyle name="Texto de advertencia 9" xfId="3128" xr:uid="{F71379E0-DBD8-47B7-B2A4-E0E760FBC4DE}"/>
    <cellStyle name="Texto explicativo 10" xfId="3129" xr:uid="{B9AB6340-3F0A-4F26-9D1F-179B02897E90}"/>
    <cellStyle name="Texto explicativo 11" xfId="3130" xr:uid="{3956916B-173B-4C2D-8DB3-26598AF23E47}"/>
    <cellStyle name="Texto explicativo 12" xfId="3131" xr:uid="{0EAC6DF9-EB92-4FA2-B451-85776920DA05}"/>
    <cellStyle name="Texto explicativo 13" xfId="3132" xr:uid="{16EA85A2-B7C0-46B4-BDB4-D7C8FD50A5E4}"/>
    <cellStyle name="Texto explicativo 14" xfId="3133" xr:uid="{E071A585-6108-4845-AEFD-8323FC4D6822}"/>
    <cellStyle name="Texto explicativo 15" xfId="3134" xr:uid="{147C5223-778D-40E4-AF5A-99B2C5868C69}"/>
    <cellStyle name="Texto explicativo 16" xfId="3135" xr:uid="{686023C8-A91E-4A22-B23D-33A9B7BA2D16}"/>
    <cellStyle name="Texto explicativo 17" xfId="3136" xr:uid="{8C0E540C-B5BC-48DC-902B-B37D3D7951F4}"/>
    <cellStyle name="Texto explicativo 18" xfId="3137" xr:uid="{5D52EC9A-0F56-4CF1-84AF-61EEEBE1ADB6}"/>
    <cellStyle name="Texto explicativo 19" xfId="3138" xr:uid="{37B70BC5-AC59-4C8E-AF27-E78B2B670590}"/>
    <cellStyle name="Texto explicativo 2" xfId="54" xr:uid="{EBDF0E85-231B-4434-8645-8E6D106758CD}"/>
    <cellStyle name="Texto explicativo 2 2" xfId="3140" xr:uid="{C1D23290-9485-48D2-AA97-DC0D83F172AC}"/>
    <cellStyle name="Texto explicativo 2 3" xfId="3141" xr:uid="{4354ED25-356E-452F-B4FE-8425A0D3A305}"/>
    <cellStyle name="Texto explicativo 2 4" xfId="3142" xr:uid="{0775A239-6F45-4BF8-B981-3CF39F15103C}"/>
    <cellStyle name="Texto explicativo 2 5" xfId="3143" xr:uid="{37AF0F70-3279-4561-8E7E-B3B7C81D5477}"/>
    <cellStyle name="Texto explicativo 20" xfId="3144" xr:uid="{90B6EB1C-6596-4B16-B6AD-5B77F3F287EC}"/>
    <cellStyle name="Texto explicativo 21" xfId="3145" xr:uid="{CDD95817-679A-4A2C-8413-1C9712517522}"/>
    <cellStyle name="Texto explicativo 22" xfId="3146" xr:uid="{A6141FE1-C077-4AED-A87F-CE6FB55491CE}"/>
    <cellStyle name="Texto explicativo 23" xfId="3147" xr:uid="{0D5B30FA-2293-479F-A9C7-C4C400025DA8}"/>
    <cellStyle name="Texto explicativo 24" xfId="3148" xr:uid="{6B4119A4-C08D-40BA-AD87-04A186E0BE64}"/>
    <cellStyle name="Texto explicativo 25" xfId="3149" xr:uid="{F8997C4E-8C9E-4332-847C-4A961D45CE05}"/>
    <cellStyle name="Texto explicativo 26" xfId="3150" xr:uid="{BBEAC64C-0370-4014-9BE4-CDFD240E4103}"/>
    <cellStyle name="Texto explicativo 27" xfId="3151" xr:uid="{B661E982-ED16-4C45-83E3-A42881B78919}"/>
    <cellStyle name="Texto explicativo 28" xfId="3152" xr:uid="{CDC17029-0D90-44D6-AF14-84B35D1472FB}"/>
    <cellStyle name="Texto explicativo 29" xfId="3153" xr:uid="{2FEEC90E-7DDE-4B67-B0A4-B1D6431C7AD1}"/>
    <cellStyle name="Texto explicativo 3" xfId="439" xr:uid="{CCCE4594-4739-42CF-9846-4DBE5139F1CA}"/>
    <cellStyle name="Texto explicativo 30" xfId="3154" xr:uid="{C340B8BE-F7B9-41E8-9D0D-F5BB34A401F9}"/>
    <cellStyle name="Texto explicativo 31" xfId="3155" xr:uid="{3452082D-D5C4-42EB-8DE5-A8E5C99D2DCE}"/>
    <cellStyle name="Texto explicativo 32" xfId="3156" xr:uid="{43E84583-DE90-4F48-A909-824E023AACAA}"/>
    <cellStyle name="Texto explicativo 33" xfId="3157" xr:uid="{A3C9A0F9-8C42-4A78-8A61-1F34CD593E47}"/>
    <cellStyle name="Texto explicativo 34" xfId="3158" xr:uid="{EC8146C9-6B97-49CF-952B-EEE035860076}"/>
    <cellStyle name="Texto explicativo 35" xfId="3159" xr:uid="{F3066DBC-EF35-42B4-87EE-6F03E6F6F9BB}"/>
    <cellStyle name="Texto explicativo 36" xfId="3160" xr:uid="{A7388B2D-25E5-4D7A-BB78-44FAE0779C06}"/>
    <cellStyle name="Texto explicativo 37" xfId="3161" xr:uid="{C8122ED0-43B7-4BC0-9341-B51F871DA566}"/>
    <cellStyle name="Texto explicativo 38" xfId="3162" xr:uid="{E2769C57-5568-4B3F-9EE6-8E6A14E9E8BA}"/>
    <cellStyle name="Texto explicativo 39" xfId="3163" xr:uid="{E8FB49DA-2EBE-44BD-AD54-90201C44D0AB}"/>
    <cellStyle name="Texto explicativo 4" xfId="440" xr:uid="{92361979-AB76-4325-93DA-5428401A2F86}"/>
    <cellStyle name="Texto explicativo 40" xfId="3164" xr:uid="{7FD462CC-E84C-488B-86E6-34CFF26552F7}"/>
    <cellStyle name="Texto explicativo 41" xfId="3165" xr:uid="{5143DB01-F6F3-4C9A-A80B-BAB70A45BB78}"/>
    <cellStyle name="Texto explicativo 42" xfId="3166" xr:uid="{A469E9BC-0582-4503-A300-A5EBEF39BBE7}"/>
    <cellStyle name="Texto explicativo 43" xfId="3167" xr:uid="{F85B7B02-761A-49F7-AAA7-5593A9B4512E}"/>
    <cellStyle name="Texto explicativo 44" xfId="3168" xr:uid="{FD3AC5DC-EF9B-484E-8279-B0B8D9BA17ED}"/>
    <cellStyle name="Texto explicativo 45" xfId="3169" xr:uid="{A1A042BE-B4C2-41C8-996B-F5471466352B}"/>
    <cellStyle name="Texto explicativo 46" xfId="3170" xr:uid="{691030AE-002B-4CA6-9E0D-47BA0FD5941A}"/>
    <cellStyle name="Texto explicativo 47" xfId="3171" xr:uid="{A6C8893D-50CF-44BB-92FD-040893B08156}"/>
    <cellStyle name="Texto explicativo 48" xfId="3172" xr:uid="{68B4CEE5-0D04-4859-920D-C917F8FBC9AF}"/>
    <cellStyle name="Texto explicativo 49" xfId="3173" xr:uid="{CB819FFF-E279-4435-BBE0-78253E21C4B7}"/>
    <cellStyle name="Texto explicativo 5" xfId="441" xr:uid="{42DCD690-05AF-4036-91ED-DA8384D12168}"/>
    <cellStyle name="Texto explicativo 50" xfId="3174" xr:uid="{F76CFA02-3DB8-4796-9C46-20A3F7313812}"/>
    <cellStyle name="Texto explicativo 51" xfId="3175" xr:uid="{BF466BD3-8E2A-41BB-A43F-CA9866B7028B}"/>
    <cellStyle name="Texto explicativo 52" xfId="3176" xr:uid="{581A2F95-6681-49A2-8381-0FE5B420DEBD}"/>
    <cellStyle name="Texto explicativo 53" xfId="3177" xr:uid="{3EA31DB9-E7F0-4CBB-B1BB-36D5DC9F67A6}"/>
    <cellStyle name="Texto explicativo 54" xfId="3178" xr:uid="{A5874DF8-02FE-4220-AA0F-06346E79E936}"/>
    <cellStyle name="Texto explicativo 55" xfId="3179" xr:uid="{93CED5D4-8613-4DCD-8255-5A60460E96F2}"/>
    <cellStyle name="Texto explicativo 56" xfId="3180" xr:uid="{4AD6B22A-5291-4D24-AC46-B476FC1840BA}"/>
    <cellStyle name="Texto explicativo 57" xfId="3181" xr:uid="{98AB0FD8-1525-4503-AB53-AC556D8E0AD4}"/>
    <cellStyle name="Texto explicativo 58" xfId="3182" xr:uid="{9BCC0E83-3FFB-4649-B6E5-26E00BBD859D}"/>
    <cellStyle name="Texto explicativo 59" xfId="3183" xr:uid="{4B210833-960A-43A4-B9E1-143C2F0E4EBD}"/>
    <cellStyle name="Texto explicativo 6" xfId="442" xr:uid="{E3C5B3A7-0720-4EAC-B658-15A627505124}"/>
    <cellStyle name="Texto explicativo 60" xfId="3184" xr:uid="{D677C6BA-B784-4BAE-92DC-200F11401220}"/>
    <cellStyle name="Texto explicativo 61" xfId="3185" xr:uid="{F08CC067-935F-4A62-80EF-948F3BB5639E}"/>
    <cellStyle name="Texto explicativo 62" xfId="3186" xr:uid="{A1C76C69-727A-40EF-9127-0BDB28741991}"/>
    <cellStyle name="Texto explicativo 63" xfId="3187" xr:uid="{1741469C-60A5-4779-BA23-77718C1433C3}"/>
    <cellStyle name="Texto explicativo 64" xfId="3188" xr:uid="{142FEBFA-E742-427E-A1C2-64D88775798D}"/>
    <cellStyle name="Texto explicativo 65" xfId="3189" xr:uid="{5EDE6DEC-6483-4A35-A828-00A18C0D6897}"/>
    <cellStyle name="Texto explicativo 66" xfId="3190" xr:uid="{5B6BDBB3-092A-49A2-8A71-92405BC94985}"/>
    <cellStyle name="Texto explicativo 67" xfId="3191" xr:uid="{C5E0B3A7-C23C-43A8-87E0-268780943D23}"/>
    <cellStyle name="Texto explicativo 68" xfId="541" xr:uid="{72DE9B3F-514C-4A6E-8BC9-8FB8DBE477FC}"/>
    <cellStyle name="Texto explicativo 7" xfId="443" xr:uid="{03394BAC-A26B-4A97-A085-0B8DE3593C36}"/>
    <cellStyle name="Texto explicativo 8" xfId="3192" xr:uid="{BBE445D9-EE62-4206-BDBD-E5C321EC6746}"/>
    <cellStyle name="Texto explicativo 9" xfId="3193" xr:uid="{4158F416-4950-4F15-BA54-DFD0C60DB9EF}"/>
    <cellStyle name="Title" xfId="10970" xr:uid="{F8D1A819-B12F-4167-8279-CE4007B67A84}"/>
    <cellStyle name="Title 10" xfId="13642" xr:uid="{EDAB5AE6-69C8-4553-9CA8-96B605DE0D3C}"/>
    <cellStyle name="Title 11" xfId="11909" xr:uid="{A47C16C6-76E2-4A5D-9159-9A8723C62196}"/>
    <cellStyle name="Title 12" xfId="11658" xr:uid="{1410D1E2-88B0-4F05-B12E-C2118EC8F5EB}"/>
    <cellStyle name="Title 13" xfId="11910" xr:uid="{AFCCF757-14D0-4BB6-8A3B-2B531632BBD6}"/>
    <cellStyle name="Title 14" xfId="11365" xr:uid="{2B1D8155-689F-4FBF-A80F-403701B87D0C}"/>
    <cellStyle name="Title 15" xfId="11659" xr:uid="{821E3B58-B05D-46F9-9503-991167012579}"/>
    <cellStyle name="Title 16" xfId="11097" xr:uid="{AE56C1A1-2096-4BB5-9222-40A75ADB8C12}"/>
    <cellStyle name="Title 17" xfId="10971" xr:uid="{0789C490-4593-4026-9835-6B02AF99865B}"/>
    <cellStyle name="Title 18" xfId="11134" xr:uid="{1B2A33C1-E190-46AD-96F4-276D8A1DF75C}"/>
    <cellStyle name="Title 19" xfId="11715" xr:uid="{A34BB41B-C2AE-4111-B412-09CB5CDA672A}"/>
    <cellStyle name="Title 2" xfId="11135" xr:uid="{D69A3DD3-9805-460F-ADE5-DCF203ECEFFA}"/>
    <cellStyle name="Title 20" xfId="11325" xr:uid="{33E6059A-A8F4-48CA-B201-8D45F3B257A5}"/>
    <cellStyle name="Title 21" xfId="11398" xr:uid="{9FFA09D9-E7F3-4857-8F00-98F0FCA904AB}"/>
    <cellStyle name="Title 22" xfId="11367" xr:uid="{9594C5AC-D391-4F0D-BDF5-53B87C062911}"/>
    <cellStyle name="Title 23" xfId="11136" xr:uid="{0E4C7E50-6E53-46DB-8139-AA3A99057264}"/>
    <cellStyle name="Title 3" xfId="11137" xr:uid="{44B669A3-F67D-4D08-8B81-D1536670C352}"/>
    <cellStyle name="Title 4" xfId="11138" xr:uid="{4E3EF61A-A6B9-4A65-9C82-2E65FFA11F2B}"/>
    <cellStyle name="Title 5" xfId="12708" xr:uid="{AC7B6840-E030-4D76-B876-0527F9C1AE6E}"/>
    <cellStyle name="Title 6" xfId="11948" xr:uid="{3F42B13A-C002-484F-AA7C-9A7CA3137A88}"/>
    <cellStyle name="Title 7" xfId="11989" xr:uid="{CEED8C30-9D8D-4FC0-A795-C810F16A94CE}"/>
    <cellStyle name="Title 8" xfId="12703" xr:uid="{2FCF922A-E6F2-4D97-B378-601330C71259}"/>
    <cellStyle name="Title 9" xfId="11972" xr:uid="{5DDF12B0-C821-4ABF-9457-3777A111EAFE}"/>
    <cellStyle name="Título 1 10" xfId="3194" xr:uid="{B520C9B5-B486-445B-ABEF-D5E290DB310D}"/>
    <cellStyle name="Título 1 11" xfId="3195" xr:uid="{EB1108AC-9700-4BE0-9265-3470C51202C4}"/>
    <cellStyle name="Título 1 12" xfId="3196" xr:uid="{EA8B6054-4BBD-4171-A0AB-CAD11BA09773}"/>
    <cellStyle name="Título 1 13" xfId="3197" xr:uid="{FA167A69-70E8-45E9-AF67-B33CA80ED4A2}"/>
    <cellStyle name="Título 1 14" xfId="3198" xr:uid="{583D6134-06B9-4B85-864E-0DFFA896CA84}"/>
    <cellStyle name="Título 1 15" xfId="3199" xr:uid="{D9B973A4-84D0-4813-AFE3-E314E99C7ECB}"/>
    <cellStyle name="Título 1 16" xfId="3200" xr:uid="{304F6E90-B5FE-468A-AEBB-400F5C002EBE}"/>
    <cellStyle name="Título 1 17" xfId="3201" xr:uid="{8615372C-AD79-4898-8166-6F4714B8A72E}"/>
    <cellStyle name="Título 1 18" xfId="3202" xr:uid="{4D310016-46C1-45BA-88D6-59F0EEAA873B}"/>
    <cellStyle name="Título 1 19" xfId="3203" xr:uid="{0D98C9FE-67C7-4E35-863D-C81B00D4CC84}"/>
    <cellStyle name="Título 1 2" xfId="55" xr:uid="{1A32AEA7-B309-4D2F-B488-EBD8C12C7814}"/>
    <cellStyle name="Título 1 2 2" xfId="3204" xr:uid="{CCB1C8C9-A64F-4F15-9CF9-2E048B01855B}"/>
    <cellStyle name="Título 1 2 3" xfId="3205" xr:uid="{F2481BE5-3DD9-44EF-B373-68F03AD511F5}"/>
    <cellStyle name="Título 1 2 4" xfId="3206" xr:uid="{B0832056-936C-4156-8285-F9578BA6FB39}"/>
    <cellStyle name="Título 1 2 5" xfId="3207" xr:uid="{9948F8EA-2CD9-4F1E-A23C-75906B37BFB5}"/>
    <cellStyle name="Título 1 2 6" xfId="12557" xr:uid="{7FE62D34-F7AD-4F0F-AA59-D324658BAB8E}"/>
    <cellStyle name="Título 1 20" xfId="3208" xr:uid="{72DDEA5B-9EF5-464E-9107-D1F977766AB8}"/>
    <cellStyle name="Título 1 21" xfId="3209" xr:uid="{0C0E2196-6D03-43B2-97D0-62658893D954}"/>
    <cellStyle name="Título 1 22" xfId="3210" xr:uid="{CB73A432-02C1-4C5B-930B-973D207E04A9}"/>
    <cellStyle name="Título 1 23" xfId="3211" xr:uid="{D8E7678A-F1BA-4D62-AB33-F7472F27F751}"/>
    <cellStyle name="Título 1 24" xfId="3212" xr:uid="{65557543-52B4-4B18-A0F5-2631052EB080}"/>
    <cellStyle name="Título 1 25" xfId="3213" xr:uid="{26C4C688-CC94-43CC-B407-90AF36A67868}"/>
    <cellStyle name="Título 1 26" xfId="3214" xr:uid="{6C4F90DA-F148-44A0-8E77-CFC7B66DA2A8}"/>
    <cellStyle name="Título 1 27" xfId="3215" xr:uid="{E2944A20-9DBD-4931-923B-1E5090DE4DD7}"/>
    <cellStyle name="Título 1 28" xfId="3216" xr:uid="{A5084FDD-F6F5-4E2C-8354-89B4D0AA48BE}"/>
    <cellStyle name="Título 1 29" xfId="3217" xr:uid="{D1EB01B6-DE67-4739-AAAC-96B8E8DDFCC0}"/>
    <cellStyle name="Título 1 3" xfId="444" xr:uid="{05A13A1A-1A5B-41BE-8552-5000ACEFA49E}"/>
    <cellStyle name="Título 1 3 2" xfId="11139" xr:uid="{C4954C50-5304-45DF-8261-45058E74B535}"/>
    <cellStyle name="Título 1 30" xfId="3218" xr:uid="{7A248A31-1B0A-4344-BB67-1BC7B1935838}"/>
    <cellStyle name="Título 1 31" xfId="3219" xr:uid="{F8F0EA2E-29EC-4AE5-B694-36608D22BEB7}"/>
    <cellStyle name="Título 1 32" xfId="3220" xr:uid="{BB1FE714-D994-4B3D-B9A1-9DBCD7E09E47}"/>
    <cellStyle name="Título 1 33" xfId="3221" xr:uid="{E39A8333-135A-40A4-A11A-A5669BEB4549}"/>
    <cellStyle name="Título 1 34" xfId="3222" xr:uid="{B021FBB7-3267-431D-9942-123F00EE0600}"/>
    <cellStyle name="Título 1 35" xfId="3223" xr:uid="{FEE74412-BC3B-4507-9720-15D5AE902D28}"/>
    <cellStyle name="Título 1 36" xfId="3224" xr:uid="{F5CCA447-9A1B-4E10-B9A8-BEF2FA90B1A7}"/>
    <cellStyle name="Título 1 37" xfId="3225" xr:uid="{3E7565F9-CC48-4CED-A867-79D5222ADDEB}"/>
    <cellStyle name="Título 1 38" xfId="3226" xr:uid="{8EFA79A9-9B2E-4A6A-B52A-58A05C6083EB}"/>
    <cellStyle name="Título 1 39" xfId="3227" xr:uid="{18E321BD-E7CF-42D8-AE0C-D6A1A171E405}"/>
    <cellStyle name="Título 1 4" xfId="445" xr:uid="{6EC8B17E-2248-4323-98BB-88696C22BB2D}"/>
    <cellStyle name="Título 1 4 2" xfId="11226" xr:uid="{4D27795A-067A-4278-95F0-F67850866CDF}"/>
    <cellStyle name="Título 1 40" xfId="3228" xr:uid="{99010BCA-E170-4260-AD44-0F734D620F68}"/>
    <cellStyle name="Título 1 41" xfId="3229" xr:uid="{94BADE72-7E38-4753-92E8-EFF47FFD3AB8}"/>
    <cellStyle name="Título 1 42" xfId="3230" xr:uid="{0FDD3FB8-92A4-458E-AB66-1EF8BA4594FF}"/>
    <cellStyle name="Título 1 43" xfId="3231" xr:uid="{D70E30BA-85AC-4561-B26B-9CBE4E447BA1}"/>
    <cellStyle name="Título 1 44" xfId="3232" xr:uid="{1754B4FA-B45F-4152-B5A1-9A55EB7AA452}"/>
    <cellStyle name="Título 1 45" xfId="3233" xr:uid="{EAF8D113-E220-426F-8D38-701640456829}"/>
    <cellStyle name="Título 1 46" xfId="3234" xr:uid="{E7CBEEFA-0029-4C86-BB4E-4A05977F52E8}"/>
    <cellStyle name="Título 1 47" xfId="3235" xr:uid="{14CDA9C8-C1C1-42B3-92FF-8BD990BC6012}"/>
    <cellStyle name="Título 1 48" xfId="3236" xr:uid="{26C6FF5E-1A2C-4B27-806F-A762D3112905}"/>
    <cellStyle name="Título 1 49" xfId="3237" xr:uid="{B7CF3CFA-6F81-40E0-853A-0D80E936F806}"/>
    <cellStyle name="Título 1 5" xfId="446" xr:uid="{5372A509-8154-48F0-9AF2-B67947ECEAF1}"/>
    <cellStyle name="Título 1 5 2" xfId="11140" xr:uid="{CDB342E4-8EF4-4C5F-B139-E2CD3D308181}"/>
    <cellStyle name="Título 1 50" xfId="3238" xr:uid="{DB8DF7C5-68C2-4B43-8E71-17407BFCEAE2}"/>
    <cellStyle name="Título 1 51" xfId="3239" xr:uid="{39FF9D52-BAAD-42D2-8752-8128803F766B}"/>
    <cellStyle name="Título 1 52" xfId="3240" xr:uid="{47893799-CED8-43EE-88EB-D4321307DE9D}"/>
    <cellStyle name="Título 1 53" xfId="3241" xr:uid="{F2E9AE50-B7C8-4A07-B765-69F9C850599E}"/>
    <cellStyle name="Título 1 54" xfId="3242" xr:uid="{4A82899E-453D-4B04-BB5F-52F9F36D2EC1}"/>
    <cellStyle name="Título 1 55" xfId="3243" xr:uid="{BAD41CFB-87DB-4A81-8646-2791250F6249}"/>
    <cellStyle name="Título 1 56" xfId="3244" xr:uid="{8CAE04BD-12B0-4A50-A20D-BA984B1DEDF5}"/>
    <cellStyle name="Título 1 57" xfId="3245" xr:uid="{879E2BC8-566F-4BAE-BB40-5172165B861E}"/>
    <cellStyle name="Título 1 58" xfId="3246" xr:uid="{02290AC9-B619-4C0C-AD9F-A5674BABE9A5}"/>
    <cellStyle name="Título 1 59" xfId="3247" xr:uid="{8E6EFE8B-A6EC-48B9-A6C2-E76A955471A0}"/>
    <cellStyle name="Título 1 6" xfId="447" xr:uid="{7FF3F0CD-2B23-4C49-8010-D757FA6090A1}"/>
    <cellStyle name="Título 1 6 2" xfId="13956" xr:uid="{09702B05-7CFA-4C8C-89B1-51C3A5141645}"/>
    <cellStyle name="Título 1 60" xfId="3248" xr:uid="{1897ACEB-283D-41AA-A0EB-FC26E17A9E76}"/>
    <cellStyle name="Título 1 61" xfId="3249" xr:uid="{8AAB5207-8C93-4D68-A6EC-6B2BDB22C473}"/>
    <cellStyle name="Título 1 62" xfId="3250" xr:uid="{E4FEE043-9CEC-430E-80C4-EEE0AB6700BA}"/>
    <cellStyle name="Título 1 63" xfId="3251" xr:uid="{0A75727E-53F4-4253-8BCF-FF9CE788CB43}"/>
    <cellStyle name="Título 1 64" xfId="3252" xr:uid="{AB1C2C8B-E05C-4DB6-A286-C278BB806A9D}"/>
    <cellStyle name="Título 1 65" xfId="3253" xr:uid="{7BB5DD03-87EF-4954-BD7E-492BEB05AEED}"/>
    <cellStyle name="Título 1 66" xfId="3254" xr:uid="{0007FD53-A88D-4B0B-A0E9-18B6B0138FE6}"/>
    <cellStyle name="Título 1 67" xfId="3255" xr:uid="{F1066131-40FE-4B65-B8CF-979591142A82}"/>
    <cellStyle name="Título 1 68" xfId="543" xr:uid="{72B1DB1E-88B6-49AC-924D-E2789CCD262B}"/>
    <cellStyle name="Título 1 7" xfId="448" xr:uid="{90A01217-E135-4257-AED4-98761DDC4239}"/>
    <cellStyle name="Título 1 8" xfId="3256" xr:uid="{93099EEC-5DA4-466B-BA70-F74ECC893DB1}"/>
    <cellStyle name="Título 1 9" xfId="3257" xr:uid="{F11612BE-DE43-47F4-BF4E-1D084D6C3CDC}"/>
    <cellStyle name="Título 10" xfId="3258" xr:uid="{90DF3110-529F-48C8-9F99-2DDCFB3396C4}"/>
    <cellStyle name="Título 11" xfId="3259" xr:uid="{94912772-23A8-480F-933F-8997557D4924}"/>
    <cellStyle name="Título 12" xfId="3260" xr:uid="{8E4F7EC8-1035-4257-B6D8-EC26297BDD7F}"/>
    <cellStyle name="Título 13" xfId="3261" xr:uid="{BDC023F3-CFD9-4067-B3EE-9D17FD10AF77}"/>
    <cellStyle name="Título 14" xfId="3262" xr:uid="{82A240B2-6FA9-4953-B677-A5B427CCA979}"/>
    <cellStyle name="Título 15" xfId="3263" xr:uid="{3AA5BA56-2FC6-4B73-9F28-5466B7C99742}"/>
    <cellStyle name="Título 16" xfId="3264" xr:uid="{40FD3437-1E47-4934-BB72-A4A89F0300AF}"/>
    <cellStyle name="Título 17" xfId="3265" xr:uid="{222FE655-FFAE-4913-8273-212A00A5377E}"/>
    <cellStyle name="Título 18" xfId="3266" xr:uid="{F89A2AAC-399C-4C63-9F2E-BC85DAA5D99B}"/>
    <cellStyle name="Título 19" xfId="3267" xr:uid="{23014A69-6B30-492F-9A90-AF97149D4D91}"/>
    <cellStyle name="Título 2 10" xfId="3268" xr:uid="{81D2E209-32D7-4889-92F8-5930277F5116}"/>
    <cellStyle name="Título 2 11" xfId="3269" xr:uid="{811174F4-5E9F-4D48-ADFA-38E2BD27D428}"/>
    <cellStyle name="Título 2 12" xfId="3270" xr:uid="{708392DB-6FBF-4FB4-BE0A-03068249B166}"/>
    <cellStyle name="Título 2 13" xfId="3271" xr:uid="{64A472B4-1DC5-4C9E-BF9E-CAFCE1271E4D}"/>
    <cellStyle name="Título 2 14" xfId="3272" xr:uid="{16A3BBB6-BC67-45F0-B0EF-FEF3DF41DF0F}"/>
    <cellStyle name="Título 2 15" xfId="3273" xr:uid="{11D41014-AE67-44A6-9975-55BAC4A8C859}"/>
    <cellStyle name="Título 2 16" xfId="3274" xr:uid="{C2EB91FF-1495-4B41-BF96-65E72118726F}"/>
    <cellStyle name="Título 2 17" xfId="3275" xr:uid="{F7CE6C34-7F69-4AF4-9242-BF6A50425A48}"/>
    <cellStyle name="Título 2 18" xfId="3276" xr:uid="{6313842A-6C8A-4E67-B5EA-AF01C4B864B1}"/>
    <cellStyle name="Título 2 19" xfId="3277" xr:uid="{E9630049-2248-4469-8BAB-BFEFFDB742C0}"/>
    <cellStyle name="Título 2 2" xfId="56" xr:uid="{EC6DC834-2BB5-4F1C-BFC2-C4C09958D67F}"/>
    <cellStyle name="Título 2 2 2" xfId="3278" xr:uid="{09026A6E-A981-4503-B048-FD202BA8FBF8}"/>
    <cellStyle name="Título 2 2 3" xfId="3279" xr:uid="{F20C5E34-5467-4C11-A1ED-DE1F5A0C6721}"/>
    <cellStyle name="Título 2 2 4" xfId="3280" xr:uid="{8E5E2507-F03E-4808-A114-EBC1BB94ABDF}"/>
    <cellStyle name="Título 2 2 5" xfId="3281" xr:uid="{D0FF8856-9499-4B05-A0DE-C1A45E1492A2}"/>
    <cellStyle name="Título 2 2 6" xfId="11998" xr:uid="{74A16A0C-776D-464B-BC83-1ADBAB651A3C}"/>
    <cellStyle name="Título 2 20" xfId="3282" xr:uid="{27F79E47-CDE1-42A7-B1E5-F317518907F5}"/>
    <cellStyle name="Título 2 21" xfId="3283" xr:uid="{20CA717E-9C5E-467D-B8CB-4AFAF7DF1331}"/>
    <cellStyle name="Título 2 22" xfId="3284" xr:uid="{39AEA358-94F0-43A4-9CD0-D2D161417436}"/>
    <cellStyle name="Título 2 23" xfId="3285" xr:uid="{14C07547-CBA9-4223-A93F-8E8E6E8D2987}"/>
    <cellStyle name="Título 2 24" xfId="3286" xr:uid="{68190AF2-7095-4213-A650-431CA8D3A7AE}"/>
    <cellStyle name="Título 2 25" xfId="3287" xr:uid="{D6095721-24C0-47CA-8873-B0DAA41FE85B}"/>
    <cellStyle name="Título 2 26" xfId="3288" xr:uid="{9B0F3A10-471A-4695-8273-F30A4BA7CAA6}"/>
    <cellStyle name="Título 2 27" xfId="3289" xr:uid="{45D5676D-CAC6-4737-B25D-AAF81DC0160E}"/>
    <cellStyle name="Título 2 28" xfId="3290" xr:uid="{A46E6765-E295-4D85-A51F-278B3E648766}"/>
    <cellStyle name="Título 2 29" xfId="3291" xr:uid="{AB8E9DD5-A956-4459-A008-CCD4D9E0E924}"/>
    <cellStyle name="Título 2 3" xfId="449" xr:uid="{F02AF94A-05AD-4FE6-9ADA-6402B6A1ACE4}"/>
    <cellStyle name="Título 2 3 2" xfId="11949" xr:uid="{AF9D66FA-9579-4C08-8316-F312994435C2}"/>
    <cellStyle name="Título 2 30" xfId="3292" xr:uid="{EFCCC612-7CD1-4005-A456-2084475AED41}"/>
    <cellStyle name="Título 2 31" xfId="3293" xr:uid="{6B27858E-4522-41F3-978E-EABDED3A9662}"/>
    <cellStyle name="Título 2 32" xfId="3294" xr:uid="{69F59445-FB8D-46F9-9FCF-016B995B8DA4}"/>
    <cellStyle name="Título 2 33" xfId="3295" xr:uid="{1DCBF776-BDFB-4E84-AB5A-EF5AD19A7765}"/>
    <cellStyle name="Título 2 34" xfId="3296" xr:uid="{B7A8019B-DCF9-4740-B3FE-CC058C20B279}"/>
    <cellStyle name="Título 2 35" xfId="3297" xr:uid="{E2A94BDF-4B31-40B9-BAFB-DE4522998775}"/>
    <cellStyle name="Título 2 36" xfId="3298" xr:uid="{80BDE2B6-DFC8-4031-AB21-995BF64C696A}"/>
    <cellStyle name="Título 2 37" xfId="3299" xr:uid="{E2F0BF6E-D3E8-4BC0-AB1E-582B8B661756}"/>
    <cellStyle name="Título 2 38" xfId="3300" xr:uid="{9B3BCF70-10BF-46C0-AC80-C05B5A2F51BB}"/>
    <cellStyle name="Título 2 39" xfId="3301" xr:uid="{43A63B43-79DC-4849-A67B-9EBA84C43FCA}"/>
    <cellStyle name="Título 2 4" xfId="450" xr:uid="{74C8B8D5-2EC0-40AA-AEF9-6190BC81BF82}"/>
    <cellStyle name="Título 2 4 2" xfId="11882" xr:uid="{F72EC1F7-A330-4FC6-89A5-32C400592031}"/>
    <cellStyle name="Título 2 40" xfId="3302" xr:uid="{378396CF-65F4-45D8-97CC-3561C4411A71}"/>
    <cellStyle name="Título 2 41" xfId="3303" xr:uid="{5BB04507-64DE-4D4C-888B-A0C6C6D7FD3B}"/>
    <cellStyle name="Título 2 42" xfId="3304" xr:uid="{7369358C-6969-4F57-B1C8-1374F1D9F94B}"/>
    <cellStyle name="Título 2 43" xfId="3305" xr:uid="{D079F627-3F48-49B7-B0F8-5BA720B3C4AD}"/>
    <cellStyle name="Título 2 44" xfId="3306" xr:uid="{537FCB55-1B26-420E-A364-A56E152EBA32}"/>
    <cellStyle name="Título 2 45" xfId="3307" xr:uid="{1140E43E-71A3-4E45-9492-41B9A3FAF4A7}"/>
    <cellStyle name="Título 2 46" xfId="3308" xr:uid="{CE571E19-26CB-4D5C-9880-DA738A6B57ED}"/>
    <cellStyle name="Título 2 47" xfId="3309" xr:uid="{FB303C58-8D25-4C24-9AC2-DEAB3D8F3CD7}"/>
    <cellStyle name="Título 2 48" xfId="3310" xr:uid="{6D3A5170-3648-46B6-8390-F113589FAB35}"/>
    <cellStyle name="Título 2 49" xfId="3311" xr:uid="{959A96A3-2F5C-4153-85A1-776F2843867E}"/>
    <cellStyle name="Título 2 5" xfId="451" xr:uid="{D6B712F1-05CB-4229-990C-9B1886D34518}"/>
    <cellStyle name="Título 2 5 2" xfId="11141" xr:uid="{3434A67E-88AA-4522-A91F-602E47165FAB}"/>
    <cellStyle name="Título 2 50" xfId="3312" xr:uid="{858FA14A-725F-4AB6-977E-9225E123D227}"/>
    <cellStyle name="Título 2 51" xfId="3313" xr:uid="{5D1B6857-67D8-415F-8231-DE30ED9D3C07}"/>
    <cellStyle name="Título 2 52" xfId="3314" xr:uid="{11342F95-686C-4EF7-865A-2BF2A2A8DE0A}"/>
    <cellStyle name="Título 2 53" xfId="3315" xr:uid="{5CBF158A-6347-4AD6-A54D-6525DB962A6F}"/>
    <cellStyle name="Título 2 54" xfId="3316" xr:uid="{A6B6A510-D9B7-4F94-89E2-5CCCCB6C9642}"/>
    <cellStyle name="Título 2 55" xfId="3317" xr:uid="{B1B3BD7D-C31D-4EB7-B1C8-30251904ED94}"/>
    <cellStyle name="Título 2 56" xfId="3318" xr:uid="{8870B2F6-A647-4341-A8E0-AB418E433C46}"/>
    <cellStyle name="Título 2 57" xfId="3319" xr:uid="{47BE119B-B096-4523-831B-44A373719BF5}"/>
    <cellStyle name="Título 2 58" xfId="3320" xr:uid="{33CEA5BA-E97D-43B3-9C42-E1672468EC42}"/>
    <cellStyle name="Título 2 59" xfId="3321" xr:uid="{488C2513-C387-46B8-B2E5-5FBF29E9F345}"/>
    <cellStyle name="Título 2 6" xfId="452" xr:uid="{F46C0020-8730-42D2-B61F-BC3387A2A24C}"/>
    <cellStyle name="Título 2 6 2" xfId="11142" xr:uid="{E0C8F3E9-B580-4881-931E-25F35BCA9A77}"/>
    <cellStyle name="Título 2 60" xfId="3322" xr:uid="{41138AA4-B4F2-4120-87BF-81CD778E766C}"/>
    <cellStyle name="Título 2 61" xfId="3323" xr:uid="{152EDA90-82C1-4EC8-86E5-AAF29CC065E4}"/>
    <cellStyle name="Título 2 62" xfId="3324" xr:uid="{F4D22078-9EDF-4168-920B-76030B8E6E28}"/>
    <cellStyle name="Título 2 63" xfId="3325" xr:uid="{6871D45A-C561-4AAF-806C-1EC1EE7D49A5}"/>
    <cellStyle name="Título 2 64" xfId="3326" xr:uid="{25BA001D-D1BC-426F-9068-41E886ACB48C}"/>
    <cellStyle name="Título 2 65" xfId="3327" xr:uid="{582E2542-5928-406C-9092-2F5CF12AE735}"/>
    <cellStyle name="Título 2 66" xfId="3328" xr:uid="{AD0E05DA-8108-429B-914E-3B654B1F022B}"/>
    <cellStyle name="Título 2 67" xfId="3329" xr:uid="{DFD986A6-3F04-40BD-9BB1-198BA2D36F9E}"/>
    <cellStyle name="Título 2 68" xfId="544" xr:uid="{E3F479CB-C4BF-480E-BCFA-9B4AA2EC8FBC}"/>
    <cellStyle name="Título 2 7" xfId="453" xr:uid="{BF6FEA31-114E-452A-84E0-C537C653B5A9}"/>
    <cellStyle name="Título 2 8" xfId="3330" xr:uid="{8AC05E3B-5F2C-4944-8493-F69F8D16BCED}"/>
    <cellStyle name="Título 2 9" xfId="3331" xr:uid="{32EB2C50-422C-44F6-99B8-530E26950BFB}"/>
    <cellStyle name="Título 20" xfId="3332" xr:uid="{D331A104-64DC-4C4A-B5B9-D7121AC0638A}"/>
    <cellStyle name="Título 21" xfId="3333" xr:uid="{ED52A145-B80B-43B7-B4C8-37E80A9E496C}"/>
    <cellStyle name="Título 22" xfId="3334" xr:uid="{93706A5D-8A72-4FA7-B71A-7C411E4E7919}"/>
    <cellStyle name="Título 23" xfId="3335" xr:uid="{38688CD1-163C-4452-8888-C35A28115011}"/>
    <cellStyle name="Título 24" xfId="3336" xr:uid="{BEE1B145-2AE7-47D1-8ECA-377E4A638A13}"/>
    <cellStyle name="Título 25" xfId="3337" xr:uid="{F091AEC8-A721-4CEF-AB3B-73A530F5827B}"/>
    <cellStyle name="Título 26" xfId="3338" xr:uid="{610423D8-2697-473A-A8E1-F4A8DB467E4B}"/>
    <cellStyle name="Título 27" xfId="3339" xr:uid="{EDC65319-B72C-4355-86F4-3A1A5310E80A}"/>
    <cellStyle name="Título 28" xfId="3340" xr:uid="{2A96FFE0-2BAD-4AD4-BB2D-00D74FC34583}"/>
    <cellStyle name="Título 29" xfId="3341" xr:uid="{CAC7CBCE-2751-4BCD-A14B-A0EA11C2C289}"/>
    <cellStyle name="Título 3 10" xfId="3342" xr:uid="{0EB7BF0E-E29D-438D-B990-06DBD091280A}"/>
    <cellStyle name="Título 3 11" xfId="3343" xr:uid="{DBD1C4EA-2EF5-4968-A90C-69920B7CBD2E}"/>
    <cellStyle name="Título 3 12" xfId="3344" xr:uid="{4F921374-279C-4ACE-8149-B21941A72D18}"/>
    <cellStyle name="Título 3 13" xfId="3345" xr:uid="{503BC33C-E21F-4B4E-B106-93AD758E99A9}"/>
    <cellStyle name="Título 3 14" xfId="3346" xr:uid="{77F77973-94AE-4FA6-9E45-B3397E6687A0}"/>
    <cellStyle name="Título 3 15" xfId="3347" xr:uid="{3FDBB10E-4A52-44D7-82CB-CE3D50C0A7A7}"/>
    <cellStyle name="Título 3 16" xfId="3348" xr:uid="{188CF0E7-3B57-4042-A285-87F6F436B7FD}"/>
    <cellStyle name="Título 3 17" xfId="3349" xr:uid="{EF4B0DBE-456E-4502-8C92-2777D0297C25}"/>
    <cellStyle name="Título 3 18" xfId="3350" xr:uid="{4E6610FF-0A49-456B-9777-329C26F83C52}"/>
    <cellStyle name="Título 3 19" xfId="3351" xr:uid="{211BE575-B178-4537-9653-066F04C49A12}"/>
    <cellStyle name="Título 3 2" xfId="57" xr:uid="{E842BE84-437D-4D8A-864B-B2FB95C6A1D4}"/>
    <cellStyle name="Título 3 2 2" xfId="3352" xr:uid="{F0A66A7A-1802-47F2-9723-7A645577CBC9}"/>
    <cellStyle name="Título 3 2 3" xfId="3353" xr:uid="{2F8B7CB0-BCA5-47B8-AB44-EABCA292BBE5}"/>
    <cellStyle name="Título 3 2 4" xfId="3354" xr:uid="{B506CDC0-08C2-48E9-B77E-FE521B5D7F94}"/>
    <cellStyle name="Título 3 2 5" xfId="3355" xr:uid="{983C1BF6-E0AE-46F1-A5BF-C3CECCBC1FA5}"/>
    <cellStyle name="Título 3 2 6" xfId="11429" xr:uid="{C37B74E8-D59D-42C1-98E7-3707901733F9}"/>
    <cellStyle name="Título 3 20" xfId="3356" xr:uid="{7A3B84EC-3177-40B8-8504-9577D9EC1441}"/>
    <cellStyle name="Título 3 21" xfId="3357" xr:uid="{691CDD8F-D66B-4275-A81C-C89B22D79D3C}"/>
    <cellStyle name="Título 3 22" xfId="3358" xr:uid="{74E9807C-402E-42F8-B1A1-B1521490F3AA}"/>
    <cellStyle name="Título 3 23" xfId="3359" xr:uid="{8C06230C-AB83-4317-9A2D-7D2D1133869C}"/>
    <cellStyle name="Título 3 24" xfId="3360" xr:uid="{58D4292E-CE3C-4148-AA0E-DF6E13793B4D}"/>
    <cellStyle name="Título 3 25" xfId="3361" xr:uid="{90F4220C-1E92-451A-B514-C29A1A6F7C54}"/>
    <cellStyle name="Título 3 26" xfId="3362" xr:uid="{5A15B5A7-6BAC-433B-9C4E-3D4807383D1E}"/>
    <cellStyle name="Título 3 27" xfId="3363" xr:uid="{D358F6F4-3BF6-487B-A6FB-E8768C911135}"/>
    <cellStyle name="Título 3 28" xfId="3364" xr:uid="{8D52B2FC-808A-49FC-94A1-A5935F02F31D}"/>
    <cellStyle name="Título 3 29" xfId="3365" xr:uid="{205BD40B-125C-4E10-94F0-57A89F7FBB6F}"/>
    <cellStyle name="Título 3 3" xfId="454" xr:uid="{DFB86E54-38CD-430E-A1F9-93A06500D093}"/>
    <cellStyle name="Título 3 3 2" xfId="12588" xr:uid="{FBA2EB60-7F8F-4F4C-B630-E21948057D3A}"/>
    <cellStyle name="Título 3 30" xfId="3366" xr:uid="{F5356355-16B3-40D1-A304-6F0164D86DB5}"/>
    <cellStyle name="Título 3 31" xfId="3367" xr:uid="{99EA430E-1ABC-4D51-A34F-343243260A92}"/>
    <cellStyle name="Título 3 32" xfId="3368" xr:uid="{391F3B2F-9F68-4718-8BF7-E086512E72DB}"/>
    <cellStyle name="Título 3 33" xfId="3369" xr:uid="{774AFA7A-0A68-408F-8AE7-9F2BE7DD8FA8}"/>
    <cellStyle name="Título 3 34" xfId="3370" xr:uid="{5BD5EAA0-EF39-48FF-A44A-9B12139E5F2F}"/>
    <cellStyle name="Título 3 35" xfId="3371" xr:uid="{9462EB49-050C-4E13-BCB8-8BAB706F78D1}"/>
    <cellStyle name="Título 3 36" xfId="3372" xr:uid="{3E09F16C-9733-40D3-A1B7-4C69A37DDE05}"/>
    <cellStyle name="Título 3 37" xfId="3373" xr:uid="{B743C7E2-FCDC-4E03-992F-BF23C3397EA5}"/>
    <cellStyle name="Título 3 38" xfId="3374" xr:uid="{437FD6CE-B9A1-48B7-9911-AA46ED41B32D}"/>
    <cellStyle name="Título 3 39" xfId="3375" xr:uid="{E2AB42DA-2986-4A80-9C70-ACFF0DC41F54}"/>
    <cellStyle name="Título 3 4" xfId="455" xr:uid="{A50F4478-5D22-41E1-934E-CD5DF06190BF}"/>
    <cellStyle name="Título 3 4 2" xfId="12922" xr:uid="{CF22F820-68A4-46E5-AECB-AD170150F3A6}"/>
    <cellStyle name="Título 3 40" xfId="3376" xr:uid="{6B245CFC-92E2-415C-8169-A8729A3051C9}"/>
    <cellStyle name="Título 3 41" xfId="3377" xr:uid="{F083AB9E-D0A3-4558-A3E1-E51D81C1956C}"/>
    <cellStyle name="Título 3 42" xfId="3378" xr:uid="{E8D61413-94A2-494C-A184-664B31F5601E}"/>
    <cellStyle name="Título 3 43" xfId="3379" xr:uid="{417EB167-935E-4E42-BC51-EF93CF020E9F}"/>
    <cellStyle name="Título 3 44" xfId="3380" xr:uid="{C46EA5CA-755D-4FC3-B6D6-328B05A79699}"/>
    <cellStyle name="Título 3 45" xfId="3381" xr:uid="{02E48203-9805-4542-81FE-A0BC88E8221A}"/>
    <cellStyle name="Título 3 46" xfId="3382" xr:uid="{E8D80147-FF3B-4FAD-800D-FE443FCB1D1D}"/>
    <cellStyle name="Título 3 47" xfId="3383" xr:uid="{AFDFFC63-BF23-4DB3-9B9D-DCF6594C8A7D}"/>
    <cellStyle name="Título 3 48" xfId="3384" xr:uid="{B0376D9D-F704-4C88-BDA0-3DA3D687194F}"/>
    <cellStyle name="Título 3 49" xfId="3385" xr:uid="{DD242778-AC6C-4776-A62F-5FE7C11F1EE7}"/>
    <cellStyle name="Título 3 5" xfId="456" xr:uid="{0FEA74E5-DB47-4BD2-8A47-B0567D6E6D17}"/>
    <cellStyle name="Título 3 5 2" xfId="12824" xr:uid="{7F97C11A-99EE-4314-9968-A916CBCEC5B3}"/>
    <cellStyle name="Título 3 50" xfId="3386" xr:uid="{4D7C6532-C2F5-47BD-BD11-F24ABC2B54C3}"/>
    <cellStyle name="Título 3 51" xfId="3387" xr:uid="{54B94FA7-A0FD-43EC-AC0A-397BCB6F738E}"/>
    <cellStyle name="Título 3 52" xfId="3388" xr:uid="{184ABA58-72E3-4EE0-8237-38C8E658A2B6}"/>
    <cellStyle name="Título 3 53" xfId="3389" xr:uid="{DD8815E2-A81A-45CA-96A1-5D172D7A3449}"/>
    <cellStyle name="Título 3 54" xfId="3390" xr:uid="{B4D533C9-690B-4965-A213-DD09D5D54EFC}"/>
    <cellStyle name="Título 3 55" xfId="3391" xr:uid="{9F61B322-C860-4ECC-97C9-F894D7B3A2F6}"/>
    <cellStyle name="Título 3 56" xfId="3392" xr:uid="{98F6DAF9-5287-4912-807C-BB16064CB555}"/>
    <cellStyle name="Título 3 57" xfId="3393" xr:uid="{AA339A01-8B68-4750-B1A0-8DC130AECDD0}"/>
    <cellStyle name="Título 3 58" xfId="3394" xr:uid="{8B53B843-2325-41DA-8CB5-16A68826F958}"/>
    <cellStyle name="Título 3 59" xfId="3395" xr:uid="{D5938AC6-ACBA-48B9-B630-03C294457DFC}"/>
    <cellStyle name="Título 3 6" xfId="457" xr:uid="{4A9492AE-A7FB-43A1-9D24-399F9090C913}"/>
    <cellStyle name="Título 3 6 2" xfId="12329" xr:uid="{6A112751-A730-45C8-A574-F5AF7133CC0A}"/>
    <cellStyle name="Título 3 60" xfId="3396" xr:uid="{C35B8CBE-7095-419C-805E-311AE9564974}"/>
    <cellStyle name="Título 3 61" xfId="3397" xr:uid="{9BB216E4-4F15-40EE-B7A6-F424DF0B0F4C}"/>
    <cellStyle name="Título 3 62" xfId="3398" xr:uid="{89213D8E-C350-4DEF-A7BF-BB0F80261A37}"/>
    <cellStyle name="Título 3 63" xfId="3399" xr:uid="{3A341CA6-AD67-4F3C-9EC2-92260AE6E4CA}"/>
    <cellStyle name="Título 3 64" xfId="3400" xr:uid="{DD3952EF-3094-417E-8EF0-6643564A7679}"/>
    <cellStyle name="Título 3 65" xfId="3401" xr:uid="{CAFE00AA-52FC-4D8C-8BB9-31378FE50AE4}"/>
    <cellStyle name="Título 3 66" xfId="3402" xr:uid="{DA4C5BF2-FC2C-4762-A9EE-5B2D14A04A16}"/>
    <cellStyle name="Título 3 67" xfId="3403" xr:uid="{B2EA3FFA-38E6-408B-9B8D-4AD6BB7A7271}"/>
    <cellStyle name="Título 3 68" xfId="545" xr:uid="{98A31013-EF7C-49FC-9C23-CC53063AF753}"/>
    <cellStyle name="Título 3 7" xfId="458" xr:uid="{2882DF36-7212-46F3-ABEB-1A29680D5E7F}"/>
    <cellStyle name="Título 3 8" xfId="3404" xr:uid="{EC6D14F8-3813-490E-9713-DBF9E707A8AB}"/>
    <cellStyle name="Título 3 9" xfId="3405" xr:uid="{C15B3CF0-8D5F-4BF4-A71A-C07D66A15EBF}"/>
    <cellStyle name="Título 30" xfId="3406" xr:uid="{8C38197B-3514-48F4-9109-CA1E927ECC05}"/>
    <cellStyle name="Título 31" xfId="3407" xr:uid="{1D527C08-9B37-43C0-876F-260B26D291B8}"/>
    <cellStyle name="Título 32" xfId="3408" xr:uid="{32A68A62-0A08-49C1-B824-A9E5200E73C7}"/>
    <cellStyle name="Título 33" xfId="3409" xr:uid="{8646898F-75E1-4E49-91EB-166ACB86438A}"/>
    <cellStyle name="Título 34" xfId="3410" xr:uid="{F9A75AA7-0CAF-4D83-BF43-3862C96EBCCB}"/>
    <cellStyle name="Título 35" xfId="3411" xr:uid="{95635BC3-80F2-4B6F-9852-433E95EF982F}"/>
    <cellStyle name="Título 36" xfId="3412" xr:uid="{1EE7D77C-3E60-4748-AC3B-CDC6C9B8A05C}"/>
    <cellStyle name="Título 37" xfId="3413" xr:uid="{A23AF1CE-1198-4E0D-A4DC-067112F6FACC}"/>
    <cellStyle name="Título 38" xfId="3414" xr:uid="{11D18A12-3C66-4DF1-8FE4-3A61D19F7FB5}"/>
    <cellStyle name="Título 39" xfId="3415" xr:uid="{0436D86E-E47F-4FFD-A8FA-54F8F437CACF}"/>
    <cellStyle name="Título 4" xfId="58" xr:uid="{6D8BA323-655A-4907-96B9-D31A4F4FA7A1}"/>
    <cellStyle name="Título 4 2" xfId="3416" xr:uid="{13317261-5757-4191-A5AD-1FA7CE7B6530}"/>
    <cellStyle name="Título 4 3" xfId="3417" xr:uid="{AEAD9DD9-34CD-415F-9525-F4EB45DFC000}"/>
    <cellStyle name="Título 4 4" xfId="3418" xr:uid="{322A5FAC-70C7-4B4B-AB35-68DACC729817}"/>
    <cellStyle name="Título 4 5" xfId="3419" xr:uid="{C19BC82B-04A2-4DB3-9327-33C3545B2CDA}"/>
    <cellStyle name="Título 4 6" xfId="10937" xr:uid="{36DD2E97-0FA5-41E6-9985-7253484DAF41}"/>
    <cellStyle name="Título 40" xfId="3420" xr:uid="{EFFCA3E8-ED0A-4FC3-81B1-B2CE0FB6B37F}"/>
    <cellStyle name="Título 41" xfId="3421" xr:uid="{33591589-D996-4807-AD46-FAAF00EDD24A}"/>
    <cellStyle name="Título 42" xfId="3422" xr:uid="{0CA486AE-3C55-4A7B-AD6D-916B6C945B2B}"/>
    <cellStyle name="Título 43" xfId="3423" xr:uid="{4C58F33B-B1C7-4E1F-AC7E-2028455707AD}"/>
    <cellStyle name="Título 44" xfId="3424" xr:uid="{57352DF4-5757-4749-8D0F-C62373A2649F}"/>
    <cellStyle name="Título 45" xfId="3425" xr:uid="{0D4CA9B7-9A77-48B7-934B-53364B715914}"/>
    <cellStyle name="Título 46" xfId="3426" xr:uid="{7B7F8F15-8C2A-47EE-8EFE-DF751A4429B4}"/>
    <cellStyle name="Título 47" xfId="3427" xr:uid="{DC5ED1AC-C49D-426F-ACD8-69A8529254A3}"/>
    <cellStyle name="Título 48" xfId="3428" xr:uid="{B4770FFB-17FE-48B4-AF3F-2F609FA2DFB2}"/>
    <cellStyle name="Título 49" xfId="3429" xr:uid="{2DCF6B36-EE7C-4580-BB07-29A904A009EF}"/>
    <cellStyle name="Título 5" xfId="460" xr:uid="{76AB9E14-26ED-43C1-8642-37359DED0941}"/>
    <cellStyle name="Título 5 2" xfId="11096" xr:uid="{4DEF1699-7E48-4910-A09C-38D1ED37D0CA}"/>
    <cellStyle name="Título 50" xfId="3430" xr:uid="{A4298450-4597-4CE2-B060-40EDDB6A8E2A}"/>
    <cellStyle name="Título 51" xfId="3431" xr:uid="{E74BF085-EB63-415F-B93E-D881D05F2048}"/>
    <cellStyle name="Título 52" xfId="3432" xr:uid="{510441BC-3C57-4DB2-8E7D-55D17EBAD133}"/>
    <cellStyle name="Título 53" xfId="3433" xr:uid="{61C3E3BC-F598-4902-87BA-85836A0C1FF6}"/>
    <cellStyle name="Título 54" xfId="3434" xr:uid="{37F9934C-D36E-4928-BC37-E9127855442A}"/>
    <cellStyle name="Título 55" xfId="3435" xr:uid="{07687FBA-7862-4273-AE12-069A550450A0}"/>
    <cellStyle name="Título 56" xfId="3436" xr:uid="{B4B4C7FC-4650-4840-A59B-A45CC619F21C}"/>
    <cellStyle name="Título 57" xfId="3437" xr:uid="{38F5DFCB-495A-4D18-88B5-ADF5E12892AE}"/>
    <cellStyle name="Título 58" xfId="3438" xr:uid="{E02DB71A-2FC5-499B-B6C8-4FD20EA12278}"/>
    <cellStyle name="Título 59" xfId="3439" xr:uid="{0351BF89-2DA7-4058-9B8F-9E65C62A3C34}"/>
    <cellStyle name="Título 6" xfId="461" xr:uid="{57110F28-80DE-42AB-B3FE-6FCBDD1E8D49}"/>
    <cellStyle name="Título 6 2" xfId="12825" xr:uid="{F73EB26B-9FE2-40DB-8C83-A9A1B7B093FF}"/>
    <cellStyle name="Título 60" xfId="3440" xr:uid="{2FAE9993-847E-4B18-831D-D0F225849FF7}"/>
    <cellStyle name="Título 61" xfId="3441" xr:uid="{C24F9934-47B3-42D0-9D7D-9222BFE09BB7}"/>
    <cellStyle name="Título 62" xfId="3442" xr:uid="{1A59549F-AFD2-4025-A1DA-A84710E5D2E3}"/>
    <cellStyle name="Título 63" xfId="3443" xr:uid="{6EF8F3DE-ABBC-496B-B9A7-B99D841B23E3}"/>
    <cellStyle name="Título 64" xfId="3444" xr:uid="{C84431E1-9016-4B46-912A-4B82E62A8E8C}"/>
    <cellStyle name="Título 65" xfId="3445" xr:uid="{88D47019-21CB-45E4-A041-61494DEED797}"/>
    <cellStyle name="Título 66" xfId="3446" xr:uid="{04A0E642-6297-4230-89E0-CBC423A14BA8}"/>
    <cellStyle name="Título 67" xfId="3447" xr:uid="{DE48F194-3011-4625-B3A6-1F0BB5F5D989}"/>
    <cellStyle name="Título 68" xfId="3448" xr:uid="{F2729BDD-C5AF-42A8-9A7D-4D4955C7210B}"/>
    <cellStyle name="Título 69" xfId="3449" xr:uid="{C5894657-789E-4762-A179-00296CDCCB21}"/>
    <cellStyle name="Título 7" xfId="462" xr:uid="{F959FB90-43C6-4541-85F1-95377DD4726A}"/>
    <cellStyle name="Título 7 2" xfId="11143" xr:uid="{9C4DE25B-C137-495F-A88E-257A6263C4C4}"/>
    <cellStyle name="Título 70" xfId="542" xr:uid="{67BB9E5B-FDD0-4C2F-BEC4-5C537D7C9B9A}"/>
    <cellStyle name="Título 8" xfId="463" xr:uid="{57E6F119-5AAE-47C1-814D-B4436F1EB68C}"/>
    <cellStyle name="Título 8 2" xfId="12814" xr:uid="{0D43EE6C-C781-445A-9083-D82860BB0316}"/>
    <cellStyle name="Título 9" xfId="464" xr:uid="{E892E6C9-9D0C-4054-93CE-B447F8B01FC1}"/>
    <cellStyle name="Titulos" xfId="11144" xr:uid="{7B59C728-32F6-4EC2-AB37-8AEE5E495641}"/>
    <cellStyle name="Titulos 2" xfId="12785" xr:uid="{C26C8A82-DA76-43BB-9D32-61FC36AA603C}"/>
    <cellStyle name="Total 10" xfId="3450" xr:uid="{0431F277-ECDA-4DF2-AD58-C5EF9D27B363}"/>
    <cellStyle name="Total 10 2" xfId="5591" xr:uid="{47F213D4-D5B9-4797-83C8-47CF74068990}"/>
    <cellStyle name="Total 10 3" xfId="5592" xr:uid="{253F23BF-B0C6-48AB-9A93-42CE86C1B6EC}"/>
    <cellStyle name="Total 10 4" xfId="5593" xr:uid="{4106561A-171E-44CA-857B-E801CA71C4F3}"/>
    <cellStyle name="Total 10 5" xfId="5594" xr:uid="{2B36DA15-1D92-4A16-B5C0-36A58BFB5C72}"/>
    <cellStyle name="Total 10 6" xfId="5595" xr:uid="{7867F013-E5C8-4243-AC2F-73A27E429F47}"/>
    <cellStyle name="Total 10 7" xfId="5596" xr:uid="{627EED52-A31A-4022-9E18-AB971A608293}"/>
    <cellStyle name="Total 11" xfId="3451" xr:uid="{88637137-2FFF-401E-B7E3-EB09A23311C3}"/>
    <cellStyle name="Total 11 2" xfId="5597" xr:uid="{2C0BE1CE-47AB-42FA-8DB8-E6DB876B82FD}"/>
    <cellStyle name="Total 11 3" xfId="5598" xr:uid="{42C38B41-20E2-43B2-9BED-035DF642B187}"/>
    <cellStyle name="Total 11 4" xfId="5599" xr:uid="{29E7ED37-F81A-4F48-B732-F1FA7D7692B9}"/>
    <cellStyle name="Total 11 5" xfId="5600" xr:uid="{1C279814-F1A7-48CE-B331-28777D7C1A14}"/>
    <cellStyle name="Total 11 6" xfId="5601" xr:uid="{3C9FD85A-A6FB-4A4C-8CB8-1C1D71E15B3D}"/>
    <cellStyle name="Total 11 7" xfId="5602" xr:uid="{257BCE2E-8252-4B7B-9BF6-AF344FF89DCB}"/>
    <cellStyle name="Total 12" xfId="3452" xr:uid="{5956E548-13CD-4B24-A14D-01CA746B2A01}"/>
    <cellStyle name="Total 12 2" xfId="5603" xr:uid="{94BA45D9-2DFA-437C-930C-EB3DF2B279CE}"/>
    <cellStyle name="Total 12 3" xfId="5604" xr:uid="{0003C211-85B7-4A64-A5CE-EE7402B369DF}"/>
    <cellStyle name="Total 12 4" xfId="5605" xr:uid="{2703EED8-914E-4735-9434-0C03158B81BE}"/>
    <cellStyle name="Total 12 5" xfId="5606" xr:uid="{79A79C6F-BD6B-4B9D-AA1D-8F32C4A77F30}"/>
    <cellStyle name="Total 12 6" xfId="5607" xr:uid="{E10CC564-8E9B-42BC-8690-0C17D8872ECE}"/>
    <cellStyle name="Total 12 7" xfId="5608" xr:uid="{03019B69-8ED2-44E4-9A81-92CC01066F67}"/>
    <cellStyle name="Total 13" xfId="3453" xr:uid="{1A1A0877-A170-4AE8-BDD2-C4FFDAF5446B}"/>
    <cellStyle name="Total 13 2" xfId="5609" xr:uid="{1D770640-8871-44DD-A2E0-7893CBCD6868}"/>
    <cellStyle name="Total 13 3" xfId="5610" xr:uid="{E3F08C2C-4175-4DA1-9A0A-653A0ABA65BF}"/>
    <cellStyle name="Total 13 4" xfId="5611" xr:uid="{169C7BD4-EBE9-4A60-930B-A713647D61B6}"/>
    <cellStyle name="Total 13 5" xfId="5612" xr:uid="{F09491E0-ADB3-4584-95DC-62D53DA39358}"/>
    <cellStyle name="Total 13 6" xfId="5613" xr:uid="{25119D38-8649-448F-BBB6-A52E1CFE3394}"/>
    <cellStyle name="Total 13 7" xfId="5614" xr:uid="{0E6D84B8-FDAE-4D9E-8243-3D608F041EF5}"/>
    <cellStyle name="Total 14" xfId="3454" xr:uid="{335DF226-E74B-4AB2-A42F-C4E8226006D0}"/>
    <cellStyle name="Total 14 2" xfId="5615" xr:uid="{11804103-D2C1-4D5E-80D8-3511BB102A4D}"/>
    <cellStyle name="Total 14 3" xfId="5616" xr:uid="{068B76EE-47F8-482B-8A14-97F2FA801CD2}"/>
    <cellStyle name="Total 14 4" xfId="5617" xr:uid="{56ECAA61-8C64-4AB8-A5C0-3524F2DD141A}"/>
    <cellStyle name="Total 14 5" xfId="5618" xr:uid="{02EA3DB2-B459-4E59-83FC-E6F8060334E1}"/>
    <cellStyle name="Total 14 6" xfId="5619" xr:uid="{BD3566FF-B8B1-4582-93F1-586908563D64}"/>
    <cellStyle name="Total 14 7" xfId="5620" xr:uid="{D141B502-377A-4D51-A364-98AB294C1ED7}"/>
    <cellStyle name="Total 15" xfId="3455" xr:uid="{BECB7E83-44B8-4FE0-9F23-1C63FFDF9013}"/>
    <cellStyle name="Total 15 2" xfId="5621" xr:uid="{296CAEC6-BD71-49FB-AA76-DEC96B7F4DF7}"/>
    <cellStyle name="Total 15 3" xfId="5622" xr:uid="{8515977F-4A9B-44EE-BC83-EBB3C12B77F8}"/>
    <cellStyle name="Total 15 4" xfId="5623" xr:uid="{65AC221E-0EDE-4610-8192-3C2EC2086E6E}"/>
    <cellStyle name="Total 15 5" xfId="5624" xr:uid="{D1BAB6FD-6557-42B1-BDBC-7423D08EF427}"/>
    <cellStyle name="Total 15 6" xfId="5625" xr:uid="{B7D1FAB4-A732-40CD-B3D7-7EE62F3C7D1D}"/>
    <cellStyle name="Total 15 7" xfId="5626" xr:uid="{0870AA35-DFD8-42B1-AE77-93CB6EF212D6}"/>
    <cellStyle name="Total 16" xfId="3456" xr:uid="{B90C6598-9A97-4724-A17A-3EEE04829424}"/>
    <cellStyle name="Total 16 2" xfId="5627" xr:uid="{AF199FE9-D9E1-4E9C-A791-0F91ABBC1423}"/>
    <cellStyle name="Total 16 3" xfId="5628" xr:uid="{86B75CB6-23EE-4360-9312-8FF69BE2A99B}"/>
    <cellStyle name="Total 16 4" xfId="5629" xr:uid="{4B976F6D-970D-4323-8F5C-07622E5461ED}"/>
    <cellStyle name="Total 16 5" xfId="5630" xr:uid="{DD2E08A6-3E39-4E2B-8F52-4B54F174610A}"/>
    <cellStyle name="Total 16 6" xfId="5631" xr:uid="{7352ADE1-7B32-4D6A-BC41-7E49A1E77E89}"/>
    <cellStyle name="Total 16 7" xfId="5632" xr:uid="{96D6F489-D4BD-480D-A2D9-CF5CA9795A9D}"/>
    <cellStyle name="Total 17" xfId="3457" xr:uid="{B2B2442E-0978-44EC-B7FA-85EFAE895B12}"/>
    <cellStyle name="Total 17 2" xfId="5633" xr:uid="{253DC87D-4464-4A9A-A835-1E5B45C4F36F}"/>
    <cellStyle name="Total 17 3" xfId="5634" xr:uid="{413E16F4-6FA7-457D-9DDA-F327086FCEDB}"/>
    <cellStyle name="Total 17 4" xfId="5635" xr:uid="{6021F3C8-FF66-4DBE-A25D-572D4D784065}"/>
    <cellStyle name="Total 17 5" xfId="5636" xr:uid="{337A3EFA-024F-4626-A12E-E8352DB6F502}"/>
    <cellStyle name="Total 17 6" xfId="5637" xr:uid="{DCA705E0-09BB-4C78-BC26-C49CF36940D2}"/>
    <cellStyle name="Total 17 7" xfId="5638" xr:uid="{8396AA3F-6B64-4C81-ABA4-AD9A11F1AEE0}"/>
    <cellStyle name="Total 18" xfId="3458" xr:uid="{8A2A3B3A-62B5-4253-ADEF-D9DE103DFF8D}"/>
    <cellStyle name="Total 18 2" xfId="5639" xr:uid="{6E2019B0-B97E-4C61-B2D0-9839F41D7A18}"/>
    <cellStyle name="Total 18 3" xfId="5640" xr:uid="{1422D2AA-E4CC-4973-9F91-7761364848A5}"/>
    <cellStyle name="Total 18 4" xfId="5641" xr:uid="{38DF61A5-9F27-4164-9CF1-B0480371854C}"/>
    <cellStyle name="Total 18 5" xfId="5642" xr:uid="{C5ECC3D2-2FF1-4F3B-99F2-B352C2256A55}"/>
    <cellStyle name="Total 18 6" xfId="5643" xr:uid="{ADC39BBB-5F75-40C7-975B-43E8FC2A040F}"/>
    <cellStyle name="Total 18 7" xfId="5644" xr:uid="{7F248B6C-FC6C-4D68-BEBD-1B4E79F72EA2}"/>
    <cellStyle name="Total 19" xfId="3459" xr:uid="{6C7D18F5-2F1A-40B5-B047-798D36A6ABAF}"/>
    <cellStyle name="Total 19 2" xfId="5645" xr:uid="{E2BD6972-F6EE-4F94-BC65-358CF5B274D6}"/>
    <cellStyle name="Total 19 3" xfId="5646" xr:uid="{FA77EEA7-9B21-44DF-822C-5DD09169AF2F}"/>
    <cellStyle name="Total 19 4" xfId="5647" xr:uid="{68039BD3-CCEA-478C-B1C0-F7303DEFD8FA}"/>
    <cellStyle name="Total 19 5" xfId="5648" xr:uid="{967E623D-F1B2-4D21-9347-49B33B4FF51C}"/>
    <cellStyle name="Total 19 6" xfId="5649" xr:uid="{90A3757F-3722-4860-8E88-68C6057EDBF1}"/>
    <cellStyle name="Total 19 7" xfId="5650" xr:uid="{2E9411E8-D762-44FC-82CB-B45144AFA849}"/>
    <cellStyle name="Total 2" xfId="59" xr:uid="{EC897F8B-9F1E-46D4-8059-C6F5C380F60F}"/>
    <cellStyle name="Total 2 10" xfId="5651" xr:uid="{D33221BB-C556-4DED-A0A8-421572A6E85E}"/>
    <cellStyle name="Total 2 10 2" xfId="12387" xr:uid="{84C2CA61-32CE-4C56-AE00-C228BBC6BB87}"/>
    <cellStyle name="Total 2 11" xfId="5652" xr:uid="{72DA1FA8-E415-4EE4-A407-FFF68A9A8188}"/>
    <cellStyle name="Total 2 11 2" xfId="10916" xr:uid="{F923EF06-5AD1-40B3-BAEC-86178BD36BB3}"/>
    <cellStyle name="Total 2 12" xfId="10972" xr:uid="{6A501618-A27F-4670-B596-3EF7D6C213A6}"/>
    <cellStyle name="Total 2 13" xfId="11145" xr:uid="{D644841D-DF0E-4682-BFE1-A72FFEEF826F}"/>
    <cellStyle name="Total 2 14" xfId="12786" xr:uid="{4F1C5B39-1211-4DE7-9113-7FB3F1FB36D5}"/>
    <cellStyle name="Total 2 15" xfId="12804" xr:uid="{D3405F9C-ACA1-455A-BDF8-E30BCA3A6FD3}"/>
    <cellStyle name="Total 2 16" xfId="11073" xr:uid="{FFFBB8E5-0A0D-4E01-A0E8-421D0B397B04}"/>
    <cellStyle name="Total 2 17" xfId="11146" xr:uid="{5B05F01B-5BB9-42E9-9C5F-84ADE0F3C69E}"/>
    <cellStyle name="Total 2 18" xfId="11888" xr:uid="{43910A87-02AE-4D6E-A585-942514EB9D08}"/>
    <cellStyle name="Total 2 19" xfId="11430" xr:uid="{49A7F6BB-5475-47A1-A29F-F40C17BDD9CE}"/>
    <cellStyle name="Total 2 2" xfId="3460" xr:uid="{20E6D5CA-7D98-4C69-9D52-5C1EC4D45C7F}"/>
    <cellStyle name="Total 2 2 10" xfId="11702" xr:uid="{4D1FE683-F5EA-4725-9B44-7CCA87EFC02A}"/>
    <cellStyle name="Total 2 2 11" xfId="11148" xr:uid="{D5159627-0ACF-4057-A081-313FBB3C6FDC}"/>
    <cellStyle name="Total 2 2 12" xfId="13416" xr:uid="{43E71BE5-66E0-407C-825F-A4506D54D0E2}"/>
    <cellStyle name="Total 2 2 13" xfId="12787" xr:uid="{B67B6459-E9DE-46AC-8A67-740322CDACE8}"/>
    <cellStyle name="Total 2 2 14" xfId="11950" xr:uid="{94AB8EF3-DF6B-4B18-B919-577B3212B9A3}"/>
    <cellStyle name="Total 2 2 15" xfId="11074" xr:uid="{05F8BAEB-D096-4312-B0DE-CFEDFCACA899}"/>
    <cellStyle name="Total 2 2 16" xfId="11149" xr:uid="{17B5861A-07BF-4C77-AD6B-550DFDA31E79}"/>
    <cellStyle name="Total 2 2 17" xfId="11150" xr:uid="{AADFAB02-34A1-4F2E-9890-836985F41706}"/>
    <cellStyle name="Total 2 2 18" xfId="11877" xr:uid="{099C98F2-0ABB-4D30-90EC-3E1015856813}"/>
    <cellStyle name="Total 2 2 19" xfId="12589" xr:uid="{521FD208-FEFC-4340-AFA6-2C0B08C64499}"/>
    <cellStyle name="Total 2 2 2" xfId="5653" xr:uid="{8D75DA1E-4D7B-4BC2-A082-A20F039DA337}"/>
    <cellStyle name="Total 2 2 2 2" xfId="11209" xr:uid="{9241AD8F-A383-468C-A3B8-05D6FA02AF25}"/>
    <cellStyle name="Total 2 2 20" xfId="11151" xr:uid="{F63A0BAA-E867-4B93-9D2B-BFB8E1A2FD21}"/>
    <cellStyle name="Total 2 2 21" xfId="12433" xr:uid="{0E74E33E-1E9A-4459-9F37-386DFBD621CD}"/>
    <cellStyle name="Total 2 2 22" xfId="12797" xr:uid="{92C21801-62B2-456C-A3ED-E8FA5151844C}"/>
    <cellStyle name="Total 2 2 23" xfId="12466" xr:uid="{F08CC712-D38D-41D3-BDC0-6C36C10D02B6}"/>
    <cellStyle name="Total 2 2 24" xfId="11147" xr:uid="{25E219B3-87E1-4EBA-AD93-112605A346AF}"/>
    <cellStyle name="Total 2 2 3" xfId="5654" xr:uid="{3968CA25-ECEF-44D0-B871-B86D0707D15F}"/>
    <cellStyle name="Total 2 2 3 2" xfId="11911" xr:uid="{C996A4AF-22CC-4A94-A304-4C688B56133A}"/>
    <cellStyle name="Total 2 2 4" xfId="5655" xr:uid="{713EA905-8D33-4E06-814A-E7E69C62A069}"/>
    <cellStyle name="Total 2 2 4 2" xfId="12550" xr:uid="{6879A5F3-5F4A-4D8E-B32A-17014AD71DCC}"/>
    <cellStyle name="Total 2 2 5" xfId="5656" xr:uid="{70E2D182-9136-47DA-836C-31678A5133B8}"/>
    <cellStyle name="Total 2 2 5 2" xfId="13264" xr:uid="{8EC51198-08A4-4F33-A5C6-75D97E7E945E}"/>
    <cellStyle name="Total 2 2 6" xfId="5657" xr:uid="{925609A0-DC0E-49B0-8121-6CE5A4AD9221}"/>
    <cellStyle name="Total 2 2 6 2" xfId="11033" xr:uid="{18BDE54B-A073-4DC5-861C-C01A60EC05E0}"/>
    <cellStyle name="Total 2 2 7" xfId="5658" xr:uid="{2929816E-B9D2-420F-B8DC-641FE6FFE8D9}"/>
    <cellStyle name="Total 2 2 7 2" xfId="11152" xr:uid="{4EC38DF1-D923-4C02-9FC8-3F8588AE9DAF}"/>
    <cellStyle name="Total 2 2 8" xfId="11153" xr:uid="{64BBEB60-6EAD-4A29-9EA3-7FB40A153205}"/>
    <cellStyle name="Total 2 2 9" xfId="11232" xr:uid="{5CEF5293-8F34-4252-8018-21EF1D530502}"/>
    <cellStyle name="Total 2 20" xfId="11154" xr:uid="{D3C6437F-C302-427B-9B87-7C51B7A2C793}"/>
    <cellStyle name="Total 2 21" xfId="12788" xr:uid="{79A77CE3-8D9C-43D9-A0A1-60430DCA20B7}"/>
    <cellStyle name="Total 2 22" xfId="11362" xr:uid="{755ADA8B-8C6D-40A9-BBB5-7562A52431C4}"/>
    <cellStyle name="Total 2 23" xfId="12003" xr:uid="{287021B9-0D94-48F5-981D-E7D0EE7924FB}"/>
    <cellStyle name="Total 2 24" xfId="11397" xr:uid="{1248F1A4-14DF-4912-826C-645C320412E2}"/>
    <cellStyle name="Total 2 3" xfId="3461" xr:uid="{E700D26B-CF27-4276-9827-93A7C868F4AA}"/>
    <cellStyle name="Total 2 3 2" xfId="5659" xr:uid="{D1659400-56A9-4953-BB82-F8C654BCC8A4}"/>
    <cellStyle name="Total 2 3 3" xfId="5660" xr:uid="{0F748A3F-135F-4BD1-8D1F-D05BDC10DAF9}"/>
    <cellStyle name="Total 2 3 4" xfId="5661" xr:uid="{79BC1FCE-827A-43B4-B9F1-C1CC686A9779}"/>
    <cellStyle name="Total 2 3 5" xfId="5662" xr:uid="{E0A759EE-9B6C-4E68-93F3-8A79274D4BD3}"/>
    <cellStyle name="Total 2 3 6" xfId="5663" xr:uid="{59960302-2F30-4946-9C71-E1579D0E0197}"/>
    <cellStyle name="Total 2 3 7" xfId="5664" xr:uid="{F8F1652A-711C-4933-855B-6A8106CF094C}"/>
    <cellStyle name="Total 2 3 8" xfId="12590" xr:uid="{B7E5F695-DFA2-4746-9227-6F48AD1BBE12}"/>
    <cellStyle name="Total 2 4" xfId="3462" xr:uid="{257A58CD-666F-4481-AFFA-505BE9DBDA68}"/>
    <cellStyle name="Total 2 4 2" xfId="5665" xr:uid="{71C625C0-6785-4DD9-AF0D-42AE9C39CC89}"/>
    <cellStyle name="Total 2 4 3" xfId="5666" xr:uid="{4E1D90DD-74BC-464D-9FD7-10C2908175BD}"/>
    <cellStyle name="Total 2 4 4" xfId="5667" xr:uid="{9C55F6EA-0974-42AE-B336-CB06B48D8930}"/>
    <cellStyle name="Total 2 4 5" xfId="5668" xr:uid="{E40D897F-C44D-4DA5-8E2A-5BB6BE9C82D3}"/>
    <cellStyle name="Total 2 4 6" xfId="5669" xr:uid="{02918AB0-D6C1-4EF3-B043-BEEE264F6627}"/>
    <cellStyle name="Total 2 4 7" xfId="5670" xr:uid="{F889C213-918B-4ECC-ADA1-A7356937EEB5}"/>
    <cellStyle name="Total 2 4 8" xfId="11889" xr:uid="{DA0C5223-F630-4FA7-A82A-84F9D1DDBE60}"/>
    <cellStyle name="Total 2 5" xfId="3463" xr:uid="{3A711E02-B438-4AAC-9E56-C999F6AF3E2B}"/>
    <cellStyle name="Total 2 5 2" xfId="5671" xr:uid="{5E10AD02-A741-4831-8D0D-9EAE98B0D4DD}"/>
    <cellStyle name="Total 2 5 3" xfId="5672" xr:uid="{37941679-E581-483F-A1C2-11A0F14A17FC}"/>
    <cellStyle name="Total 2 5 4" xfId="5673" xr:uid="{6E302C60-32E3-435D-A266-CF5DFFCC6F81}"/>
    <cellStyle name="Total 2 5 5" xfId="5674" xr:uid="{7D523454-9129-4B6A-81D8-220252C370EB}"/>
    <cellStyle name="Total 2 5 6" xfId="5675" xr:uid="{5BCA77F9-1A09-48E6-9524-10CE9962C7EC}"/>
    <cellStyle name="Total 2 5 7" xfId="5676" xr:uid="{FC000F2C-E158-4CA2-B6C6-6956C072DBE8}"/>
    <cellStyle name="Total 2 5 8" xfId="11155" xr:uid="{E06F4DD4-3752-49AF-AE2A-84BE5EE0F7C3}"/>
    <cellStyle name="Total 2 6" xfId="5677" xr:uid="{30C45E4D-B6B4-4353-A482-F69C6758BDDE}"/>
    <cellStyle name="Total 2 6 2" xfId="11999" xr:uid="{3E0F611C-457A-4089-8A46-3C0508244D1E}"/>
    <cellStyle name="Total 2 7" xfId="5678" xr:uid="{DD88B5BB-602A-4698-A5EF-E3AF17BE8D39}"/>
    <cellStyle name="Total 2 7 2" xfId="11951" xr:uid="{DB79AF32-DB63-4B61-84F1-17EA4D035D4F}"/>
    <cellStyle name="Total 2 8" xfId="5679" xr:uid="{1253069C-B0CD-4170-AEEC-9726BCA5F62A}"/>
    <cellStyle name="Total 2 8 2" xfId="11075" xr:uid="{D49C0563-5BF4-454D-9153-9B6906DC1879}"/>
    <cellStyle name="Total 2 9" xfId="5680" xr:uid="{A7A8B9F4-1D23-4078-AA8B-D9FB243CC7AC}"/>
    <cellStyle name="Total 2 9 2" xfId="11156" xr:uid="{43E2B00A-21DB-4ED3-AD9D-E00EC379E809}"/>
    <cellStyle name="Total 20" xfId="3464" xr:uid="{F421EFFC-CE50-45EB-A625-63E0F8C78FBE}"/>
    <cellStyle name="Total 20 2" xfId="5681" xr:uid="{F3D93275-71D6-4A8D-82E2-951405585A53}"/>
    <cellStyle name="Total 20 3" xfId="5682" xr:uid="{EB6B2632-E68F-415C-B3BB-8B12AC6159A6}"/>
    <cellStyle name="Total 20 4" xfId="5683" xr:uid="{BCDFBAED-9C78-440A-9261-89D375CBEECB}"/>
    <cellStyle name="Total 20 5" xfId="5684" xr:uid="{A9A8537D-508B-4A5D-888A-B8461105808E}"/>
    <cellStyle name="Total 20 6" xfId="5685" xr:uid="{89437D59-6AE1-44D6-927C-ADCB9C43818D}"/>
    <cellStyle name="Total 20 7" xfId="5686" xr:uid="{C068DE47-C353-47CC-8982-96B9A1223313}"/>
    <cellStyle name="Total 21" xfId="3465" xr:uid="{FB891684-C36B-45CE-8451-B2A4593D0B28}"/>
    <cellStyle name="Total 21 2" xfId="5687" xr:uid="{ADE59670-3796-4ADE-A9D2-89A88EA77083}"/>
    <cellStyle name="Total 21 3" xfId="5688" xr:uid="{1477793C-4D24-4743-A587-3536A598B501}"/>
    <cellStyle name="Total 21 4" xfId="5689" xr:uid="{B9D55120-20B3-4059-8E49-E736C711B381}"/>
    <cellStyle name="Total 21 5" xfId="5690" xr:uid="{603CA7D4-EF31-4726-A31A-EDD241592254}"/>
    <cellStyle name="Total 21 6" xfId="5691" xr:uid="{D12D36B8-7568-4A8F-B8BF-202E492B7D60}"/>
    <cellStyle name="Total 21 7" xfId="5692" xr:uid="{0707D64E-D80F-46B7-8C5D-F0F4B67BBA08}"/>
    <cellStyle name="Total 22" xfId="3466" xr:uid="{B6BC5D14-CF8A-45DE-B32D-64217378A815}"/>
    <cellStyle name="Total 22 2" xfId="5693" xr:uid="{435744F0-AB0B-4043-9080-CC0D10C73221}"/>
    <cellStyle name="Total 22 3" xfId="5694" xr:uid="{545FB34E-D203-4DB3-9A8E-075D74DF81FD}"/>
    <cellStyle name="Total 22 4" xfId="5695" xr:uid="{4EA3EC15-644C-48A9-B7DC-20C4DCED9CD5}"/>
    <cellStyle name="Total 22 5" xfId="5696" xr:uid="{4E24D999-934E-47A1-B274-F7E24DF5A49A}"/>
    <cellStyle name="Total 22 6" xfId="5697" xr:uid="{0671A05E-E800-49B5-AB39-E8BBAADB6B89}"/>
    <cellStyle name="Total 22 7" xfId="5698" xr:uid="{81FDA372-FE6A-437B-8E2C-39B32CCF06BF}"/>
    <cellStyle name="Total 23" xfId="3467" xr:uid="{CC0D55AE-77B3-4C19-9641-362F42255484}"/>
    <cellStyle name="Total 23 2" xfId="5699" xr:uid="{940BAF8A-27D6-40A5-8C10-ABDC961CFAE1}"/>
    <cellStyle name="Total 23 3" xfId="5700" xr:uid="{8FA60A0B-D5A6-4EA7-9205-4E445D81FA91}"/>
    <cellStyle name="Total 23 4" xfId="5701" xr:uid="{1A82E124-0DE7-43CD-8BDE-D67FAD7B762D}"/>
    <cellStyle name="Total 23 5" xfId="5702" xr:uid="{9A2EF8A0-61D0-4F51-BEEF-0E77C5D9684E}"/>
    <cellStyle name="Total 23 6" xfId="5703" xr:uid="{47FF7099-6415-4F2C-963E-CB47082C9C2F}"/>
    <cellStyle name="Total 23 7" xfId="5704" xr:uid="{C4F81906-30F9-4D5E-89E6-DAF91D3C1F68}"/>
    <cellStyle name="Total 24" xfId="3468" xr:uid="{D10A66B6-586D-4966-B095-9F89FCC285FC}"/>
    <cellStyle name="Total 24 2" xfId="5705" xr:uid="{8603BF4E-CF00-4CB5-8002-556C21FFC235}"/>
    <cellStyle name="Total 24 3" xfId="5706" xr:uid="{D00CECC8-A2D5-4B2B-926A-C3021039266E}"/>
    <cellStyle name="Total 24 4" xfId="5707" xr:uid="{B1ACCAD6-5AF1-4464-815E-EDF7128960E7}"/>
    <cellStyle name="Total 24 5" xfId="5708" xr:uid="{AB21CFF0-D2A6-4F9C-A88A-4193477E972E}"/>
    <cellStyle name="Total 24 6" xfId="5709" xr:uid="{62215C7F-004B-4096-A09F-E769333E5942}"/>
    <cellStyle name="Total 24 7" xfId="5710" xr:uid="{523E780B-AA18-4477-A289-8D38AEC34B82}"/>
    <cellStyle name="Total 25" xfId="3469" xr:uid="{C8B4A277-2F83-49B2-94E6-CE13198DD836}"/>
    <cellStyle name="Total 25 2" xfId="5711" xr:uid="{B678689D-B40A-4735-92B4-EE88E8FD3778}"/>
    <cellStyle name="Total 25 3" xfId="5712" xr:uid="{97787641-F35E-48C2-A726-B3F7F625C628}"/>
    <cellStyle name="Total 25 4" xfId="5713" xr:uid="{4B3B55E1-28C2-48CB-82D9-E18BCBAA108A}"/>
    <cellStyle name="Total 25 5" xfId="5714" xr:uid="{2D09618D-DA62-4D5E-9ABA-626039C5BB12}"/>
    <cellStyle name="Total 25 6" xfId="5715" xr:uid="{D44392F2-7E4D-4639-A10B-46B3C7B49006}"/>
    <cellStyle name="Total 25 7" xfId="5716" xr:uid="{758F7524-D05C-4DE6-B04E-D071A1CFEC90}"/>
    <cellStyle name="Total 26" xfId="3470" xr:uid="{4FA5B31E-7B4C-4190-B353-48E271DD565E}"/>
    <cellStyle name="Total 26 2" xfId="5717" xr:uid="{41F15916-C0D3-4F06-AE58-215B9B0B2865}"/>
    <cellStyle name="Total 26 3" xfId="5718" xr:uid="{1BFC4901-9903-4435-9C5E-80D6E7391EC5}"/>
    <cellStyle name="Total 26 4" xfId="5719" xr:uid="{97F63CEC-7883-4A5E-B309-5FA251C4D191}"/>
    <cellStyle name="Total 26 5" xfId="5720" xr:uid="{0FE47F25-AD5E-47AA-8F26-243F1A021A60}"/>
    <cellStyle name="Total 26 6" xfId="5721" xr:uid="{B8F2FA16-1181-46A3-A731-29CBEB34858A}"/>
    <cellStyle name="Total 26 7" xfId="5722" xr:uid="{BF33EFA3-7498-4689-833D-2DC98828FE15}"/>
    <cellStyle name="Total 27" xfId="3471" xr:uid="{E1C6FFA2-2767-458D-8D3C-3ACC56B9D4CF}"/>
    <cellStyle name="Total 27 2" xfId="5723" xr:uid="{CB125B89-D0EB-4C7F-B4FD-0539417977A0}"/>
    <cellStyle name="Total 27 3" xfId="5724" xr:uid="{466531F4-5C81-4C20-9F1B-354CDCA953C5}"/>
    <cellStyle name="Total 27 4" xfId="5725" xr:uid="{63CFFF94-F04E-45BE-A391-A45203DC2952}"/>
    <cellStyle name="Total 27 5" xfId="5726" xr:uid="{0BBFDAFD-72F6-4AFA-9969-FE13FA10AB4E}"/>
    <cellStyle name="Total 27 6" xfId="5727" xr:uid="{D7BDC33A-8079-432A-B85E-AB0A3C7D12E9}"/>
    <cellStyle name="Total 27 7" xfId="5728" xr:uid="{E4559FA1-E206-4C80-B35C-82537CFEDA6A}"/>
    <cellStyle name="Total 28" xfId="3472" xr:uid="{3283198A-6ADD-4E16-A442-FB45E9E37A8A}"/>
    <cellStyle name="Total 28 2" xfId="5729" xr:uid="{92A3E2C0-493F-49D1-9208-AB30ECBC792E}"/>
    <cellStyle name="Total 28 3" xfId="5730" xr:uid="{7D6B581B-4BC5-428C-9AA1-1917CA3FEF9D}"/>
    <cellStyle name="Total 28 4" xfId="5731" xr:uid="{83086E50-892C-4202-91FF-0DF2604887CF}"/>
    <cellStyle name="Total 28 5" xfId="5732" xr:uid="{6DE35FF8-96BB-44EB-9933-0EBFE13149C6}"/>
    <cellStyle name="Total 28 6" xfId="5733" xr:uid="{082AC5E6-0A33-4E1B-80EE-F401D615336B}"/>
    <cellStyle name="Total 28 7" xfId="5734" xr:uid="{F2AEE37B-9226-435A-98D6-F45A06265FE1}"/>
    <cellStyle name="Total 29" xfId="3473" xr:uid="{092F054B-2706-4EFB-AD9C-331538509DC6}"/>
    <cellStyle name="Total 29 2" xfId="5735" xr:uid="{6531ADC2-F964-454C-BFAE-C0B50F834CAA}"/>
    <cellStyle name="Total 29 3" xfId="5736" xr:uid="{EFE12254-54C7-437C-AA86-B5FC6344D90C}"/>
    <cellStyle name="Total 29 4" xfId="5737" xr:uid="{D6AEDD71-FD90-4278-AA78-117C66FD7443}"/>
    <cellStyle name="Total 29 5" xfId="5738" xr:uid="{C0BD62FA-86BA-4CC0-9C5A-0BBF47527600}"/>
    <cellStyle name="Total 29 6" xfId="5739" xr:uid="{9FC7920B-6DB3-4CE3-A32F-59144AB94AB2}"/>
    <cellStyle name="Total 29 7" xfId="5740" xr:uid="{0B724269-4676-4778-8636-9710635113F9}"/>
    <cellStyle name="Total 3" xfId="465" xr:uid="{54597CF9-0E65-4992-9A7D-E85399EE6584}"/>
    <cellStyle name="Total 3 10" xfId="12002" xr:uid="{1E7AAE63-EF15-4264-BEF2-F1A8E742A389}"/>
    <cellStyle name="Total 3 11" xfId="10973" xr:uid="{0E20C6F5-DFA4-4199-A94E-7B6477F1D7DB}"/>
    <cellStyle name="Total 3 12" xfId="11751" xr:uid="{6CAAF953-6F33-4B5D-A7F4-D7AEA5BD9E13}"/>
    <cellStyle name="Total 3 13" xfId="10974" xr:uid="{F16BBBDB-6A1D-4D09-984E-F2BE1C11D9A1}"/>
    <cellStyle name="Total 3 14" xfId="12330" xr:uid="{90802367-3188-47E7-B1CB-5B91579D04DB}"/>
    <cellStyle name="Total 3 15" xfId="12789" xr:uid="{A2FEBE0A-CD1B-4F66-AE7E-67C8EF4854E1}"/>
    <cellStyle name="Total 3 16" xfId="11952" xr:uid="{F6186428-C9CE-4C55-BB4A-816B4ADE2A21}"/>
    <cellStyle name="Total 3 17" xfId="11076" xr:uid="{0E57498F-CDF5-4393-8427-441E5966F559}"/>
    <cellStyle name="Total 3 18" xfId="11158" xr:uid="{2F8B73FB-190C-4FBB-AE2A-05EF15B761D2}"/>
    <cellStyle name="Total 3 19" xfId="11159" xr:uid="{6B226601-7392-426A-8093-7A8BB49CC166}"/>
    <cellStyle name="Total 3 2" xfId="5741" xr:uid="{48CC55E9-9FBF-4173-8BE3-298A1E8E9F07}"/>
    <cellStyle name="Total 3 2 2" xfId="11431" xr:uid="{598838DE-996D-4D4D-B29E-ADBEA635140B}"/>
    <cellStyle name="Total 3 20" xfId="11160" xr:uid="{C3734512-0EE2-40A4-AF46-07BE0A53A244}"/>
    <cellStyle name="Total 3 21" xfId="12606" xr:uid="{BDDDDC41-997C-46BF-8598-96572CFB66CC}"/>
    <cellStyle name="Total 3 22" xfId="11161" xr:uid="{6D9E6E27-8B31-4E76-83ED-B0A55A7964CD}"/>
    <cellStyle name="Total 3 23" xfId="13068" xr:uid="{3E2EC99F-7087-46B1-9749-9E1A4ECAD4ED}"/>
    <cellStyle name="Total 3 24" xfId="11157" xr:uid="{51EACD8C-47C1-4143-B55E-44932D25EB18}"/>
    <cellStyle name="Total 3 3" xfId="5742" xr:uid="{B8BD18DB-A1A8-4211-838D-3D0200AA3F73}"/>
    <cellStyle name="Total 3 3 2" xfId="12551" xr:uid="{C99846B7-4F4B-401E-A548-6726EB09C30F}"/>
    <cellStyle name="Total 3 4" xfId="5743" xr:uid="{0C53C4C6-AC5B-42B2-9454-128278D3E966}"/>
    <cellStyle name="Total 3 4 2" xfId="11098" xr:uid="{49CEE115-8A4A-419E-8526-8E591C407117}"/>
    <cellStyle name="Total 3 5" xfId="5744" xr:uid="{DCE02DA7-2859-4D7D-89CD-6597776BC273}"/>
    <cellStyle name="Total 3 5 2" xfId="11162" xr:uid="{1B4727B1-59A6-4628-BA1D-BC0AF7B70E6C}"/>
    <cellStyle name="Total 3 6" xfId="5745" xr:uid="{4A827E83-44E4-4495-BCFD-9A4D21FC0A53}"/>
    <cellStyle name="Total 3 6 2" xfId="11368" xr:uid="{3BB2149E-CEF2-46DE-881B-BD4E3F64835B}"/>
    <cellStyle name="Total 3 7" xfId="5746" xr:uid="{BE5FFD25-D9BC-4A4B-8820-F52FDF125CC6}"/>
    <cellStyle name="Total 3 7 2" xfId="11716" xr:uid="{0F1E5633-C30E-4ABB-ADCC-0480A5F8C1EC}"/>
    <cellStyle name="Total 3 8" xfId="12591" xr:uid="{100CB653-6F0A-4E1B-A75B-4CF0E01715E6}"/>
    <cellStyle name="Total 3 9" xfId="12790" xr:uid="{FB1E948C-B546-4058-8366-80A988D1291B}"/>
    <cellStyle name="Total 30" xfId="3474" xr:uid="{B60C129D-D200-479B-9491-EF7C4E687CD4}"/>
    <cellStyle name="Total 30 2" xfId="5747" xr:uid="{104F079E-1A8F-4C18-8771-6886A2264360}"/>
    <cellStyle name="Total 30 3" xfId="5748" xr:uid="{A8DCE6B6-C2A2-4D20-BB18-E5400B7B1F4B}"/>
    <cellStyle name="Total 30 4" xfId="5749" xr:uid="{D93E716A-0EF3-45A9-8492-58F94A61E880}"/>
    <cellStyle name="Total 30 5" xfId="5750" xr:uid="{6D9CE228-C417-4527-900F-2A6864C669BA}"/>
    <cellStyle name="Total 30 6" xfId="5751" xr:uid="{833BF2BD-D7FE-4916-91E0-EB2212C1E432}"/>
    <cellStyle name="Total 30 7" xfId="5752" xr:uid="{80F41025-D228-45BA-BDE6-33B00B0F3ADA}"/>
    <cellStyle name="Total 31" xfId="3475" xr:uid="{CC669DA3-88F2-40C7-83EF-D254CE189E74}"/>
    <cellStyle name="Total 31 2" xfId="5753" xr:uid="{328A71AB-2302-4BBB-B8BE-F97AB046E795}"/>
    <cellStyle name="Total 31 3" xfId="5754" xr:uid="{914C6470-FE4E-4EE1-9545-5A0812849E07}"/>
    <cellStyle name="Total 31 4" xfId="5755" xr:uid="{739F0453-D434-4DBA-85CE-4FEDBF2246AB}"/>
    <cellStyle name="Total 31 5" xfId="5756" xr:uid="{0E082A4C-A963-48DB-AADC-0B80FDADC3CF}"/>
    <cellStyle name="Total 31 6" xfId="5757" xr:uid="{0FFD117A-A46C-481D-AF75-8903581CA673}"/>
    <cellStyle name="Total 31 7" xfId="5758" xr:uid="{451FAF45-E318-4372-91BA-E81EF882BCBA}"/>
    <cellStyle name="Total 32" xfId="3476" xr:uid="{4CEB5460-59E4-4A48-B1A4-1AA5285354D1}"/>
    <cellStyle name="Total 32 2" xfId="5759" xr:uid="{6D6D6341-3F9E-4A9E-A404-61A2AC0152EA}"/>
    <cellStyle name="Total 32 3" xfId="5760" xr:uid="{921C2690-35C6-4890-8ACE-750C43D709D5}"/>
    <cellStyle name="Total 32 4" xfId="5761" xr:uid="{8006878D-5F9A-4DBA-BA61-27476CAEE6EA}"/>
    <cellStyle name="Total 32 5" xfId="5762" xr:uid="{7841F841-E0D2-45F6-9F53-C008A2501C4D}"/>
    <cellStyle name="Total 32 6" xfId="5763" xr:uid="{1DD0040A-52BE-4759-92D4-CBC91674220A}"/>
    <cellStyle name="Total 32 7" xfId="5764" xr:uid="{3678E60A-A1FA-4C9D-B4B4-FFD10A8767B2}"/>
    <cellStyle name="Total 33" xfId="3477" xr:uid="{116A00D6-C467-4F20-BCFD-6C5F8C432456}"/>
    <cellStyle name="Total 33 2" xfId="5765" xr:uid="{4A74BC4D-8302-498F-98E2-F67362354030}"/>
    <cellStyle name="Total 33 3" xfId="5766" xr:uid="{EF6477AC-DC34-4317-8FC0-3C1E002E3956}"/>
    <cellStyle name="Total 33 4" xfId="5767" xr:uid="{EAC4A8B3-8A0B-46B1-B2F2-DB1F9B437191}"/>
    <cellStyle name="Total 33 5" xfId="5768" xr:uid="{CF7C7808-D5B1-4727-A63C-289569DAEF9E}"/>
    <cellStyle name="Total 33 6" xfId="5769" xr:uid="{94C7B851-E2C8-41AE-946A-DAE48E32F0B1}"/>
    <cellStyle name="Total 33 7" xfId="5770" xr:uid="{1DAFD7CA-17FB-44DD-97EF-8A3B755B0BEA}"/>
    <cellStyle name="Total 34" xfId="3478" xr:uid="{EE31CB8E-7131-4371-9B1F-9C2FFF0E85AB}"/>
    <cellStyle name="Total 34 2" xfId="5771" xr:uid="{F6A3923A-DA59-4819-81A3-05437A09834A}"/>
    <cellStyle name="Total 34 3" xfId="5772" xr:uid="{BBD93CEC-15BB-40CF-8B04-C31DEAE2213A}"/>
    <cellStyle name="Total 34 4" xfId="5773" xr:uid="{53BABC88-B3BD-47F0-B05C-5B588E31B18A}"/>
    <cellStyle name="Total 34 5" xfId="5774" xr:uid="{38E2D259-DEF0-4A60-A8E0-481399D4AF42}"/>
    <cellStyle name="Total 34 6" xfId="5775" xr:uid="{4F264507-B406-4459-A53F-A9EA4C1D15D7}"/>
    <cellStyle name="Total 34 7" xfId="5776" xr:uid="{D3052FBD-FD26-4347-87C1-2E1A8CDA6E05}"/>
    <cellStyle name="Total 35" xfId="3479" xr:uid="{7D8DE9FF-AB8F-44DC-82CE-E3B00E706E6F}"/>
    <cellStyle name="Total 35 2" xfId="5777" xr:uid="{1A4C1E66-27BA-4C5F-8937-72117DB37C03}"/>
    <cellStyle name="Total 35 3" xfId="5778" xr:uid="{1A8D22F5-68FE-4CE7-9650-DE091C325C0E}"/>
    <cellStyle name="Total 35 4" xfId="5779" xr:uid="{1FB297E1-FFC3-4A2C-A2F0-42BCA6832A1C}"/>
    <cellStyle name="Total 35 5" xfId="5780" xr:uid="{52E253BD-C975-4B36-8EB9-496C9E7F5371}"/>
    <cellStyle name="Total 35 6" xfId="5781" xr:uid="{B70B94DA-2E92-47D0-804D-454A3863FDBE}"/>
    <cellStyle name="Total 35 7" xfId="5782" xr:uid="{394D4101-32D6-4CB4-B5B1-9E10314082C6}"/>
    <cellStyle name="Total 36" xfId="3480" xr:uid="{67918611-5ED1-4414-9117-2DD80506862F}"/>
    <cellStyle name="Total 36 2" xfId="5783" xr:uid="{9F197968-CEAA-433E-8FB7-82B8CCA88D65}"/>
    <cellStyle name="Total 36 3" xfId="5784" xr:uid="{9DBE4760-1DF7-45E8-864D-C5C62F23D1A9}"/>
    <cellStyle name="Total 36 4" xfId="5785" xr:uid="{7FBDD5E6-D3A8-4D36-BBD7-967AC32EF078}"/>
    <cellStyle name="Total 36 5" xfId="5786" xr:uid="{6919F7DA-EAED-49FA-B5FC-25F463F7CDE5}"/>
    <cellStyle name="Total 36 6" xfId="5787" xr:uid="{F7D94D86-F7E7-4A36-B60F-50A9B35B1C52}"/>
    <cellStyle name="Total 36 7" xfId="5788" xr:uid="{BCABB1D7-BC38-4DA7-B0AA-2BE1CE636AB0}"/>
    <cellStyle name="Total 37" xfId="3481" xr:uid="{E2C9424B-5467-44B7-9496-9F8645517007}"/>
    <cellStyle name="Total 37 2" xfId="5789" xr:uid="{B963E663-1018-458D-95A6-DA07461BC724}"/>
    <cellStyle name="Total 37 3" xfId="5790" xr:uid="{956E3513-6F77-483B-AF9E-8918C4B25D5D}"/>
    <cellStyle name="Total 37 4" xfId="5791" xr:uid="{B6EA758A-E5EF-415C-90A2-DB51C6826D41}"/>
    <cellStyle name="Total 37 5" xfId="5792" xr:uid="{63D32F4C-9097-4A61-A0DA-DF0158FCD6AC}"/>
    <cellStyle name="Total 37 6" xfId="5793" xr:uid="{A40F61A5-2F32-4656-85D0-93E95BC6E130}"/>
    <cellStyle name="Total 37 7" xfId="5794" xr:uid="{CB08EF94-B9CB-477E-A965-F1E0E3910A2F}"/>
    <cellStyle name="Total 38" xfId="3482" xr:uid="{FCD84060-C0B3-4E0B-AD9E-667BE838B9BE}"/>
    <cellStyle name="Total 38 2" xfId="5795" xr:uid="{34D905D1-178E-4C63-845D-85A73E48AEA5}"/>
    <cellStyle name="Total 38 3" xfId="5796" xr:uid="{29DA0C94-B526-47BF-B8ED-52FFA639388B}"/>
    <cellStyle name="Total 38 4" xfId="5797" xr:uid="{355E55A9-524A-4509-A133-AE4D2BB4AC2D}"/>
    <cellStyle name="Total 38 5" xfId="5798" xr:uid="{6BDBE851-BCBE-44E6-A94C-4B651C75A5CC}"/>
    <cellStyle name="Total 38 6" xfId="5799" xr:uid="{AE76B1C1-99BB-422A-A497-A1B9DD36956B}"/>
    <cellStyle name="Total 38 7" xfId="5800" xr:uid="{D7CD820D-0D9D-4B15-A331-B88B85EB7F96}"/>
    <cellStyle name="Total 39" xfId="3483" xr:uid="{320A5DCE-27CD-4684-A914-B44A41D8E486}"/>
    <cellStyle name="Total 39 2" xfId="5801" xr:uid="{76F11D2E-392B-4386-BE88-80B0FDEEBD0D}"/>
    <cellStyle name="Total 39 3" xfId="5802" xr:uid="{CBF4963F-0524-4DBB-B5F8-78BC4FFA831E}"/>
    <cellStyle name="Total 39 4" xfId="5803" xr:uid="{0711582E-70F0-444E-ACE4-A8AE6515EEC4}"/>
    <cellStyle name="Total 39 5" xfId="5804" xr:uid="{62A747C9-7C83-42DF-90FE-55AB590A4C07}"/>
    <cellStyle name="Total 39 6" xfId="5805" xr:uid="{4448381D-D1B4-412D-9266-F700083829F2}"/>
    <cellStyle name="Total 39 7" xfId="5806" xr:uid="{DCBB50AC-5865-4350-9842-FA736EE281D6}"/>
    <cellStyle name="Total 4" xfId="466" xr:uid="{9E3CFFAA-EEE2-4EE8-9AD4-0F0DC3883B1A}"/>
    <cellStyle name="Total 4 10" xfId="11301" xr:uid="{324F5211-27C8-4ECD-94C3-A979B99B4D8E}"/>
    <cellStyle name="Total 4 11" xfId="11163" xr:uid="{27EB2B44-73F3-4C26-A967-2B228B045EDF}"/>
    <cellStyle name="Total 4 12" xfId="11164" xr:uid="{E8AA3300-87D9-4E74-8716-2CA4D4C70262}"/>
    <cellStyle name="Total 4 13" xfId="11165" xr:uid="{A8894A47-367B-4DC7-9C5B-1EE3126BC7E8}"/>
    <cellStyle name="Total 4 14" xfId="12791" xr:uid="{2ABE2451-E897-4E97-AFCB-2609077A0A48}"/>
    <cellStyle name="Total 4 15" xfId="11358" xr:uid="{F7EA3A61-944E-4AB3-9AAF-50B34F75B422}"/>
    <cellStyle name="Total 4 16" xfId="12578" xr:uid="{FDD6DE05-9593-4F62-A748-1718B8FBF8C9}"/>
    <cellStyle name="Total 4 17" xfId="11166" xr:uid="{26F52E57-CA98-4FE3-9755-26CD611FD6F8}"/>
    <cellStyle name="Total 4 18" xfId="12592" xr:uid="{F5911355-533D-4C5F-834C-9B5554E57EAE}"/>
    <cellStyle name="Total 4 19" xfId="11432" xr:uid="{ABDA500F-770F-4964-AC8A-55668A4198B0}"/>
    <cellStyle name="Total 4 2" xfId="5807" xr:uid="{774D1613-7999-4158-A8F0-E5F6E2B9BC52}"/>
    <cellStyle name="Total 4 2 2" xfId="12826" xr:uid="{81E080C8-39FD-4BE5-BD52-BC4E6518DF3B}"/>
    <cellStyle name="Total 4 20" xfId="11239" xr:uid="{2DECF96B-1B74-499B-A3FF-015C34390D24}"/>
    <cellStyle name="Total 4 21" xfId="12827" xr:uid="{45C79F40-1068-4013-91E2-6D4BA7E31697}"/>
    <cellStyle name="Total 4 22" xfId="11196" xr:uid="{48AC69FE-813A-437F-B6F0-9280DA00E254}"/>
    <cellStyle name="Total 4 23" xfId="12792" xr:uid="{223F0399-A28B-43E3-962E-3B3531A2AE3A}"/>
    <cellStyle name="Total 4 24" xfId="11672" xr:uid="{32B1150E-2C86-4569-A128-4E34E62FFC0C}"/>
    <cellStyle name="Total 4 3" xfId="5808" xr:uid="{05C70C03-C07C-4917-B89D-BAD8F65C20FC}"/>
    <cellStyle name="Total 4 3 2" xfId="11359" xr:uid="{4649DEEE-95AE-4351-A079-A6635A359819}"/>
    <cellStyle name="Total 4 4" xfId="5809" xr:uid="{6CEDD5C4-4D68-4185-8437-E43F395176DA}"/>
    <cellStyle name="Total 4 4 2" xfId="11077" xr:uid="{E233366A-BF18-463B-967E-BE631A87CE08}"/>
    <cellStyle name="Total 4 5" xfId="5810" xr:uid="{C3FE3880-C0BF-4CD5-8BF7-120A2096668C}"/>
    <cellStyle name="Total 4 5 2" xfId="11167" xr:uid="{1B016176-8E07-490F-B21A-6C8A450B26AC}"/>
    <cellStyle name="Total 4 6" xfId="5811" xr:uid="{02BE2420-2FC5-4C17-AEEF-D4747EC24CD2}"/>
    <cellStyle name="Total 4 6 2" xfId="10975" xr:uid="{7B64BE30-3649-4658-98D1-F04C6D654130}"/>
    <cellStyle name="Total 4 7" xfId="5812" xr:uid="{00786DD2-619B-482D-9939-74EB7C7061A1}"/>
    <cellStyle name="Total 4 7 2" xfId="11433" xr:uid="{1F1AADB4-C8A9-4345-9C61-8EFB3FCF4F4D}"/>
    <cellStyle name="Total 4 8" xfId="11890" xr:uid="{3B93EE5C-A713-4376-A75B-1769DF191EC9}"/>
    <cellStyle name="Total 4 9" xfId="11752" xr:uid="{28B216F6-5CC1-4358-A95D-9E1BF80497E3}"/>
    <cellStyle name="Total 40" xfId="3484" xr:uid="{F6FDE3AE-CBBF-43D9-888F-11A433F3D354}"/>
    <cellStyle name="Total 40 2" xfId="5813" xr:uid="{CD1E749C-F97E-43A1-9EED-45D97E5D6D66}"/>
    <cellStyle name="Total 40 3" xfId="5814" xr:uid="{5D4B5A0B-8592-4F3B-9E86-4DA6CC2BE19A}"/>
    <cellStyle name="Total 40 4" xfId="5815" xr:uid="{A5966E91-B1FA-47CF-B27E-DA8545132199}"/>
    <cellStyle name="Total 40 5" xfId="5816" xr:uid="{EF512D02-9AB5-44EA-8A45-20D1B1AE5234}"/>
    <cellStyle name="Total 40 6" xfId="5817" xr:uid="{FB22BD29-6AA6-4930-85B4-ADB5087C1300}"/>
    <cellStyle name="Total 40 7" xfId="5818" xr:uid="{E925A83F-AE95-430B-921B-1B51CCE08E50}"/>
    <cellStyle name="Total 41" xfId="3485" xr:uid="{59B62615-D7BE-4587-A83D-465E01D7C5B3}"/>
    <cellStyle name="Total 41 2" xfId="5819" xr:uid="{D2258CD3-50D8-4D77-9D1B-799519EAEA00}"/>
    <cellStyle name="Total 41 3" xfId="5820" xr:uid="{0CFE4B6C-0EF5-4183-B365-58C93840010E}"/>
    <cellStyle name="Total 41 4" xfId="5821" xr:uid="{61E96433-292A-4119-84B8-7857A89A1BAD}"/>
    <cellStyle name="Total 41 5" xfId="5822" xr:uid="{6F97E128-BDC6-4151-B987-BA634F0086E7}"/>
    <cellStyle name="Total 41 6" xfId="5823" xr:uid="{C98D9E6E-F961-47D8-AD8D-F06D39B46E16}"/>
    <cellStyle name="Total 41 7" xfId="5824" xr:uid="{360C7C97-51E6-4AFC-BD0B-AB0D091F1604}"/>
    <cellStyle name="Total 42" xfId="3486" xr:uid="{01506B54-7A6C-416D-81D0-7B84BF19F3EF}"/>
    <cellStyle name="Total 42 2" xfId="5825" xr:uid="{1954C299-E962-4F77-B7B5-3BEC5AB23985}"/>
    <cellStyle name="Total 42 3" xfId="5826" xr:uid="{9ED10315-0D29-40A7-91B2-20660B50B581}"/>
    <cellStyle name="Total 42 4" xfId="5827" xr:uid="{C1292AA0-616C-40BA-BB62-C0CA8BBA3AB8}"/>
    <cellStyle name="Total 42 5" xfId="5828" xr:uid="{58CE9E8F-553B-41C3-825D-CE6627C390DF}"/>
    <cellStyle name="Total 42 6" xfId="5829" xr:uid="{58F36593-7943-4536-B610-49219D2B6EC8}"/>
    <cellStyle name="Total 42 7" xfId="5830" xr:uid="{4A9483F5-F645-404D-B082-DD7EECCF9A77}"/>
    <cellStyle name="Total 43" xfId="3487" xr:uid="{F86C0E87-7A22-4799-ACC8-A1181EA36B7A}"/>
    <cellStyle name="Total 43 2" xfId="5831" xr:uid="{B037F23A-BB63-4341-8D9E-7770C8DC440B}"/>
    <cellStyle name="Total 43 3" xfId="5832" xr:uid="{63D55B7A-B698-41CB-B5D9-8108CCBB2D89}"/>
    <cellStyle name="Total 43 4" xfId="5833" xr:uid="{B03380EF-F991-46E1-A5C3-1E759C64B18B}"/>
    <cellStyle name="Total 43 5" xfId="5834" xr:uid="{985AD386-E3F8-445D-8F9F-323B1303000B}"/>
    <cellStyle name="Total 43 6" xfId="5835" xr:uid="{BA28A32B-5F91-4006-873E-7B881DDE47E9}"/>
    <cellStyle name="Total 43 7" xfId="5836" xr:uid="{31D22EBB-C8C4-4D53-9755-183FA0F6869C}"/>
    <cellStyle name="Total 44" xfId="3488" xr:uid="{7948A6FA-F99D-4F1A-800A-C1AD23D10D63}"/>
    <cellStyle name="Total 44 2" xfId="5837" xr:uid="{ECFC4ACF-64C1-4169-872F-B742B3144767}"/>
    <cellStyle name="Total 44 3" xfId="5838" xr:uid="{7FD676E0-AB6B-415C-8B44-2AE5CF4FF9B5}"/>
    <cellStyle name="Total 44 4" xfId="5839" xr:uid="{310C1C8B-4987-47B0-9D22-8095E680AA67}"/>
    <cellStyle name="Total 44 5" xfId="5840" xr:uid="{033D8FEC-B7C0-4617-9655-C60EBB5A756F}"/>
    <cellStyle name="Total 44 6" xfId="5841" xr:uid="{9DB03A13-DF9B-490D-B365-067A03D22820}"/>
    <cellStyle name="Total 44 7" xfId="5842" xr:uid="{FCC7E384-2FE5-4A6C-A5C0-21D1AB43C72B}"/>
    <cellStyle name="Total 45" xfId="3489" xr:uid="{E2CC87CF-DA16-47F6-ADEB-7CE26535A8A4}"/>
    <cellStyle name="Total 45 2" xfId="5843" xr:uid="{BD7A1098-98BA-4AE3-9AFC-69F7BCFE6F77}"/>
    <cellStyle name="Total 45 3" xfId="5844" xr:uid="{414F1329-80FC-4BE1-BF01-E39F1335E1B8}"/>
    <cellStyle name="Total 45 4" xfId="5845" xr:uid="{86182F5F-A6E4-47FB-B9EB-9FD51ACB86EF}"/>
    <cellStyle name="Total 45 5" xfId="5846" xr:uid="{01F853CB-CD71-416D-8F0E-55D3CE3C3F23}"/>
    <cellStyle name="Total 45 6" xfId="5847" xr:uid="{2701B313-03AE-413A-A6E5-92621DE5A976}"/>
    <cellStyle name="Total 45 7" xfId="5848" xr:uid="{6809F6E1-0561-4428-AC28-D5C5120DE82F}"/>
    <cellStyle name="Total 46" xfId="3490" xr:uid="{777B807E-6915-4894-8255-405343F78C68}"/>
    <cellStyle name="Total 46 2" xfId="5849" xr:uid="{0F4B08F7-64C8-4F65-AE4E-B9E9735AF1AB}"/>
    <cellStyle name="Total 46 3" xfId="5850" xr:uid="{5F3917DF-CF86-4686-8098-00DEA281EC10}"/>
    <cellStyle name="Total 46 4" xfId="5851" xr:uid="{1FCD6644-65F3-45E0-9EC2-CDF9291B07C0}"/>
    <cellStyle name="Total 46 5" xfId="5852" xr:uid="{B7D6E6F5-5428-4643-913D-14A8D118AC02}"/>
    <cellStyle name="Total 46 6" xfId="5853" xr:uid="{3FFD3AD6-1F84-459B-9200-0FCAE36106C2}"/>
    <cellStyle name="Total 46 7" xfId="5854" xr:uid="{A07F17C0-7FF3-4094-8F87-08B63F1762A4}"/>
    <cellStyle name="Total 47" xfId="3491" xr:uid="{5975EA1C-0488-4954-8E2F-810243E0237E}"/>
    <cellStyle name="Total 47 2" xfId="5855" xr:uid="{3F339D45-A300-423F-A883-4BD30C19BE25}"/>
    <cellStyle name="Total 47 3" xfId="5856" xr:uid="{8AF69A4B-5B35-4D1F-AFE8-A4C94A05DACB}"/>
    <cellStyle name="Total 47 4" xfId="5857" xr:uid="{9F7180A8-E971-499F-B1AA-FA26687D962F}"/>
    <cellStyle name="Total 47 5" xfId="5858" xr:uid="{03E6D8A5-7273-4D89-9553-B59164B536AD}"/>
    <cellStyle name="Total 47 6" xfId="5859" xr:uid="{2F9CA255-4712-4108-B4B2-EB8549ED98A0}"/>
    <cellStyle name="Total 47 7" xfId="5860" xr:uid="{D4F8576C-D2E0-4183-AEFE-78033A55825A}"/>
    <cellStyle name="Total 48" xfId="3492" xr:uid="{6FD7A12B-CCC3-4AC8-A5DD-27A6070F0052}"/>
    <cellStyle name="Total 48 2" xfId="5861" xr:uid="{BD511806-D65C-46C1-B2C8-108BB0E3F0C8}"/>
    <cellStyle name="Total 48 3" xfId="5862" xr:uid="{9C2C0522-5627-41A2-A6F8-B43792992236}"/>
    <cellStyle name="Total 48 4" xfId="5863" xr:uid="{01C45CD0-A5EE-4113-97F0-B52CE8D8F7F0}"/>
    <cellStyle name="Total 48 5" xfId="5864" xr:uid="{D9E7F327-E8D6-45C1-8544-8C346B9C74FE}"/>
    <cellStyle name="Total 48 6" xfId="5865" xr:uid="{BF64A3D3-D357-4184-B83E-52D5A4203F75}"/>
    <cellStyle name="Total 48 7" xfId="5866" xr:uid="{10EF29BF-6B54-425B-B352-31EDA4EAECCA}"/>
    <cellStyle name="Total 49" xfId="3493" xr:uid="{3853A905-BEA2-4F42-AD22-303DD46E5233}"/>
    <cellStyle name="Total 49 2" xfId="5867" xr:uid="{CA619C2E-EBD7-4FA9-BD45-E1DE65A57C31}"/>
    <cellStyle name="Total 49 3" xfId="5868" xr:uid="{FF0C15EA-2806-4764-A6FF-65A6C60C30AE}"/>
    <cellStyle name="Total 49 4" xfId="5869" xr:uid="{FBFE6EA5-765D-44F4-BA14-FD4B64D82484}"/>
    <cellStyle name="Total 49 5" xfId="5870" xr:uid="{548C8821-8F62-4255-94BF-08D8098C77CC}"/>
    <cellStyle name="Total 49 6" xfId="5871" xr:uid="{43015012-F136-451C-BA84-F500D0C558F7}"/>
    <cellStyle name="Total 49 7" xfId="5872" xr:uid="{3D66B0A2-C4AB-4037-AC69-DD35470D0A6C}"/>
    <cellStyle name="Total 5" xfId="467" xr:uid="{38CA3998-ED40-4FA4-A04D-381069C53A70}"/>
    <cellStyle name="Total 5 2" xfId="5873" xr:uid="{8F037EF9-30E4-4B83-B55A-674CACBAA467}"/>
    <cellStyle name="Total 5 3" xfId="5874" xr:uid="{7D1C9071-2E2B-4376-9C83-92ECDFD0BE04}"/>
    <cellStyle name="Total 5 4" xfId="5875" xr:uid="{23416E48-3957-44C1-9FEB-2C75B7023EE9}"/>
    <cellStyle name="Total 5 5" xfId="5876" xr:uid="{094BB17D-161D-427D-879D-C9710A4829D8}"/>
    <cellStyle name="Total 5 6" xfId="5877" xr:uid="{B06B317C-5DCD-41D4-BDB4-BE35B1DB918E}"/>
    <cellStyle name="Total 5 7" xfId="5878" xr:uid="{FB69F322-E30E-492D-8E5E-DBDF71251BE5}"/>
    <cellStyle name="Total 5 8" xfId="10976" xr:uid="{792BF313-3E12-4EE0-9D47-D470D3EDDF4B}"/>
    <cellStyle name="Total 50" xfId="3494" xr:uid="{B27DEAF7-ECA1-4089-B0AB-8693DAB662F5}"/>
    <cellStyle name="Total 50 2" xfId="5879" xr:uid="{2A795567-C8D7-41E4-B445-6ACB2DDD36B9}"/>
    <cellStyle name="Total 50 3" xfId="5880" xr:uid="{EF3B1A8F-F306-4C04-902D-53C3C19638AB}"/>
    <cellStyle name="Total 50 4" xfId="5881" xr:uid="{982FD117-6581-4C74-8A20-90ED83D27AE2}"/>
    <cellStyle name="Total 50 5" xfId="5882" xr:uid="{9BD0F4BC-E253-4BDB-B1D5-3FE9A86599D1}"/>
    <cellStyle name="Total 50 6" xfId="5883" xr:uid="{5B0E87B9-8478-4CD7-9B68-E775E9BEFB89}"/>
    <cellStyle name="Total 50 7" xfId="5884" xr:uid="{35D034C7-26F3-4A3D-8EAB-84F7FC31475C}"/>
    <cellStyle name="Total 51" xfId="3495" xr:uid="{52267534-E069-49E3-8BA3-9B813392B01C}"/>
    <cellStyle name="Total 51 2" xfId="5885" xr:uid="{174A0084-0FC1-418C-B2AF-845A6E54CC7E}"/>
    <cellStyle name="Total 51 3" xfId="5886" xr:uid="{A593BC20-4FC1-4B6A-895B-5F8FEF6BB3AA}"/>
    <cellStyle name="Total 51 4" xfId="5887" xr:uid="{A1D97CB5-F3F5-4521-8121-0D8B572A3AFC}"/>
    <cellStyle name="Total 51 5" xfId="5888" xr:uid="{74FB4303-0873-4986-A8B4-FDFEF609FCAA}"/>
    <cellStyle name="Total 51 6" xfId="5889" xr:uid="{0089C99F-D56A-4FB0-8800-C762EC6F110D}"/>
    <cellStyle name="Total 51 7" xfId="5890" xr:uid="{E228330A-2A65-4FBA-B13A-D4865644AF96}"/>
    <cellStyle name="Total 52" xfId="3496" xr:uid="{074551F5-6BAE-4809-8671-BE489CD17295}"/>
    <cellStyle name="Total 52 2" xfId="5891" xr:uid="{5FC32D78-FD32-45E0-8FD4-7D8AD63BEC96}"/>
    <cellStyle name="Total 52 3" xfId="5892" xr:uid="{AA995B24-CFCD-4F96-912D-8F6680419E2F}"/>
    <cellStyle name="Total 52 4" xfId="5893" xr:uid="{F5634173-6864-479C-ABFC-EDEE26001745}"/>
    <cellStyle name="Total 52 5" xfId="5894" xr:uid="{730555E2-AC2E-49FE-ACCA-4F7C02FA11C6}"/>
    <cellStyle name="Total 52 6" xfId="5895" xr:uid="{8DD0D842-2B5E-424A-8241-5AA15CA9B4C4}"/>
    <cellStyle name="Total 52 7" xfId="5896" xr:uid="{F7821337-D254-42C0-999B-086B13E5FDB0}"/>
    <cellStyle name="Total 53" xfId="3497" xr:uid="{29A6CCA3-9A35-4B83-BA32-D9A13E7F083D}"/>
    <cellStyle name="Total 53 2" xfId="5897" xr:uid="{79DE3A9C-9A38-44CE-9874-7C7C92D8A660}"/>
    <cellStyle name="Total 53 3" xfId="5898" xr:uid="{1BACB777-4489-4F5E-8769-DFED14035AD4}"/>
    <cellStyle name="Total 53 4" xfId="5899" xr:uid="{36A40342-F563-40EA-ABB9-A01A86688CF4}"/>
    <cellStyle name="Total 53 5" xfId="5900" xr:uid="{9E458763-7CD3-4825-BF5A-B6F7805F5066}"/>
    <cellStyle name="Total 53 6" xfId="5901" xr:uid="{41A5F723-4A97-45D8-B2CF-45E9A0F2E18E}"/>
    <cellStyle name="Total 53 7" xfId="5902" xr:uid="{0A634AAA-E922-4EF8-961E-7D49ECFE0065}"/>
    <cellStyle name="Total 54" xfId="3498" xr:uid="{1671C634-D509-4965-A1E2-EEB69C16BC40}"/>
    <cellStyle name="Total 54 2" xfId="5903" xr:uid="{0E2E3B8F-2874-4E51-9182-1EC76A8951E3}"/>
    <cellStyle name="Total 54 3" xfId="5904" xr:uid="{80CCE655-40A5-40AF-877A-F93C4DDDCD23}"/>
    <cellStyle name="Total 54 4" xfId="5905" xr:uid="{71EBA544-3F57-4425-8F07-2FFD7B76081F}"/>
    <cellStyle name="Total 54 5" xfId="5906" xr:uid="{ABB0577E-72B0-4A3D-97E6-03000FD05E8C}"/>
    <cellStyle name="Total 54 6" xfId="5907" xr:uid="{4E0A73B4-0F85-46B1-8505-8F132DF01F03}"/>
    <cellStyle name="Total 54 7" xfId="5908" xr:uid="{021A9D92-1BC2-45A1-8CA1-C357B9BBA3A0}"/>
    <cellStyle name="Total 55" xfId="3499" xr:uid="{8635ADDD-5C86-44DD-B313-D741829B3578}"/>
    <cellStyle name="Total 55 2" xfId="5909" xr:uid="{B1F2CFD8-A558-463C-B568-3DE89B04E7E2}"/>
    <cellStyle name="Total 55 3" xfId="5910" xr:uid="{39412F24-7E72-4CF6-B254-ACA2CB977003}"/>
    <cellStyle name="Total 55 4" xfId="5911" xr:uid="{AAF7F1B5-9806-440A-86E9-ECC401BEA362}"/>
    <cellStyle name="Total 55 5" xfId="5912" xr:uid="{D835CF57-1D80-4614-9701-194D18B3E3C5}"/>
    <cellStyle name="Total 55 6" xfId="5913" xr:uid="{04026624-C85E-429A-B0D8-BE1DA63FD25C}"/>
    <cellStyle name="Total 55 7" xfId="5914" xr:uid="{23CED962-F76C-44E7-BFF6-B0CC8BEFF2F0}"/>
    <cellStyle name="Total 56" xfId="3500" xr:uid="{6D87F93B-519B-4CC4-A358-6C4F1098C516}"/>
    <cellStyle name="Total 56 2" xfId="5915" xr:uid="{59521E8B-F249-4175-9671-D1CCE967538C}"/>
    <cellStyle name="Total 56 3" xfId="5916" xr:uid="{3AA1F8EB-D091-43FA-8B9E-1A55B0F226A2}"/>
    <cellStyle name="Total 56 4" xfId="5917" xr:uid="{E0B3A1B0-24C5-4077-AD6B-5364D7131135}"/>
    <cellStyle name="Total 56 5" xfId="5918" xr:uid="{F6CBB143-4095-407A-AF65-AC33754F753C}"/>
    <cellStyle name="Total 56 6" xfId="5919" xr:uid="{19364F3F-4685-433F-BBDB-5A38884AB7D0}"/>
    <cellStyle name="Total 56 7" xfId="5920" xr:uid="{FF03635B-C323-4206-ADE8-144273C884A8}"/>
    <cellStyle name="Total 57" xfId="3501" xr:uid="{5FA5CBA8-001D-4B59-AD37-DDE016335F30}"/>
    <cellStyle name="Total 57 2" xfId="5921" xr:uid="{9EEC2EC7-5D38-4754-AFA0-6BC01D60B953}"/>
    <cellStyle name="Total 57 3" xfId="5922" xr:uid="{D66BE2C8-81D4-4BF5-B6ED-C8DA8D77E76A}"/>
    <cellStyle name="Total 57 4" xfId="5923" xr:uid="{BE1F144C-8A6E-41AB-B829-AC5B2E4B1DCF}"/>
    <cellStyle name="Total 57 5" xfId="5924" xr:uid="{72D47202-0A12-4564-8263-C6FF232296D4}"/>
    <cellStyle name="Total 57 6" xfId="5925" xr:uid="{88EC2A8B-620F-47B1-B1E3-0D80EA128638}"/>
    <cellStyle name="Total 57 7" xfId="5926" xr:uid="{0BD7248C-20A3-4E69-8AEA-FD3682D29882}"/>
    <cellStyle name="Total 58" xfId="3502" xr:uid="{02304A07-5FD6-4513-AA85-C8A5A3AF7ABE}"/>
    <cellStyle name="Total 58 2" xfId="5927" xr:uid="{3D9BE2C1-ADF3-430E-8FB4-9026ECFEB1E3}"/>
    <cellStyle name="Total 58 3" xfId="5928" xr:uid="{43733C35-1CB9-48A4-B82D-EC5CDCD13ABD}"/>
    <cellStyle name="Total 58 4" xfId="5929" xr:uid="{C0507111-D3AB-49D9-86A4-F98879BFF155}"/>
    <cellStyle name="Total 58 5" xfId="5930" xr:uid="{171636D2-0343-4547-A4DA-FC6A40DE679F}"/>
    <cellStyle name="Total 58 6" xfId="5931" xr:uid="{4A0A2E18-DFEA-416B-B16D-02A784160A9F}"/>
    <cellStyle name="Total 58 7" xfId="5932" xr:uid="{534D6039-952E-4324-B95C-44C3C5843A6F}"/>
    <cellStyle name="Total 59" xfId="3503" xr:uid="{82033229-9B1A-42C3-B0DD-AEAA9E254941}"/>
    <cellStyle name="Total 59 2" xfId="5933" xr:uid="{AFF5FBFB-2F8E-453D-A667-ED91219CDED2}"/>
    <cellStyle name="Total 59 3" xfId="5934" xr:uid="{3806D39E-19DE-4C2F-B8D5-46E025FA079A}"/>
    <cellStyle name="Total 59 4" xfId="5935" xr:uid="{82146273-F649-4006-BADA-040E8B230847}"/>
    <cellStyle name="Total 59 5" xfId="5936" xr:uid="{DF311F7F-A863-457A-A28F-FA0C10406869}"/>
    <cellStyle name="Total 59 6" xfId="5937" xr:uid="{A497CA0C-3A16-4BE5-98FD-3D2AD52909CA}"/>
    <cellStyle name="Total 59 7" xfId="5938" xr:uid="{E8D657F3-A621-46D5-ABFC-FA4E4F827DBB}"/>
    <cellStyle name="Total 6" xfId="468" xr:uid="{8D5A1BA7-B773-4AEA-8C55-7901BAE3462D}"/>
    <cellStyle name="Total 6 2" xfId="5939" xr:uid="{F3D296A5-E547-4140-B577-614DA1D3C550}"/>
    <cellStyle name="Total 6 3" xfId="5940" xr:uid="{FF4B10FB-9280-45F6-9A57-986EA466125B}"/>
    <cellStyle name="Total 6 4" xfId="5941" xr:uid="{AE6B94DF-6AA9-4D16-8716-1821870DDF89}"/>
    <cellStyle name="Total 6 5" xfId="5942" xr:uid="{EE28378B-38E3-4924-A257-0DEB00699151}"/>
    <cellStyle name="Total 6 6" xfId="5943" xr:uid="{533F49DD-A2A5-4F52-AB4B-922AB7AF8052}"/>
    <cellStyle name="Total 6 7" xfId="5944" xr:uid="{64C5F34D-A6A2-453E-8950-933DCD6DC7CF}"/>
    <cellStyle name="Total 6 8" xfId="13585" xr:uid="{22F35DF5-A33E-4F16-B6A5-4E2D7A8CB0BB}"/>
    <cellStyle name="Total 60" xfId="3505" xr:uid="{1AF8BA6F-E017-4FF9-8957-99B1C0556365}"/>
    <cellStyle name="Total 60 2" xfId="5945" xr:uid="{036A285E-101A-4EBA-BA43-A0445DDD5F9F}"/>
    <cellStyle name="Total 60 3" xfId="5946" xr:uid="{F192E6B7-6C2B-46D3-A181-94BF3105BEAA}"/>
    <cellStyle name="Total 60 4" xfId="5947" xr:uid="{E65C2E77-C4DB-4532-A14D-DF7F2DCBFD70}"/>
    <cellStyle name="Total 60 5" xfId="5948" xr:uid="{1D099CA5-2802-4486-B7F7-E8690601A7EA}"/>
    <cellStyle name="Total 60 6" xfId="5949" xr:uid="{5B9A3B8E-01CB-49D8-B1FD-DD6B10D2BECD}"/>
    <cellStyle name="Total 60 7" xfId="5950" xr:uid="{2FA87C0F-6190-4F8D-ABF1-7EA5F32BA097}"/>
    <cellStyle name="Total 61" xfId="3506" xr:uid="{07CBC2C9-53F7-4F16-BF93-C515A9899B75}"/>
    <cellStyle name="Total 61 2" xfId="5951" xr:uid="{E12DBFC0-3625-4768-A801-FFFB37A5D701}"/>
    <cellStyle name="Total 61 3" xfId="5952" xr:uid="{7786968C-85C9-45F6-84E7-0057AD202576}"/>
    <cellStyle name="Total 61 4" xfId="5953" xr:uid="{67E85207-E9A0-43E8-94F8-7C30B7C359C0}"/>
    <cellStyle name="Total 61 5" xfId="5954" xr:uid="{2813CAD8-172E-466C-AEA9-BC79579B74B5}"/>
    <cellStyle name="Total 61 6" xfId="5955" xr:uid="{28A69A1B-A666-4776-B232-24877EB9A9BD}"/>
    <cellStyle name="Total 61 7" xfId="5956" xr:uid="{D9A69AE7-A18C-4F62-AED9-3EF1239CF560}"/>
    <cellStyle name="Total 62" xfId="3507" xr:uid="{ADC96AB8-C083-4048-AF01-6E522B3163BB}"/>
    <cellStyle name="Total 62 2" xfId="5957" xr:uid="{47F819A6-FBBA-4B27-ABC6-AD60B80E7CB1}"/>
    <cellStyle name="Total 62 3" xfId="5958" xr:uid="{58AE8F41-E492-4111-B5BE-EA4865AAEB24}"/>
    <cellStyle name="Total 62 4" xfId="5959" xr:uid="{2C2C9771-1A91-464B-A436-04F9C0363FC3}"/>
    <cellStyle name="Total 62 5" xfId="5960" xr:uid="{6479454C-76CD-458F-8C2E-383B51F5CA3F}"/>
    <cellStyle name="Total 62 6" xfId="5961" xr:uid="{B7CDF217-11EC-4230-857C-B427B4786EC3}"/>
    <cellStyle name="Total 62 7" xfId="5962" xr:uid="{6CFA50B4-DC6C-43C2-A7E6-083FF9B4224D}"/>
    <cellStyle name="Total 63" xfId="3508" xr:uid="{946C605B-C67B-401D-AF44-A96D4EF818DA}"/>
    <cellStyle name="Total 63 2" xfId="5963" xr:uid="{BA75ED28-05D8-4A8A-9B2A-2B6D64ABA2D1}"/>
    <cellStyle name="Total 63 3" xfId="5964" xr:uid="{A9FB4E00-B122-43B4-8D5C-AFE208A0B301}"/>
    <cellStyle name="Total 63 4" xfId="5965" xr:uid="{CDA1D231-DEA0-411E-985E-07FB5C71EE44}"/>
    <cellStyle name="Total 63 5" xfId="5966" xr:uid="{D10C2C47-0D7F-4D2A-8B81-AE037DFEDD65}"/>
    <cellStyle name="Total 63 6" xfId="5967" xr:uid="{784172FA-15F4-4074-9199-E4B343967AAD}"/>
    <cellStyle name="Total 63 7" xfId="5968" xr:uid="{955ACDB8-CEE7-46A9-9B48-06EA915B947E}"/>
    <cellStyle name="Total 64" xfId="3509" xr:uid="{C0352799-AB22-4047-BB68-7F24346D92FE}"/>
    <cellStyle name="Total 64 2" xfId="5969" xr:uid="{2A9A6E7E-0549-452C-83F5-F9F8884D44CF}"/>
    <cellStyle name="Total 64 3" xfId="5970" xr:uid="{555EE496-C31B-4B32-8F6C-DA340E6A8E1C}"/>
    <cellStyle name="Total 64 4" xfId="5971" xr:uid="{31E26C6F-0A48-48D0-A271-DD9650DC4C0D}"/>
    <cellStyle name="Total 64 5" xfId="5972" xr:uid="{E09C131B-3648-4D55-8E6A-1DAC1484C113}"/>
    <cellStyle name="Total 64 6" xfId="5973" xr:uid="{FC02CCCE-3D71-49CE-B979-A0C1A5315F27}"/>
    <cellStyle name="Total 64 7" xfId="5974" xr:uid="{806C117B-77FD-4677-A42D-E1D08DDDC484}"/>
    <cellStyle name="Total 65" xfId="3510" xr:uid="{6665636F-0E83-4888-B75B-0B2F21350985}"/>
    <cellStyle name="Total 65 2" xfId="5975" xr:uid="{F852B304-D9B0-4D38-A17F-396D2B6024FA}"/>
    <cellStyle name="Total 65 3" xfId="5976" xr:uid="{43E647C2-5694-4FF1-A3B1-F32246635C5E}"/>
    <cellStyle name="Total 65 4" xfId="5977" xr:uid="{AA1A63A8-955F-4BE1-8E42-BB4FC7F85E75}"/>
    <cellStyle name="Total 65 5" xfId="5978" xr:uid="{CA8436A8-2228-4633-83D8-0A80C72A5B95}"/>
    <cellStyle name="Total 65 6" xfId="5979" xr:uid="{2F12B4AE-244E-457A-B370-AA19AF5DC4F0}"/>
    <cellStyle name="Total 65 7" xfId="5980" xr:uid="{0E8B7E08-A108-4558-902C-9610C4514F37}"/>
    <cellStyle name="Total 66" xfId="3511" xr:uid="{A0AE7FF5-8225-47AA-B952-C4877C6D0D71}"/>
    <cellStyle name="Total 66 2" xfId="5981" xr:uid="{984D9EA6-9284-46DF-92D1-A5AEDBF884F2}"/>
    <cellStyle name="Total 66 3" xfId="5982" xr:uid="{AEE8D3A6-883F-4B6D-BBDE-6BD0582F89EF}"/>
    <cellStyle name="Total 66 4" xfId="5983" xr:uid="{69DB6B04-B909-48ED-BCC2-8C3C6484E361}"/>
    <cellStyle name="Total 66 5" xfId="5984" xr:uid="{32D6CDCF-2402-4F89-83EA-DB16521CA5FB}"/>
    <cellStyle name="Total 66 6" xfId="5985" xr:uid="{6F2CB7C7-84CB-4C4F-ADDF-E56D6DD2A88D}"/>
    <cellStyle name="Total 66 7" xfId="5986" xr:uid="{0AA91C54-EDF2-4435-87DC-17429F962C52}"/>
    <cellStyle name="Total 67" xfId="3512" xr:uid="{DCDD3419-7DB8-40E3-B399-FF88FCF1D522}"/>
    <cellStyle name="Total 67 2" xfId="5987" xr:uid="{266D0480-A6B3-417B-93BE-841A3333C1AD}"/>
    <cellStyle name="Total 67 3" xfId="5988" xr:uid="{B4F21C61-B315-453A-8E5B-6DF26FBF15C6}"/>
    <cellStyle name="Total 67 4" xfId="5989" xr:uid="{7A470CA7-F638-49FB-92FA-E632DD9EF2A5}"/>
    <cellStyle name="Total 67 5" xfId="5990" xr:uid="{2AD470AD-D99E-486E-B8AD-7BDFD81F9B8B}"/>
    <cellStyle name="Total 67 6" xfId="5991" xr:uid="{748175B2-0794-4E0C-8E20-4C54AE51C674}"/>
    <cellStyle name="Total 67 7" xfId="5992" xr:uid="{D6A1FAB2-9F3E-4200-A01C-48773691604E}"/>
    <cellStyle name="Total 68" xfId="546" xr:uid="{6C6BAB5C-FD7A-4F0F-A015-AC18FB4D5267}"/>
    <cellStyle name="Total 69" xfId="5993" xr:uid="{544852A9-79E1-4B6E-B41D-7233BEEC4745}"/>
    <cellStyle name="Total 7" xfId="469" xr:uid="{5298DDB6-1C54-42D5-B393-8EE0EAE3BE8C}"/>
    <cellStyle name="Total 7 2" xfId="5994" xr:uid="{95593E0E-B482-4342-A1D3-A94BD46E9025}"/>
    <cellStyle name="Total 7 3" xfId="5995" xr:uid="{B8710A30-E941-43D1-877B-15CAC197C3D4}"/>
    <cellStyle name="Total 7 4" xfId="5996" xr:uid="{9122D9D8-F3B2-4D18-BC4F-67C84D041036}"/>
    <cellStyle name="Total 7 5" xfId="5997" xr:uid="{BB41E41A-3EA7-4520-A152-13565EF47784}"/>
    <cellStyle name="Total 7 6" xfId="5998" xr:uid="{33E068E6-62AF-4408-B098-2A2CA07F8DB8}"/>
    <cellStyle name="Total 7 7" xfId="5999" xr:uid="{ADBA1A2E-BD79-45BA-89BD-54FA4C71DFCA}"/>
    <cellStyle name="Total 7 8" xfId="11326" xr:uid="{2C4E6379-C47F-4721-A130-263F5860E64B}"/>
    <cellStyle name="Total 70" xfId="6000" xr:uid="{585DBE37-6337-4D1E-A06B-5F51EF1152C1}"/>
    <cellStyle name="Total 71" xfId="6001" xr:uid="{C6CA0D95-F800-4CB9-BAD3-2C8FAF7252EB}"/>
    <cellStyle name="Total 72" xfId="6002" xr:uid="{A22A212F-255F-4C5F-A2D7-01C4AB8A94A1}"/>
    <cellStyle name="Total 73" xfId="6003" xr:uid="{12001ABD-0A37-48EF-A9E4-DED622B9C337}"/>
    <cellStyle name="Total 74" xfId="140" xr:uid="{EA6F0015-B11F-4DA3-B100-28899418B23F}"/>
    <cellStyle name="Total 8" xfId="3513" xr:uid="{7065D27E-C741-460F-9E7A-79826CD832E0}"/>
    <cellStyle name="Total 8 2" xfId="6004" xr:uid="{41B388FE-9FA0-4821-8D74-E2BEDEAB3C14}"/>
    <cellStyle name="Total 8 3" xfId="6005" xr:uid="{20AEDA85-C1E1-4011-B39C-AD72478805FB}"/>
    <cellStyle name="Total 8 4" xfId="6006" xr:uid="{D2B49908-13F0-4FAC-A25B-6B5C50BDBBBB}"/>
    <cellStyle name="Total 8 5" xfId="6007" xr:uid="{4B6BFBEB-5681-4435-B3A7-DBB9C8281F30}"/>
    <cellStyle name="Total 8 6" xfId="6008" xr:uid="{B5B09B1E-5708-4394-9E04-E802AE08DDE7}"/>
    <cellStyle name="Total 8 7" xfId="6009" xr:uid="{54F32956-03C9-4FE1-A0FB-1E5C0490A59F}"/>
    <cellStyle name="Total 9" xfId="3514" xr:uid="{B10C8CEC-84CD-4C00-BCE1-259493E31F46}"/>
    <cellStyle name="Total 9 2" xfId="6010" xr:uid="{06A87839-A7BD-43AF-94D4-4746FD223795}"/>
    <cellStyle name="Total 9 3" xfId="6011" xr:uid="{BD6A0481-5D7D-4911-BCBF-B90DE7419AD9}"/>
    <cellStyle name="Total 9 4" xfId="6012" xr:uid="{59E7A7E1-99F1-4631-96CE-1FC64044F96A}"/>
    <cellStyle name="Total 9 5" xfId="6013" xr:uid="{3A4D1B01-BF5B-468F-8CE8-F35604C2E915}"/>
    <cellStyle name="Total 9 6" xfId="6014" xr:uid="{BCF27740-72F6-4C3C-AA76-7C25456B63F0}"/>
    <cellStyle name="Total 9 7" xfId="6015" xr:uid="{6463713C-661D-4E95-A2B3-C649BEEBCB44}"/>
    <cellStyle name="Warning Text" xfId="13663" xr:uid="{79C46D5F-0F1F-4F02-91D6-ADC91F2A80D1}"/>
    <cellStyle name="千位[0]_pldt" xfId="11350" xr:uid="{493FF8DE-95F4-4725-AF84-32C536CCAFD0}"/>
    <cellStyle name="千位_pldt" xfId="12552" xr:uid="{AA93B55E-9F12-4A1B-933D-7BA4D9CF4842}"/>
    <cellStyle name="千位分隔[0]_1" xfId="14013" xr:uid="{420AFE03-48E8-4284-BC65-899104206589}"/>
    <cellStyle name="千位分隔_1" xfId="10963" xr:uid="{A10D7703-5347-44BA-8DB1-F074FA14B4F7}"/>
    <cellStyle name="常规_1" xfId="11168" xr:uid="{9243FD7C-5DEE-4D2B-B575-E6BEED9B93A1}"/>
    <cellStyle name="货币[0]_1" xfId="11169" xr:uid="{F20B3AA2-C068-4732-A811-CDDC5E9998AF}"/>
    <cellStyle name="货币_1" xfId="11717" xr:uid="{2560C8A9-6BFA-4EF7-BEEA-0DB34840597E}"/>
  </cellStyles>
  <dxfs count="7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\-mmm\-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\-mmm\-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9" formatCode="_-* #,##0_-;\-* #,##0_-;_-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9" formatCode="_-* #,##0_-;\-* #,##0_-;_-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9" formatCode="_-* #,##0_-;\-* #,##0_-;_-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9" formatCode="_-* #,##0_-;\-* #,##0_-;_-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9" formatCode="_-* #,##0_-;\-* #,##0_-;_-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theme="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9" formatCode="_-* #,##0_-;\-* #,##0_-;_-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numFmt numFmtId="167" formatCode="_-&quot;S/&quot;\ * #,##0.00_-;\-&quot;S/&quot;\ * #,##0.00_-;_-&quot;S/&quot;\ * &quot;-&quot;??_-;_-@_-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9" formatCode="_-* #,##0_-;\-* #,##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9" formatCode="_-* #,##0_-;\-* #,##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9" formatCode="_-* #,##0_-;\-* #,##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9" formatCode="_-* #,##0_-;\-* #,##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69" formatCode="_-* #,##0_-;\-* #,##0_-;_-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69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 metrics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EVM!$F$1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EVM!$E$2:$E$6</c:f>
              <c:strCache>
                <c:ptCount val="5"/>
                <c:pt idx="0">
                  <c:v>may-26</c:v>
                </c:pt>
                <c:pt idx="1">
                  <c:v>jun-26</c:v>
                </c:pt>
                <c:pt idx="2">
                  <c:v>jul-26</c:v>
                </c:pt>
                <c:pt idx="3">
                  <c:v>aug-26</c:v>
                </c:pt>
                <c:pt idx="4">
                  <c:v>sep-26</c:v>
                </c:pt>
              </c:strCache>
            </c:strRef>
          </c:cat>
          <c:val>
            <c:numRef>
              <c:f>EVM!$F$2:$F$6</c:f>
              <c:numCache>
                <c:formatCode>General</c:formatCode>
                <c:ptCount val="5"/>
                <c:pt idx="0">
                  <c:v>118000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4-477C-BFFF-5CF65D5CAF38}"/>
            </c:ext>
          </c:extLst>
        </c:ser>
        <c:ser>
          <c:idx val="1"/>
          <c:order val="1"/>
          <c:tx>
            <c:strRef>
              <c:f>EVM!$G$1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EVM!$E$2:$E$6</c:f>
              <c:strCache>
                <c:ptCount val="5"/>
                <c:pt idx="0">
                  <c:v>may-26</c:v>
                </c:pt>
                <c:pt idx="1">
                  <c:v>jun-26</c:v>
                </c:pt>
                <c:pt idx="2">
                  <c:v>jul-26</c:v>
                </c:pt>
                <c:pt idx="3">
                  <c:v>aug-26</c:v>
                </c:pt>
                <c:pt idx="4">
                  <c:v>sep-26</c:v>
                </c:pt>
              </c:strCache>
            </c:strRef>
          </c:cat>
          <c:val>
            <c:numRef>
              <c:f>EVM!$G$2:$G$6</c:f>
              <c:numCache>
                <c:formatCode>General</c:formatCode>
                <c:ptCount val="5"/>
                <c:pt idx="0">
                  <c:v>127440.00000000001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54-477C-BFFF-5CF65D5CAF38}"/>
            </c:ext>
          </c:extLst>
        </c:ser>
        <c:ser>
          <c:idx val="2"/>
          <c:order val="2"/>
          <c:tx>
            <c:strRef>
              <c:f>EVM!$H$1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EVM!$E$2:$E$6</c:f>
              <c:strCache>
                <c:ptCount val="5"/>
                <c:pt idx="0">
                  <c:v>may-26</c:v>
                </c:pt>
                <c:pt idx="1">
                  <c:v>jun-26</c:v>
                </c:pt>
                <c:pt idx="2">
                  <c:v>jul-26</c:v>
                </c:pt>
                <c:pt idx="3">
                  <c:v>aug-26</c:v>
                </c:pt>
                <c:pt idx="4">
                  <c:v>sep-26</c:v>
                </c:pt>
              </c:strCache>
            </c:strRef>
          </c:cat>
          <c:val>
            <c:numRef>
              <c:f>EVM!$H$2:$H$6</c:f>
              <c:numCache>
                <c:formatCode>General</c:formatCode>
                <c:ptCount val="5"/>
                <c:pt idx="0">
                  <c:v>118462</c:v>
                </c:pt>
                <c:pt idx="1">
                  <c:v>133907</c:v>
                </c:pt>
                <c:pt idx="2">
                  <c:v>214898</c:v>
                </c:pt>
                <c:pt idx="3">
                  <c:v>447150</c:v>
                </c:pt>
                <c:pt idx="4">
                  <c:v>211683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54-477C-BFFF-5CF65D5CA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7390344"/>
        <c:axId val="580984840"/>
      </c:barChart>
      <c:lineChart>
        <c:grouping val="standard"/>
        <c:varyColors val="0"/>
        <c:ser>
          <c:idx val="3"/>
          <c:order val="3"/>
          <c:tx>
            <c:strRef>
              <c:f>EVM!$I$1</c:f>
              <c:strCache>
                <c:ptCount val="1"/>
                <c:pt idx="0">
                  <c:v>PV cum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EVM!$E$2:$E$6</c:f>
              <c:strCache>
                <c:ptCount val="5"/>
                <c:pt idx="0">
                  <c:v>may-26</c:v>
                </c:pt>
                <c:pt idx="1">
                  <c:v>jun-26</c:v>
                </c:pt>
                <c:pt idx="2">
                  <c:v>jul-26</c:v>
                </c:pt>
                <c:pt idx="3">
                  <c:v>aug-26</c:v>
                </c:pt>
                <c:pt idx="4">
                  <c:v>sep-26</c:v>
                </c:pt>
              </c:strCache>
            </c:strRef>
          </c:cat>
          <c:val>
            <c:numRef>
              <c:f>EVM!$I$2:$I$6</c:f>
              <c:numCache>
                <c:formatCode>General</c:formatCode>
                <c:ptCount val="5"/>
                <c:pt idx="0">
                  <c:v>118462</c:v>
                </c:pt>
                <c:pt idx="1">
                  <c:v>252369</c:v>
                </c:pt>
                <c:pt idx="2">
                  <c:v>467267</c:v>
                </c:pt>
                <c:pt idx="3">
                  <c:v>914417</c:v>
                </c:pt>
                <c:pt idx="4">
                  <c:v>1126100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7-4968-BE99-68ACAE8A7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034591"/>
        <c:axId val="394041791"/>
      </c:lineChart>
      <c:catAx>
        <c:axId val="99739034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984840"/>
        <c:crosses val="autoZero"/>
        <c:auto val="1"/>
        <c:lblAlgn val="ctr"/>
        <c:lblOffset val="100"/>
        <c:noMultiLvlLbl val="1"/>
      </c:catAx>
      <c:valAx>
        <c:axId val="58098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390344"/>
        <c:crosses val="autoZero"/>
        <c:crossBetween val="between"/>
      </c:valAx>
      <c:valAx>
        <c:axId val="394041791"/>
        <c:scaling>
          <c:orientation val="minMax"/>
        </c:scaling>
        <c:delete val="0"/>
        <c:axPos val="r"/>
        <c:numFmt formatCode="&quot;$&quot;##,#0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034591"/>
        <c:crosses val="max"/>
        <c:crossBetween val="between"/>
      </c:valAx>
      <c:catAx>
        <c:axId val="394034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4041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14</xdr:row>
      <xdr:rowOff>177800</xdr:rowOff>
    </xdr:from>
    <xdr:to>
      <xdr:col>19</xdr:col>
      <xdr:colOff>266700</xdr:colOff>
      <xdr:row>26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6EE3FF-9AB1-5557-E36C-91A9CA6AB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4742.916785300928" createdVersion="8" refreshedVersion="8" minRefreshableVersion="3" recordCount="18" xr:uid="{236AAE3E-F3D0-48CE-B32C-4EB8819720BA}">
  <cacheSource type="worksheet">
    <worksheetSource ref="B4:F22" sheet="Budget"/>
  </cacheSource>
  <cacheFields count="6">
    <cacheField name="Activity" numFmtId="0">
      <sharedItems/>
    </cacheField>
    <cacheField name="Cantidad" numFmtId="0">
      <sharedItems containsString="0" containsBlank="1" containsNumber="1" containsInteger="1" minValue="1" maxValue="800"/>
    </cacheField>
    <cacheField name="Price" numFmtId="3">
      <sharedItems containsString="0" containsBlank="1" containsNumber="1" containsInteger="1" minValue="4" maxValue="800"/>
    </cacheField>
    <cacheField name="Cost" numFmtId="3">
      <sharedItems containsString="0" containsBlank="1" containsNumber="1" containsInteger="1" minValue="480" maxValue="28000"/>
    </cacheField>
    <cacheField name="Code" numFmtId="0">
      <sharedItems containsBlank="1" count="5">
        <m/>
        <s v="C-100"/>
        <s v="C-200"/>
        <s v="C-300"/>
        <s v="C-400"/>
      </sharedItems>
    </cacheField>
    <cacheField name="Cost account" numFmtId="0">
      <sharedItems containsBlank="1" count="5">
        <m/>
        <s v="Cost account 1"/>
        <s v="Cost account 2"/>
        <s v="Cost account 3"/>
        <s v="Cost account 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4742.924810648146" createdVersion="8" refreshedVersion="8" minRefreshableVersion="3" recordCount="19" xr:uid="{152ADA0E-A8FB-4894-9C6D-CF90ED39C1E6}">
  <cacheSource type="worksheet">
    <worksheetSource ref="G4:N23" sheet="Budget"/>
  </cacheSource>
  <cacheFields count="8">
    <cacheField name="Code" numFmtId="0">
      <sharedItems containsBlank="1" count="5">
        <m/>
        <s v="C-100"/>
        <s v="C-200"/>
        <s v="C-300"/>
        <s v="C-400"/>
      </sharedItems>
    </cacheField>
    <cacheField name="Cost account" numFmtId="0">
      <sharedItems containsBlank="1"/>
    </cacheField>
    <cacheField name="Labour" numFmtId="0">
      <sharedItems containsString="0" containsBlank="1" containsNumber="1" minValue="0" maxValue="27"/>
    </cacheField>
    <cacheField name="Mat" numFmtId="0">
      <sharedItems containsString="0" containsBlank="1" containsNumber="1" minValue="1.5" maxValue="800"/>
    </cacheField>
    <cacheField name="Eq." numFmtId="0">
      <sharedItems containsString="0" containsBlank="1" containsNumber="1" minValue="0" maxValue="26"/>
    </cacheField>
    <cacheField name="Labour2" numFmtId="0">
      <sharedItems containsString="0" containsBlank="1" containsNumber="1" containsInteger="1" minValue="0" maxValue="9600" count="11">
        <m/>
        <n v="0"/>
        <n v="132"/>
        <n v="360"/>
        <n v="840"/>
        <n v="9600"/>
        <n v="2025"/>
        <n v="24"/>
        <n v="6000"/>
        <n v="1500"/>
        <n v="1650"/>
      </sharedItems>
    </cacheField>
    <cacheField name="Mat2" numFmtId="0">
      <sharedItems containsString="0" containsBlank="1" containsNumber="1" containsInteger="1" minValue="30" maxValue="11200" count="12">
        <m/>
        <n v="800"/>
        <n v="500"/>
        <n v="240"/>
        <n v="450"/>
        <n v="1750"/>
        <n v="11200"/>
        <n v="1875"/>
        <n v="30"/>
        <n v="10000"/>
        <n v="1125"/>
        <n v="1540"/>
      </sharedItems>
    </cacheField>
    <cacheField name="Eq.2" numFmtId="0">
      <sharedItems containsString="0" containsBlank="1" containsNumber="1" minValue="0" maxValue="7200" count="11">
        <m/>
        <n v="0"/>
        <n v="107.99999999999999"/>
        <n v="389.99999999999994"/>
        <n v="909.99999999999989"/>
        <n v="7200"/>
        <n v="1350"/>
        <n v="446"/>
        <n v="6500"/>
        <n v="1125"/>
        <n v="28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4797.734844791667" createdVersion="8" refreshedVersion="8" minRefreshableVersion="3" recordCount="18" xr:uid="{81D21458-4132-492F-A418-F5CAFCB391D2}">
  <cacheSource type="worksheet">
    <worksheetSource ref="T4:W22" sheet="Budget"/>
  </cacheSource>
  <cacheFields count="4">
    <cacheField name="Code" numFmtId="0">
      <sharedItems containsBlank="1" count="5">
        <m/>
        <s v="C-100"/>
        <s v="C-200"/>
        <s v="C-300"/>
        <s v="C-400"/>
      </sharedItems>
    </cacheField>
    <cacheField name="Labour" numFmtId="0">
      <sharedItems containsString="0" containsBlank="1" containsNumber="1" minValue="0" maxValue="2400" count="11">
        <m/>
        <n v="0"/>
        <n v="66"/>
        <n v="180"/>
        <n v="210"/>
        <n v="2400"/>
        <n v="506.25"/>
        <n v="12"/>
        <n v="1500"/>
        <n v="375"/>
        <n v="412.5"/>
      </sharedItems>
    </cacheField>
    <cacheField name="Mat" numFmtId="0">
      <sharedItems containsString="0" containsBlank="1" containsNumber="1" minValue="15" maxValue="2800" count="12">
        <m/>
        <n v="800"/>
        <n v="500"/>
        <n v="120"/>
        <n v="225"/>
        <n v="437.5"/>
        <n v="2800"/>
        <n v="468.75"/>
        <n v="15"/>
        <n v="2500"/>
        <n v="281.25"/>
        <n v="385"/>
      </sharedItems>
    </cacheField>
    <cacheField name="Eq." numFmtId="0">
      <sharedItems containsString="0" containsBlank="1" containsNumber="1" minValue="0" maxValue="1800" count="11">
        <m/>
        <n v="0"/>
        <n v="53.999999999999993"/>
        <n v="194.99999999999997"/>
        <n v="227.49999999999997"/>
        <n v="1800"/>
        <n v="337.5"/>
        <n v="223"/>
        <n v="1625"/>
        <n v="281.25"/>
        <n v="7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WBS 1"/>
    <m/>
    <m/>
    <m/>
    <x v="0"/>
    <x v="0"/>
  </r>
  <r>
    <s v="Activity 1"/>
    <n v="1"/>
    <n v="800"/>
    <n v="800"/>
    <x v="1"/>
    <x v="1"/>
  </r>
  <r>
    <s v="Activity 2"/>
    <n v="1"/>
    <n v="500"/>
    <n v="500"/>
    <x v="1"/>
    <x v="1"/>
  </r>
  <r>
    <s v="Activity 3"/>
    <n v="1"/>
    <n v="500"/>
    <n v="500"/>
    <x v="1"/>
    <x v="1"/>
  </r>
  <r>
    <s v="WBS 2"/>
    <m/>
    <m/>
    <m/>
    <x v="0"/>
    <x v="0"/>
  </r>
  <r>
    <s v="Activity 4"/>
    <n v="120"/>
    <n v="4"/>
    <n v="480"/>
    <x v="1"/>
    <x v="1"/>
  </r>
  <r>
    <s v="Activity 5"/>
    <n v="300"/>
    <n v="4"/>
    <n v="1200"/>
    <x v="1"/>
    <x v="1"/>
  </r>
  <r>
    <s v="WBS 3"/>
    <m/>
    <m/>
    <m/>
    <x v="0"/>
    <x v="0"/>
  </r>
  <r>
    <s v="Activity 6"/>
    <n v="700"/>
    <n v="5"/>
    <n v="3500"/>
    <x v="2"/>
    <x v="2"/>
  </r>
  <r>
    <s v="Activity 7"/>
    <n v="800"/>
    <n v="35"/>
    <n v="28000"/>
    <x v="2"/>
    <x v="2"/>
  </r>
  <r>
    <s v="Activity 8"/>
    <n v="75"/>
    <n v="70"/>
    <n v="5250"/>
    <x v="2"/>
    <x v="2"/>
  </r>
  <r>
    <s v="WBS 4"/>
    <m/>
    <m/>
    <m/>
    <x v="0"/>
    <x v="0"/>
  </r>
  <r>
    <s v="WBS 4.1"/>
    <m/>
    <m/>
    <m/>
    <x v="0"/>
    <x v="0"/>
  </r>
  <r>
    <s v="Activity 9"/>
    <n v="20"/>
    <n v="25"/>
    <n v="500"/>
    <x v="3"/>
    <x v="3"/>
  </r>
  <r>
    <s v="WBS 4.1"/>
    <m/>
    <m/>
    <m/>
    <x v="0"/>
    <x v="0"/>
  </r>
  <r>
    <s v="Activity 10"/>
    <n v="500"/>
    <n v="45"/>
    <n v="22500"/>
    <x v="4"/>
    <x v="4"/>
  </r>
  <r>
    <s v="Activity 11"/>
    <n v="75"/>
    <n v="50"/>
    <n v="3750"/>
    <x v="4"/>
    <x v="4"/>
  </r>
  <r>
    <s v="Activity 12"/>
    <n v="110"/>
    <n v="55"/>
    <n v="6050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m/>
    <m/>
    <m/>
    <m/>
    <x v="0"/>
    <x v="0"/>
    <x v="0"/>
  </r>
  <r>
    <x v="1"/>
    <s v="Cost account 1"/>
    <n v="0"/>
    <n v="800"/>
    <n v="0"/>
    <x v="1"/>
    <x v="1"/>
    <x v="1"/>
  </r>
  <r>
    <x v="1"/>
    <s v="Cost account 1"/>
    <n v="0"/>
    <n v="500"/>
    <n v="0"/>
    <x v="1"/>
    <x v="2"/>
    <x v="1"/>
  </r>
  <r>
    <x v="1"/>
    <s v="Cost account 1"/>
    <n v="0"/>
    <n v="500"/>
    <n v="0"/>
    <x v="1"/>
    <x v="2"/>
    <x v="1"/>
  </r>
  <r>
    <x v="0"/>
    <m/>
    <m/>
    <m/>
    <m/>
    <x v="0"/>
    <x v="0"/>
    <x v="0"/>
  </r>
  <r>
    <x v="1"/>
    <s v="Cost account 1"/>
    <n v="1.1000000000000001"/>
    <n v="2"/>
    <n v="0.89999999999999991"/>
    <x v="2"/>
    <x v="3"/>
    <x v="2"/>
  </r>
  <r>
    <x v="1"/>
    <s v="Cost account 1"/>
    <n v="1.2"/>
    <n v="1.5"/>
    <n v="1.2999999999999998"/>
    <x v="3"/>
    <x v="4"/>
    <x v="3"/>
  </r>
  <r>
    <x v="0"/>
    <m/>
    <m/>
    <m/>
    <m/>
    <x v="0"/>
    <x v="0"/>
    <x v="0"/>
  </r>
  <r>
    <x v="2"/>
    <s v="Cost account 2"/>
    <n v="1.2"/>
    <n v="2.5"/>
    <n v="1.2999999999999998"/>
    <x v="4"/>
    <x v="5"/>
    <x v="4"/>
  </r>
  <r>
    <x v="2"/>
    <s v="Cost account 2"/>
    <n v="12"/>
    <n v="14"/>
    <n v="9"/>
    <x v="5"/>
    <x v="6"/>
    <x v="5"/>
  </r>
  <r>
    <x v="2"/>
    <s v="Cost account 2"/>
    <n v="27"/>
    <n v="25"/>
    <n v="18"/>
    <x v="6"/>
    <x v="7"/>
    <x v="6"/>
  </r>
  <r>
    <x v="0"/>
    <m/>
    <m/>
    <m/>
    <m/>
    <x v="0"/>
    <x v="0"/>
    <x v="0"/>
  </r>
  <r>
    <x v="0"/>
    <m/>
    <m/>
    <m/>
    <m/>
    <x v="0"/>
    <x v="0"/>
    <x v="0"/>
  </r>
  <r>
    <x v="3"/>
    <s v="Cost account 3"/>
    <n v="1.2"/>
    <n v="1.5"/>
    <n v="22.3"/>
    <x v="7"/>
    <x v="8"/>
    <x v="7"/>
  </r>
  <r>
    <x v="0"/>
    <m/>
    <m/>
    <m/>
    <m/>
    <x v="0"/>
    <x v="0"/>
    <x v="0"/>
  </r>
  <r>
    <x v="4"/>
    <s v="Cost account 4"/>
    <n v="12"/>
    <n v="20"/>
    <n v="13"/>
    <x v="8"/>
    <x v="9"/>
    <x v="8"/>
  </r>
  <r>
    <x v="4"/>
    <s v="Cost account 4"/>
    <n v="20"/>
    <n v="15"/>
    <n v="15"/>
    <x v="9"/>
    <x v="10"/>
    <x v="9"/>
  </r>
  <r>
    <x v="3"/>
    <s v="Cost account 3"/>
    <n v="15"/>
    <n v="14"/>
    <n v="26"/>
    <x v="10"/>
    <x v="11"/>
    <x v="10"/>
  </r>
  <r>
    <x v="0"/>
    <m/>
    <m/>
    <m/>
    <m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x v="0"/>
  </r>
  <r>
    <x v="1"/>
    <x v="1"/>
    <x v="1"/>
    <x v="1"/>
  </r>
  <r>
    <x v="1"/>
    <x v="1"/>
    <x v="2"/>
    <x v="1"/>
  </r>
  <r>
    <x v="1"/>
    <x v="1"/>
    <x v="2"/>
    <x v="1"/>
  </r>
  <r>
    <x v="0"/>
    <x v="0"/>
    <x v="0"/>
    <x v="0"/>
  </r>
  <r>
    <x v="1"/>
    <x v="2"/>
    <x v="3"/>
    <x v="2"/>
  </r>
  <r>
    <x v="1"/>
    <x v="3"/>
    <x v="4"/>
    <x v="3"/>
  </r>
  <r>
    <x v="0"/>
    <x v="0"/>
    <x v="0"/>
    <x v="0"/>
  </r>
  <r>
    <x v="2"/>
    <x v="4"/>
    <x v="5"/>
    <x v="4"/>
  </r>
  <r>
    <x v="2"/>
    <x v="5"/>
    <x v="6"/>
    <x v="5"/>
  </r>
  <r>
    <x v="2"/>
    <x v="6"/>
    <x v="7"/>
    <x v="6"/>
  </r>
  <r>
    <x v="0"/>
    <x v="0"/>
    <x v="0"/>
    <x v="0"/>
  </r>
  <r>
    <x v="0"/>
    <x v="0"/>
    <x v="0"/>
    <x v="0"/>
  </r>
  <r>
    <x v="3"/>
    <x v="7"/>
    <x v="8"/>
    <x v="7"/>
  </r>
  <r>
    <x v="0"/>
    <x v="0"/>
    <x v="0"/>
    <x v="0"/>
  </r>
  <r>
    <x v="4"/>
    <x v="8"/>
    <x v="9"/>
    <x v="8"/>
  </r>
  <r>
    <x v="4"/>
    <x v="9"/>
    <x v="10"/>
    <x v="9"/>
  </r>
  <r>
    <x v="3"/>
    <x v="10"/>
    <x v="1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29141-33D2-404A-9C93-74DC0FE908CC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de CA">
  <location ref="C23:F28" firstHeaderRow="0" firstDataRow="1" firstDataCol="1"/>
  <pivotFields count="4">
    <pivotField axis="axisRow" showAll="0">
      <items count="6">
        <item x="1"/>
        <item x="2"/>
        <item x="3"/>
        <item x="4"/>
        <item h="1" x="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Labour" fld="1" baseField="0" baseItem="0"/>
    <dataField name="Suma de Mat" fld="2" baseField="0" baseItem="0"/>
    <dataField name="Suma de Eq." fld="3" baseField="0" baseItem="0"/>
  </dataFields>
  <formats count="21">
    <format dxfId="48">
      <pivotArea outline="0" collapsedLevelsAreSubtotals="1" fieldPosition="0"/>
    </format>
    <format dxfId="47">
      <pivotArea field="0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BE984-40C3-4B5B-AD0C-DCD2ACB7A0D6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de CA">
  <location ref="C3:F8" firstHeaderRow="0" firstDataRow="1" firstDataCol="1"/>
  <pivotFields count="8">
    <pivotField axis="axisRow" showAll="0">
      <items count="6">
        <item x="1"/>
        <item x="2"/>
        <item x="3"/>
        <item x="4"/>
        <item h="1" x="0"/>
        <item t="default"/>
      </items>
    </pivotField>
    <pivotField showAll="0"/>
    <pivotField showAll="0"/>
    <pivotField showAll="0"/>
    <pivotField showAll="0"/>
    <pivotField dataField="1" showAll="0">
      <items count="12">
        <item x="1"/>
        <item x="7"/>
        <item x="2"/>
        <item x="3"/>
        <item x="4"/>
        <item x="9"/>
        <item x="10"/>
        <item x="6"/>
        <item x="8"/>
        <item x="5"/>
        <item x="0"/>
        <item t="default"/>
      </items>
    </pivotField>
    <pivotField dataField="1" showAll="0">
      <items count="13">
        <item x="8"/>
        <item x="3"/>
        <item x="4"/>
        <item x="2"/>
        <item x="1"/>
        <item x="10"/>
        <item x="11"/>
        <item x="5"/>
        <item x="7"/>
        <item x="9"/>
        <item x="6"/>
        <item x="0"/>
        <item t="default"/>
      </items>
    </pivotField>
    <pivotField dataField="1" showAll="0">
      <items count="12">
        <item x="1"/>
        <item x="2"/>
        <item x="3"/>
        <item x="7"/>
        <item x="4"/>
        <item x="9"/>
        <item x="6"/>
        <item x="10"/>
        <item x="8"/>
        <item x="5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ABOUR C" fld="5" baseField="0" baseItem="0"/>
    <dataField name="MATERIAL C" fld="6" baseField="0" baseItem="0"/>
    <dataField name="EQUIPMENT C" fld="7" baseField="0" baseItem="0"/>
  </dataFields>
  <formats count="21">
    <format dxfId="69">
      <pivotArea outline="0" collapsedLevelsAreSubtotals="1" fieldPosition="0"/>
    </format>
    <format dxfId="68">
      <pivotArea field="0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0" type="button" dataOnly="0" labelOnly="1" outline="0" axis="axisRow" fieldPosition="0"/>
    </format>
    <format dxfId="57">
      <pivotArea dataOnly="0" labelOnly="1" fieldPosition="0">
        <references count="1">
          <reference field="0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486F-C68E-4518-ADF9-91270FF3F0D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9" firstHeaderRow="1" firstDataRow="1" firstDataCol="1"/>
  <pivotFields count="6"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1"/>
        <item x="2"/>
        <item x="3"/>
        <item x="4"/>
        <item x="0"/>
        <item t="default"/>
      </items>
    </pivotField>
    <pivotField compact="0" outline="0" showAll="0">
      <items count="6">
        <item x="1"/>
        <item x="2"/>
        <item x="3"/>
        <item x="4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Cos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EFCB8-429F-4825-BC11-80F0645EDDE2}" name="Tabla1" displayName="Tabla1" ref="C42:G46" totalsRowShown="0" headerRowDxfId="27" dataDxfId="26">
  <tableColumns count="5">
    <tableColumn id="1" xr3:uid="{C2D3C60A-7352-4B53-BE38-05B752BC4615}" name="Code CA" dataDxfId="25"/>
    <tableColumn id="2" xr3:uid="{1B1B94E0-A616-43E3-B4E0-DCD3A1FC16A7}" name="Labour" dataDxfId="24"/>
    <tableColumn id="3" xr3:uid="{76669738-CBE1-4DE2-8285-43F70F1FC50A}" name="Material" dataDxfId="23"/>
    <tableColumn id="4" xr3:uid="{BE6E1243-75FF-44E8-9641-F232CC3834C6}" name="Equipment" dataDxfId="22"/>
    <tableColumn id="5" xr3:uid="{18E5E200-993A-445A-BE39-8CF77C2C67B6}" name="Subtotal 1" dataDxfId="21">
      <calculatedColumnFormula>SUM(Tabla1[[#This Row],[Labour]:[Equipment]])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E2F56C-6DE7-47ED-9C6D-546D761F8DC0}" name="Tabla2" displayName="Tabla2" ref="I42:M46" totalsRowShown="0" headerRowDxfId="20" dataDxfId="19" tableBorderDxfId="18">
  <tableColumns count="5">
    <tableColumn id="1" xr3:uid="{1DC93AD6-B606-49FA-98D5-A90A8FFAD662}" name="Code CA" dataDxfId="17"/>
    <tableColumn id="2" xr3:uid="{7D5C40C4-A5AF-4E89-BD7A-11F468E7ADBD}" name="Labour" dataDxfId="16"/>
    <tableColumn id="3" xr3:uid="{F71A28F7-3337-4F4F-AD87-2DD76A0B674B}" name="Material" dataDxfId="15"/>
    <tableColumn id="4" xr3:uid="{FC47A3E8-F36E-4416-A369-646ED03F87AF}" name="Equipment" dataDxfId="14"/>
    <tableColumn id="5" xr3:uid="{881DD17D-6551-4AC6-9DCA-599BC2E719C1}" name="Subtotal 2" dataDxfId="1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671F64-052B-4546-81A2-F69242AB345D}" name="Table4" displayName="Table4" ref="A1:H20" totalsRowShown="0" headerRowDxfId="12" dataDxfId="11">
  <tableColumns count="8">
    <tableColumn id="1" xr3:uid="{24E5833D-C9DD-4305-8812-AB16B9A6DFEE}" name="WBS" dataDxfId="10"/>
    <tableColumn id="2" xr3:uid="{0A693D43-DC2C-4A13-A2BC-F741555E7A97}" name="Activity ID" dataDxfId="9"/>
    <tableColumn id="3" xr3:uid="{E38499A7-4EEC-4AE6-BE52-D5371C87E2C6}" name="Activity Name" dataDxfId="8"/>
    <tableColumn id="4" xr3:uid="{F9A4A0C7-5496-4866-8F09-F775709D7C1E}" name="Planned Start" dataDxfId="7"/>
    <tableColumn id="5" xr3:uid="{63CB7E05-0302-4908-922F-B86AD734EBF7}" name="Planned Finish" dataDxfId="6"/>
    <tableColumn id="6" xr3:uid="{6404976D-9A6E-4DC1-BF12-FFEF8958A106}" name="COA" dataDxfId="5"/>
    <tableColumn id="7" xr3:uid="{832B0EEE-EC9B-4ACA-B347-17BC470A057A}" name="Original Duration" dataDxfId="4"/>
    <tableColumn id="8" xr3:uid="{CD0287A5-F181-4E5D-B784-AB5706992197}" name="Budget" dataDxfId="3" dataCellStyle="Comma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E20B79-A7A8-4178-A579-3D9C8AB5AF86}" name="Table3" displayName="Table3" ref="D16:L20" totalsRowShown="0">
  <autoFilter ref="D16:L20" xr:uid="{C8E20B79-A7A8-4178-A579-3D9C8AB5AF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9FBBA69-BDE0-403F-ABDC-A3D034657C41}" name="CA" dataDxfId="2"/>
    <tableColumn id="2" xr3:uid="{EE139CE8-A167-44E7-8392-95B33A248407}" name="CA2" dataDxfId="1"/>
    <tableColumn id="3" xr3:uid="{6F0456A9-7A4A-47F9-AD25-420CC924C846}" name="EV"/>
    <tableColumn id="4" xr3:uid="{98563153-BF17-45DF-8CE0-DDDD13A78337}" name="AC"/>
    <tableColumn id="5" xr3:uid="{C094CEE5-4D9A-4CC6-8508-CC0A1A8DBD18}" name="PV"/>
    <tableColumn id="6" xr3:uid="{B0A192DA-CE4C-458D-9891-EDCD15A977E5}" name="CV"/>
    <tableColumn id="7" xr3:uid="{42D50BB7-22C9-448E-A446-A7CF8552E20F}" name="SV"/>
    <tableColumn id="8" xr3:uid="{518D94FC-27B8-4D31-A4E5-9B8403B6E4E1}" name="CPI"/>
    <tableColumn id="9" xr3:uid="{F2E78C9D-D3D7-40CA-9847-906EBCC5CEBF}" name="SPI"/>
  </tableColumns>
  <tableStyleInfo name="TableStyleMedium1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ED1A-0347-4E64-BCD6-921A0AFDF73F}">
  <dimension ref="A1:S38"/>
  <sheetViews>
    <sheetView topLeftCell="A22" zoomScale="85" zoomScaleNormal="85" workbookViewId="0">
      <selection activeCell="T38" sqref="T38"/>
    </sheetView>
  </sheetViews>
  <sheetFormatPr defaultRowHeight="14.5"/>
  <cols>
    <col min="1" max="1" width="23" customWidth="1"/>
    <col min="2" max="3" width="13.54296875" bestFit="1" customWidth="1"/>
    <col min="4" max="4" width="10.81640625" bestFit="1" customWidth="1"/>
    <col min="5" max="5" width="14.453125" hidden="1" customWidth="1"/>
    <col min="6" max="9" width="13" bestFit="1" customWidth="1"/>
    <col min="10" max="10" width="16.453125" bestFit="1" customWidth="1"/>
    <col min="11" max="13" width="13.453125" bestFit="1" customWidth="1"/>
    <col min="19" max="19" width="13.26953125" bestFit="1" customWidth="1"/>
  </cols>
  <sheetData>
    <row r="1" spans="1:19">
      <c r="E1" s="96">
        <f>+E4*$K$1</f>
        <v>123095.70409022291</v>
      </c>
      <c r="F1" s="96">
        <f t="shared" ref="F1:H1" si="0">+F4*$K$1</f>
        <v>139144.84347393661</v>
      </c>
      <c r="G1" s="96">
        <f t="shared" si="0"/>
        <v>223303.84948406005</v>
      </c>
      <c r="H1" s="96">
        <f t="shared" si="0"/>
        <v>464640.50990142976</v>
      </c>
      <c r="I1" s="96">
        <f>+J1-SUM(E1:H1)</f>
        <v>219963.09305035067</v>
      </c>
      <c r="J1" s="94">
        <v>1170148</v>
      </c>
      <c r="K1" s="91">
        <f>+J1/J4</f>
        <v>1.0391155314803304</v>
      </c>
    </row>
    <row r="2" spans="1:19" ht="29">
      <c r="A2" t="s">
        <v>0</v>
      </c>
      <c r="B2" s="64" t="s">
        <v>1</v>
      </c>
      <c r="C2" s="64" t="s">
        <v>2</v>
      </c>
      <c r="D2" s="64" t="s">
        <v>3</v>
      </c>
      <c r="E2" s="65" t="s">
        <v>4</v>
      </c>
      <c r="F2" s="65" t="s">
        <v>5</v>
      </c>
      <c r="G2" s="65" t="s">
        <v>6</v>
      </c>
      <c r="H2" s="65" t="s">
        <v>7</v>
      </c>
      <c r="I2" s="65" t="s">
        <v>8</v>
      </c>
      <c r="J2" s="68" t="s">
        <v>9</v>
      </c>
      <c r="K2" s="63" t="s">
        <v>10</v>
      </c>
      <c r="L2" s="63" t="s">
        <v>11</v>
      </c>
      <c r="M2" s="63" t="s">
        <v>12</v>
      </c>
    </row>
    <row r="3" spans="1:19">
      <c r="A3" s="67" t="s">
        <v>13</v>
      </c>
      <c r="B3" s="69"/>
      <c r="C3" s="69"/>
      <c r="D3" s="69"/>
      <c r="E3" s="69">
        <f>SUM(E4:E9)</f>
        <v>132677.44</v>
      </c>
      <c r="F3" s="69">
        <f>SUM(F4:F9)</f>
        <v>149975.84</v>
      </c>
      <c r="G3" s="69">
        <f t="shared" ref="G3:I3" si="1">SUM(G4:G9)</f>
        <v>240685.76</v>
      </c>
      <c r="H3" s="69">
        <f t="shared" si="1"/>
        <v>500808</v>
      </c>
      <c r="I3" s="69">
        <f t="shared" si="1"/>
        <v>237084.96</v>
      </c>
      <c r="J3" s="70">
        <f>SUM(E3:I3)</f>
        <v>1261232</v>
      </c>
      <c r="K3" s="69">
        <f t="shared" ref="K3:K9" si="2">+J3+D3</f>
        <v>1261232</v>
      </c>
      <c r="L3" s="69"/>
      <c r="M3" s="69">
        <v>1261232</v>
      </c>
    </row>
    <row r="4" spans="1:19">
      <c r="A4" s="66" t="s">
        <v>14</v>
      </c>
      <c r="B4" s="71"/>
      <c r="C4" s="71"/>
      <c r="D4" s="71"/>
      <c r="E4" s="71">
        <v>118462</v>
      </c>
      <c r="F4" s="71">
        <v>133907</v>
      </c>
      <c r="G4" s="71">
        <v>214898</v>
      </c>
      <c r="H4" s="71">
        <v>447150</v>
      </c>
      <c r="I4" s="71">
        <v>211683</v>
      </c>
      <c r="J4" s="126">
        <f>SUM(E4:I4)</f>
        <v>1126100</v>
      </c>
      <c r="K4" s="71">
        <f t="shared" si="2"/>
        <v>1126100</v>
      </c>
      <c r="L4" s="71"/>
      <c r="M4" s="71">
        <v>1126100</v>
      </c>
    </row>
    <row r="5" spans="1:19">
      <c r="A5" s="66" t="s">
        <v>15</v>
      </c>
      <c r="B5" s="71"/>
      <c r="C5" s="71"/>
      <c r="D5" s="71"/>
      <c r="E5" s="71">
        <f>+E4*0.12</f>
        <v>14215.439999999999</v>
      </c>
      <c r="F5" s="71">
        <f>+F4*0.12</f>
        <v>16068.84</v>
      </c>
      <c r="G5" s="71">
        <f t="shared" ref="G5:I5" si="3">+G4*0.12</f>
        <v>25787.759999999998</v>
      </c>
      <c r="H5" s="71">
        <f t="shared" si="3"/>
        <v>53658</v>
      </c>
      <c r="I5" s="71">
        <f t="shared" si="3"/>
        <v>25401.96</v>
      </c>
      <c r="J5" s="70">
        <f t="shared" ref="J5" si="4">SUM(E5:I5)</f>
        <v>135132</v>
      </c>
      <c r="K5" s="71">
        <f t="shared" si="2"/>
        <v>135132</v>
      </c>
      <c r="L5" s="71"/>
      <c r="M5" s="71">
        <v>135132</v>
      </c>
    </row>
    <row r="6" spans="1:19">
      <c r="A6" s="66" t="s">
        <v>16</v>
      </c>
      <c r="B6" s="71"/>
      <c r="C6" s="71"/>
      <c r="D6" s="71"/>
      <c r="E6" s="71"/>
      <c r="F6" s="71"/>
      <c r="G6" s="71"/>
      <c r="H6" s="71"/>
      <c r="I6" s="71"/>
      <c r="J6" s="70">
        <f>SUM(F6:I6)</f>
        <v>0</v>
      </c>
      <c r="K6" s="71">
        <f t="shared" si="2"/>
        <v>0</v>
      </c>
      <c r="L6" s="71"/>
      <c r="M6" s="71">
        <v>0</v>
      </c>
    </row>
    <row r="7" spans="1:19">
      <c r="A7" s="66" t="s">
        <v>17</v>
      </c>
      <c r="B7" s="71"/>
      <c r="C7" s="71"/>
      <c r="D7" s="71"/>
      <c r="E7" s="71"/>
      <c r="F7" s="71"/>
      <c r="G7" s="71"/>
      <c r="H7" s="71"/>
      <c r="I7" s="71"/>
      <c r="J7" s="70">
        <f>SUM(F7:I7)</f>
        <v>0</v>
      </c>
      <c r="K7" s="71">
        <f t="shared" si="2"/>
        <v>0</v>
      </c>
      <c r="L7" s="71"/>
      <c r="M7" s="71">
        <v>0</v>
      </c>
    </row>
    <row r="8" spans="1:19">
      <c r="A8" s="66" t="s">
        <v>18</v>
      </c>
      <c r="B8" s="71"/>
      <c r="C8" s="71"/>
      <c r="D8" s="71"/>
      <c r="E8" s="71"/>
      <c r="F8" s="71"/>
      <c r="G8" s="71"/>
      <c r="H8" s="71"/>
      <c r="I8" s="71"/>
      <c r="J8" s="70">
        <f>SUM(F8:I8)</f>
        <v>0</v>
      </c>
      <c r="K8" s="71">
        <f t="shared" si="2"/>
        <v>0</v>
      </c>
      <c r="L8" s="71"/>
      <c r="M8" s="71">
        <v>0</v>
      </c>
    </row>
    <row r="9" spans="1:19">
      <c r="A9" s="66" t="s">
        <v>19</v>
      </c>
      <c r="B9" s="71"/>
      <c r="C9" s="71"/>
      <c r="D9" s="71"/>
      <c r="E9" s="71"/>
      <c r="F9" s="71"/>
      <c r="G9" s="71"/>
      <c r="H9" s="71"/>
      <c r="I9" s="71"/>
      <c r="J9" s="70">
        <f>SUM(F9:I9)</f>
        <v>0</v>
      </c>
      <c r="K9" s="71">
        <f t="shared" si="2"/>
        <v>0</v>
      </c>
      <c r="L9" s="71"/>
      <c r="M9" s="71">
        <v>0</v>
      </c>
    </row>
    <row r="10" spans="1:19">
      <c r="A10" s="67" t="s">
        <v>20</v>
      </c>
      <c r="B10" s="69"/>
      <c r="C10" s="69"/>
      <c r="D10" s="69"/>
      <c r="E10" s="69">
        <f>SUM(E11:E16)</f>
        <v>131095.70409022292</v>
      </c>
      <c r="F10" s="69">
        <f>SUM(F11:F16)</f>
        <v>147144.84347393661</v>
      </c>
      <c r="G10" s="69">
        <f t="shared" ref="G10:I10" si="5">SUM(G11:G16)</f>
        <v>231303.84948406008</v>
      </c>
      <c r="H10" s="69">
        <f t="shared" si="5"/>
        <v>472640.50990142976</v>
      </c>
      <c r="I10" s="69">
        <f t="shared" si="5"/>
        <v>227963.0930503507</v>
      </c>
      <c r="J10" s="69">
        <f>SUM(J11:J16)</f>
        <v>1210148</v>
      </c>
      <c r="K10" s="69">
        <f>SUM(K11:K16)</f>
        <v>1210148</v>
      </c>
      <c r="L10" s="69"/>
      <c r="M10" s="69">
        <v>1210148</v>
      </c>
      <c r="S10" s="127">
        <f>+SUM(E10:I10)</f>
        <v>1210148</v>
      </c>
    </row>
    <row r="11" spans="1:19">
      <c r="A11" s="66" t="s">
        <v>21</v>
      </c>
      <c r="B11" s="71"/>
      <c r="C11" s="71"/>
      <c r="D11" s="71"/>
      <c r="E11" s="71">
        <f>+N11*E$1</f>
        <v>98476.563272178333</v>
      </c>
      <c r="F11" s="71">
        <f t="shared" ref="F11:I11" si="6">+O11*F$1</f>
        <v>41743.453042180983</v>
      </c>
      <c r="G11" s="71">
        <f t="shared" si="6"/>
        <v>89321.539793624019</v>
      </c>
      <c r="H11" s="71">
        <f t="shared" si="6"/>
        <v>185856.2039605719</v>
      </c>
      <c r="I11" s="71">
        <f t="shared" si="6"/>
        <v>87985.237220140276</v>
      </c>
      <c r="J11" s="70">
        <f t="shared" ref="J11:J16" si="7">SUM(E11:I11)</f>
        <v>503382.99728869554</v>
      </c>
      <c r="K11" s="71">
        <f t="shared" ref="K11:K16" si="8">+J11+D11</f>
        <v>503382.99728869554</v>
      </c>
      <c r="L11" s="71"/>
      <c r="M11" s="71">
        <v>503382.99728869554</v>
      </c>
      <c r="N11">
        <v>0.8</v>
      </c>
      <c r="O11">
        <v>0.3</v>
      </c>
      <c r="P11">
        <v>0.4</v>
      </c>
      <c r="Q11">
        <v>0.4</v>
      </c>
      <c r="R11">
        <v>0.4</v>
      </c>
      <c r="S11" s="127">
        <f>+SUM(E11:I14)</f>
        <v>1170148</v>
      </c>
    </row>
    <row r="12" spans="1:19">
      <c r="A12" s="66" t="s">
        <v>22</v>
      </c>
      <c r="B12" s="71"/>
      <c r="C12" s="71"/>
      <c r="D12" s="71"/>
      <c r="E12" s="71">
        <f t="shared" ref="E12:E14" si="9">+N12*E$1</f>
        <v>0</v>
      </c>
      <c r="F12" s="71">
        <f t="shared" ref="F12:F14" si="10">+O12*F$1</f>
        <v>83486.906084361966</v>
      </c>
      <c r="G12" s="71">
        <f t="shared" ref="G12:G14" si="11">+P12*G$1</f>
        <v>111651.92474203002</v>
      </c>
      <c r="H12" s="71">
        <f t="shared" ref="H12:H14" si="12">+Q12*H$1</f>
        <v>232320.25495071488</v>
      </c>
      <c r="I12" s="71">
        <f t="shared" ref="I12:I14" si="13">+R12*I$1</f>
        <v>109981.54652517533</v>
      </c>
      <c r="J12" s="70">
        <f t="shared" si="7"/>
        <v>537440.63230228215</v>
      </c>
      <c r="K12" s="71">
        <f t="shared" si="8"/>
        <v>537440.63230228215</v>
      </c>
      <c r="L12" s="71"/>
      <c r="M12" s="71">
        <v>537440.63230228215</v>
      </c>
      <c r="O12">
        <v>0.6</v>
      </c>
      <c r="P12">
        <v>0.5</v>
      </c>
      <c r="Q12">
        <v>0.5</v>
      </c>
      <c r="R12">
        <v>0.5</v>
      </c>
    </row>
    <row r="13" spans="1:19">
      <c r="A13" s="66" t="s">
        <v>23</v>
      </c>
      <c r="B13" s="71"/>
      <c r="C13" s="71"/>
      <c r="D13" s="71"/>
      <c r="E13" s="71">
        <f t="shared" si="9"/>
        <v>0</v>
      </c>
      <c r="F13" s="71">
        <f t="shared" si="10"/>
        <v>0</v>
      </c>
      <c r="G13" s="71">
        <f t="shared" si="11"/>
        <v>0</v>
      </c>
      <c r="H13" s="71">
        <f t="shared" si="12"/>
        <v>0</v>
      </c>
      <c r="I13" s="71">
        <f t="shared" si="13"/>
        <v>0</v>
      </c>
      <c r="J13" s="70">
        <f t="shared" si="7"/>
        <v>0</v>
      </c>
      <c r="K13" s="71">
        <f t="shared" si="8"/>
        <v>0</v>
      </c>
      <c r="L13" s="71"/>
      <c r="M13" s="71">
        <v>0</v>
      </c>
    </row>
    <row r="14" spans="1:19">
      <c r="A14" s="66" t="s">
        <v>24</v>
      </c>
      <c r="B14" s="71"/>
      <c r="C14" s="71"/>
      <c r="D14" s="71"/>
      <c r="E14" s="71">
        <f t="shared" si="9"/>
        <v>24619.140818044583</v>
      </c>
      <c r="F14" s="71">
        <f t="shared" si="10"/>
        <v>13914.484347393662</v>
      </c>
      <c r="G14" s="71">
        <f t="shared" si="11"/>
        <v>22330.384948406005</v>
      </c>
      <c r="H14" s="71">
        <f t="shared" si="12"/>
        <v>46464.050990142976</v>
      </c>
      <c r="I14" s="71">
        <f t="shared" si="13"/>
        <v>21996.309305035069</v>
      </c>
      <c r="J14" s="70">
        <f t="shared" si="7"/>
        <v>129324.37040902229</v>
      </c>
      <c r="K14" s="71">
        <f t="shared" si="8"/>
        <v>129324.37040902229</v>
      </c>
      <c r="L14" s="71"/>
      <c r="M14" s="71">
        <v>129324.37040902229</v>
      </c>
      <c r="N14">
        <v>0.2</v>
      </c>
      <c r="O14">
        <v>0.1</v>
      </c>
      <c r="P14">
        <v>0.1</v>
      </c>
      <c r="Q14">
        <v>0.1</v>
      </c>
      <c r="R14">
        <v>0.1</v>
      </c>
    </row>
    <row r="15" spans="1:19">
      <c r="A15" s="66" t="s">
        <v>25</v>
      </c>
      <c r="B15" s="71"/>
      <c r="C15" s="71"/>
      <c r="D15" s="71"/>
      <c r="E15" s="71">
        <v>8000</v>
      </c>
      <c r="F15" s="71">
        <v>8000</v>
      </c>
      <c r="G15" s="71">
        <v>8000</v>
      </c>
      <c r="H15" s="71">
        <v>8000</v>
      </c>
      <c r="I15" s="71">
        <v>8000</v>
      </c>
      <c r="J15" s="70">
        <f t="shared" si="7"/>
        <v>40000</v>
      </c>
      <c r="K15" s="71">
        <f t="shared" si="8"/>
        <v>40000</v>
      </c>
      <c r="L15" s="71"/>
      <c r="M15" s="71">
        <v>40000</v>
      </c>
    </row>
    <row r="16" spans="1:19">
      <c r="A16" s="66"/>
      <c r="B16" s="71"/>
      <c r="C16" s="71"/>
      <c r="D16" s="71"/>
      <c r="E16" s="71"/>
      <c r="F16" s="71"/>
      <c r="G16" s="71"/>
      <c r="H16" s="71"/>
      <c r="I16" s="71"/>
      <c r="J16" s="70">
        <f t="shared" si="7"/>
        <v>0</v>
      </c>
      <c r="K16" s="71">
        <f t="shared" si="8"/>
        <v>0</v>
      </c>
      <c r="L16" s="71"/>
      <c r="M16" s="71">
        <v>0</v>
      </c>
    </row>
    <row r="17" spans="1:19">
      <c r="A17" s="67" t="s">
        <v>26</v>
      </c>
      <c r="B17" s="72"/>
      <c r="C17" s="69"/>
      <c r="D17" s="69"/>
      <c r="E17" s="69">
        <f>E3-E10</f>
        <v>1581.7359097770823</v>
      </c>
      <c r="F17" s="69">
        <f>F3-F10</f>
        <v>2830.9965260633908</v>
      </c>
      <c r="G17" s="69">
        <f t="shared" ref="G17:M17" si="14">G3-G10</f>
        <v>9381.9105159399332</v>
      </c>
      <c r="H17" s="69">
        <f t="shared" si="14"/>
        <v>28167.490098570241</v>
      </c>
      <c r="I17" s="69">
        <f>I3-I10</f>
        <v>9121.8669496492948</v>
      </c>
      <c r="J17" s="69">
        <f>J3-J10</f>
        <v>51084</v>
      </c>
      <c r="K17" s="69">
        <f t="shared" si="14"/>
        <v>51084</v>
      </c>
      <c r="L17" s="69"/>
      <c r="M17" s="69">
        <f t="shared" si="14"/>
        <v>51084</v>
      </c>
      <c r="S17" s="127">
        <f>+SUM(E17:I17)</f>
        <v>51083.999999999942</v>
      </c>
    </row>
    <row r="18" spans="1:19">
      <c r="A18" s="67" t="s">
        <v>27</v>
      </c>
      <c r="B18" s="72"/>
      <c r="C18" s="69"/>
      <c r="D18" s="69"/>
      <c r="E18" s="73">
        <f>ROUND(E17/E3,2)</f>
        <v>0.01</v>
      </c>
      <c r="F18" s="73">
        <f>ROUND(F17/F3,2)</f>
        <v>0.02</v>
      </c>
      <c r="G18" s="73">
        <f t="shared" ref="G18:I18" si="15">ROUND(G17/G3,2)</f>
        <v>0.04</v>
      </c>
      <c r="H18" s="73">
        <f t="shared" si="15"/>
        <v>0.06</v>
      </c>
      <c r="I18" s="73">
        <f t="shared" si="15"/>
        <v>0.04</v>
      </c>
      <c r="J18" s="73">
        <f>ROUND(J17/J3,2)</f>
        <v>0.04</v>
      </c>
      <c r="K18" s="73">
        <f t="shared" ref="K18" si="16">ROUND(K17/K3,2)</f>
        <v>0.04</v>
      </c>
      <c r="L18" s="73"/>
      <c r="M18" s="73">
        <f t="shared" ref="M18" si="17">ROUND(M17/M3,2)</f>
        <v>0.04</v>
      </c>
    </row>
    <row r="19" spans="1:19">
      <c r="E19" s="62"/>
      <c r="F19" s="62"/>
      <c r="G19" s="62"/>
      <c r="H19" s="62"/>
      <c r="I19" s="62"/>
      <c r="J19" s="62"/>
      <c r="K19" s="62"/>
      <c r="L19" s="62"/>
      <c r="M19" s="62"/>
    </row>
    <row r="20" spans="1:19">
      <c r="E20" s="62"/>
      <c r="F20" s="62"/>
      <c r="G20" s="62"/>
      <c r="H20" s="62"/>
      <c r="I20" s="62"/>
      <c r="J20" s="62"/>
      <c r="K20" s="62"/>
      <c r="L20" s="62"/>
      <c r="M20" s="62"/>
    </row>
    <row r="22" spans="1:19" ht="29">
      <c r="A22" t="s">
        <v>0</v>
      </c>
      <c r="B22" s="64" t="s">
        <v>1</v>
      </c>
      <c r="C22" s="64" t="s">
        <v>2</v>
      </c>
      <c r="D22" s="64" t="s">
        <v>3</v>
      </c>
      <c r="F22" s="65" t="s">
        <v>5</v>
      </c>
      <c r="G22" s="65" t="s">
        <v>6</v>
      </c>
      <c r="H22" s="65" t="s">
        <v>7</v>
      </c>
      <c r="I22" s="65" t="s">
        <v>8</v>
      </c>
      <c r="J22" s="68" t="s">
        <v>9</v>
      </c>
      <c r="K22" s="63" t="s">
        <v>10</v>
      </c>
      <c r="L22" s="63" t="s">
        <v>11</v>
      </c>
      <c r="M22" s="63" t="s">
        <v>12</v>
      </c>
    </row>
    <row r="23" spans="1:19">
      <c r="A23" s="67" t="s">
        <v>13</v>
      </c>
      <c r="B23" s="69">
        <f>SUM(B24:B29)</f>
        <v>132677.44</v>
      </c>
      <c r="C23" s="69">
        <f>SUM(C24:C29)</f>
        <v>133160</v>
      </c>
      <c r="D23" s="69">
        <f>+C23</f>
        <v>133160</v>
      </c>
      <c r="F23" s="69">
        <f>SUM(F24:F29)</f>
        <v>150493.28</v>
      </c>
      <c r="G23" s="69">
        <f t="shared" ref="G23:I23" si="18">SUM(G24:G29)</f>
        <v>240685.76</v>
      </c>
      <c r="H23" s="69">
        <f t="shared" si="18"/>
        <v>500808</v>
      </c>
      <c r="I23" s="69">
        <f t="shared" si="18"/>
        <v>237084.96</v>
      </c>
      <c r="J23" s="70">
        <f>SUM(F23:I23)</f>
        <v>1129072</v>
      </c>
      <c r="K23" s="69">
        <f t="shared" ref="K23:K29" si="19">+J23+D23</f>
        <v>1262232</v>
      </c>
      <c r="L23" s="69"/>
      <c r="M23" s="69">
        <v>1261232</v>
      </c>
    </row>
    <row r="24" spans="1:19">
      <c r="A24" s="66" t="s">
        <v>28</v>
      </c>
      <c r="B24" s="71">
        <v>118462</v>
      </c>
      <c r="C24" s="126">
        <v>118000</v>
      </c>
      <c r="D24" s="71">
        <f>+C24</f>
        <v>118000</v>
      </c>
      <c r="F24" s="71">
        <f>+F4+B24-C24</f>
        <v>134369</v>
      </c>
      <c r="G24" s="71">
        <v>214898</v>
      </c>
      <c r="H24" s="71">
        <v>447150</v>
      </c>
      <c r="I24" s="71">
        <v>211683</v>
      </c>
      <c r="J24" s="70">
        <f>SUM(F24:I24)</f>
        <v>1008100</v>
      </c>
      <c r="K24" s="71">
        <f t="shared" si="19"/>
        <v>1126100</v>
      </c>
      <c r="L24" s="71"/>
      <c r="M24" s="126">
        <v>1126100</v>
      </c>
    </row>
    <row r="25" spans="1:19">
      <c r="A25" s="66" t="s">
        <v>15</v>
      </c>
      <c r="B25" s="71">
        <f>+B24*0.12</f>
        <v>14215.439999999999</v>
      </c>
      <c r="C25" s="71">
        <f>+C24*0.12</f>
        <v>14160</v>
      </c>
      <c r="D25" s="71">
        <f>+D24*0.12</f>
        <v>14160</v>
      </c>
      <c r="F25" s="71">
        <f>+F24*0.12</f>
        <v>16124.279999999999</v>
      </c>
      <c r="G25" s="71">
        <f t="shared" ref="G25:I25" si="20">+G24*0.12</f>
        <v>25787.759999999998</v>
      </c>
      <c r="H25" s="71">
        <f t="shared" si="20"/>
        <v>53658</v>
      </c>
      <c r="I25" s="71">
        <f t="shared" si="20"/>
        <v>25401.96</v>
      </c>
      <c r="J25" s="70">
        <f>SUM(F25:I25)</f>
        <v>120972</v>
      </c>
      <c r="K25" s="71">
        <f t="shared" si="19"/>
        <v>135132</v>
      </c>
      <c r="L25" s="71"/>
      <c r="M25" s="71">
        <v>135132</v>
      </c>
    </row>
    <row r="26" spans="1:19">
      <c r="A26" s="66" t="s">
        <v>16</v>
      </c>
      <c r="B26" s="71"/>
      <c r="C26" s="71">
        <v>1000</v>
      </c>
      <c r="D26" s="71">
        <f>+C26</f>
        <v>1000</v>
      </c>
      <c r="F26" s="71"/>
      <c r="G26" s="71"/>
      <c r="H26" s="71"/>
      <c r="I26" s="71"/>
      <c r="J26" s="70">
        <f t="shared" ref="J26:J29" si="21">SUM(F26:I26)</f>
        <v>0</v>
      </c>
      <c r="K26" s="71">
        <f t="shared" si="19"/>
        <v>1000</v>
      </c>
      <c r="L26" s="71"/>
      <c r="M26" s="71">
        <v>0</v>
      </c>
    </row>
    <row r="27" spans="1:19">
      <c r="A27" s="66" t="s">
        <v>17</v>
      </c>
      <c r="B27" s="71"/>
      <c r="C27" s="71"/>
      <c r="D27" s="71"/>
      <c r="F27" s="71"/>
      <c r="G27" s="71"/>
      <c r="H27" s="71"/>
      <c r="I27" s="71"/>
      <c r="J27" s="70">
        <f t="shared" si="21"/>
        <v>0</v>
      </c>
      <c r="K27" s="71">
        <f t="shared" si="19"/>
        <v>0</v>
      </c>
      <c r="L27" s="71"/>
      <c r="M27" s="71">
        <v>0</v>
      </c>
    </row>
    <row r="28" spans="1:19">
      <c r="A28" s="66" t="s">
        <v>18</v>
      </c>
      <c r="B28" s="71"/>
      <c r="C28" s="71"/>
      <c r="D28" s="71"/>
      <c r="F28" s="71"/>
      <c r="G28" s="71"/>
      <c r="H28" s="71"/>
      <c r="I28" s="71"/>
      <c r="J28" s="70">
        <f t="shared" si="21"/>
        <v>0</v>
      </c>
      <c r="K28" s="71">
        <f t="shared" si="19"/>
        <v>0</v>
      </c>
      <c r="L28" s="71"/>
      <c r="M28" s="71">
        <v>0</v>
      </c>
    </row>
    <row r="29" spans="1:19">
      <c r="A29" s="66" t="s">
        <v>19</v>
      </c>
      <c r="B29" s="71"/>
      <c r="C29" s="71"/>
      <c r="D29" s="71"/>
      <c r="F29" s="71"/>
      <c r="G29" s="71"/>
      <c r="H29" s="71"/>
      <c r="I29" s="71"/>
      <c r="J29" s="70">
        <f t="shared" si="21"/>
        <v>0</v>
      </c>
      <c r="K29" s="71">
        <f t="shared" si="19"/>
        <v>0</v>
      </c>
      <c r="L29" s="71"/>
      <c r="M29" s="71">
        <v>0</v>
      </c>
    </row>
    <row r="30" spans="1:19">
      <c r="A30" s="67" t="s">
        <v>20</v>
      </c>
      <c r="B30" s="69">
        <f>SUM(B31:B35)</f>
        <v>131095.70409022292</v>
      </c>
      <c r="C30" s="69">
        <f>SUM(C31:C35)</f>
        <v>135440</v>
      </c>
      <c r="D30" s="69">
        <f t="shared" ref="D30:D35" si="22">+C30</f>
        <v>135440</v>
      </c>
      <c r="F30" s="69">
        <f>SUM(F31:F36)</f>
        <v>147144.84347393661</v>
      </c>
      <c r="G30" s="69">
        <f t="shared" ref="G30:I30" si="23">SUM(G31:G36)</f>
        <v>231303.84948406008</v>
      </c>
      <c r="H30" s="69">
        <f t="shared" si="23"/>
        <v>472640.50990142976</v>
      </c>
      <c r="I30" s="69">
        <f t="shared" si="23"/>
        <v>227963.0930503507</v>
      </c>
      <c r="J30" s="69">
        <f>SUM(J31:J36)</f>
        <v>1079052.2959097771</v>
      </c>
      <c r="K30" s="69">
        <f>SUM(K31:K36)</f>
        <v>1214492.2959097771</v>
      </c>
      <c r="L30" s="69"/>
      <c r="M30" s="69">
        <f>SUM(M31:M36)</f>
        <v>1210148</v>
      </c>
    </row>
    <row r="31" spans="1:19">
      <c r="A31" s="66" t="s">
        <v>21</v>
      </c>
      <c r="B31" s="71">
        <v>98476.563272178333</v>
      </c>
      <c r="C31" s="71">
        <v>97000</v>
      </c>
      <c r="D31" s="71">
        <f t="shared" si="22"/>
        <v>97000</v>
      </c>
      <c r="F31" s="71">
        <v>41743.453042180983</v>
      </c>
      <c r="G31" s="71">
        <v>89321.539793624019</v>
      </c>
      <c r="H31" s="71">
        <v>185856.2039605719</v>
      </c>
      <c r="I31" s="71">
        <v>87985.237220140276</v>
      </c>
      <c r="J31" s="70">
        <f t="shared" ref="J31:J36" si="24">SUM(F31:I31)</f>
        <v>404906.43401651719</v>
      </c>
      <c r="K31" s="71">
        <f t="shared" ref="K31:K36" si="25">+J31+D31</f>
        <v>501906.43401651719</v>
      </c>
      <c r="L31" s="71"/>
      <c r="M31" s="71">
        <v>503382.99728869554</v>
      </c>
    </row>
    <row r="32" spans="1:19">
      <c r="A32" s="66" t="s">
        <v>22</v>
      </c>
      <c r="B32" s="71">
        <v>0</v>
      </c>
      <c r="C32" s="71"/>
      <c r="D32" s="71">
        <f t="shared" si="22"/>
        <v>0</v>
      </c>
      <c r="F32" s="71">
        <v>83486.906084361966</v>
      </c>
      <c r="G32" s="71">
        <v>111651.92474203002</v>
      </c>
      <c r="H32" s="71">
        <v>232320.25495071488</v>
      </c>
      <c r="I32" s="71">
        <v>109981.54652517533</v>
      </c>
      <c r="J32" s="70">
        <f t="shared" si="24"/>
        <v>537440.63230228215</v>
      </c>
      <c r="K32" s="71">
        <f t="shared" si="25"/>
        <v>537440.63230228215</v>
      </c>
      <c r="L32" s="71"/>
      <c r="M32" s="71">
        <v>537440.63230228215</v>
      </c>
    </row>
    <row r="33" spans="1:13">
      <c r="A33" s="66" t="s">
        <v>23</v>
      </c>
      <c r="B33" s="71">
        <v>0</v>
      </c>
      <c r="C33" s="71"/>
      <c r="D33" s="71">
        <f t="shared" si="22"/>
        <v>0</v>
      </c>
      <c r="F33" s="71">
        <v>0</v>
      </c>
      <c r="G33" s="71">
        <v>0</v>
      </c>
      <c r="H33" s="71">
        <v>0</v>
      </c>
      <c r="I33" s="71">
        <v>0</v>
      </c>
      <c r="J33" s="70">
        <f t="shared" si="24"/>
        <v>0</v>
      </c>
      <c r="K33" s="71">
        <f t="shared" si="25"/>
        <v>0</v>
      </c>
      <c r="L33" s="71"/>
      <c r="M33" s="71">
        <v>0</v>
      </c>
    </row>
    <row r="34" spans="1:13">
      <c r="A34" s="66" t="s">
        <v>24</v>
      </c>
      <c r="B34" s="71">
        <v>24619.140818044583</v>
      </c>
      <c r="C34" s="71">
        <v>30440</v>
      </c>
      <c r="D34" s="71">
        <f t="shared" si="22"/>
        <v>30440</v>
      </c>
      <c r="F34" s="71">
        <v>13914.484347393662</v>
      </c>
      <c r="G34" s="71">
        <v>22330.384948406005</v>
      </c>
      <c r="H34" s="71">
        <v>46464.050990142976</v>
      </c>
      <c r="I34" s="71">
        <v>21996.309305035069</v>
      </c>
      <c r="J34" s="70">
        <f t="shared" si="24"/>
        <v>104705.22959097772</v>
      </c>
      <c r="K34" s="71">
        <f t="shared" si="25"/>
        <v>135145.22959097772</v>
      </c>
      <c r="L34" s="71"/>
      <c r="M34" s="71">
        <v>129324.37040902229</v>
      </c>
    </row>
    <row r="35" spans="1:13">
      <c r="A35" s="66" t="s">
        <v>25</v>
      </c>
      <c r="B35" s="71">
        <v>8000</v>
      </c>
      <c r="C35" s="71">
        <v>8000</v>
      </c>
      <c r="D35" s="71">
        <f t="shared" si="22"/>
        <v>8000</v>
      </c>
      <c r="F35" s="71">
        <v>8000</v>
      </c>
      <c r="G35" s="71">
        <v>8000</v>
      </c>
      <c r="H35" s="71">
        <v>8000</v>
      </c>
      <c r="I35" s="71">
        <v>8000</v>
      </c>
      <c r="J35" s="70">
        <f t="shared" si="24"/>
        <v>32000</v>
      </c>
      <c r="K35" s="71">
        <f t="shared" si="25"/>
        <v>40000</v>
      </c>
      <c r="L35" s="71"/>
      <c r="M35" s="71">
        <v>40000</v>
      </c>
    </row>
    <row r="36" spans="1:13">
      <c r="A36" s="66"/>
      <c r="B36" s="71"/>
      <c r="C36" s="71"/>
      <c r="D36" s="71"/>
      <c r="F36" s="71"/>
      <c r="G36" s="71"/>
      <c r="H36" s="71"/>
      <c r="I36" s="71"/>
      <c r="J36" s="70">
        <f t="shared" si="24"/>
        <v>0</v>
      </c>
      <c r="K36" s="71">
        <f t="shared" si="25"/>
        <v>0</v>
      </c>
      <c r="L36" s="71"/>
      <c r="M36" s="71">
        <v>0</v>
      </c>
    </row>
    <row r="37" spans="1:13" ht="29">
      <c r="A37" s="131" t="s">
        <v>29</v>
      </c>
      <c r="B37" s="132"/>
      <c r="C37" s="133">
        <f>C23-C30</f>
        <v>-2280</v>
      </c>
      <c r="D37" s="133"/>
      <c r="E37" s="134"/>
      <c r="F37" s="133">
        <f>F23-F30</f>
        <v>3348.4365260633931</v>
      </c>
      <c r="G37" s="133">
        <f t="shared" ref="G37:I37" si="26">G23-G30</f>
        <v>9381.9105159399332</v>
      </c>
      <c r="H37" s="133">
        <f t="shared" si="26"/>
        <v>28167.490098570241</v>
      </c>
      <c r="I37" s="133">
        <f t="shared" si="26"/>
        <v>9121.8669496492948</v>
      </c>
      <c r="J37" s="133">
        <f>J23-J30</f>
        <v>50019.704090222949</v>
      </c>
      <c r="K37" s="133">
        <f t="shared" ref="K37" si="27">K23-K30</f>
        <v>47739.704090222949</v>
      </c>
      <c r="L37" s="133"/>
      <c r="M37" s="133">
        <f t="shared" ref="M37" si="28">M23-M30</f>
        <v>51084</v>
      </c>
    </row>
    <row r="38" spans="1:13" ht="29">
      <c r="A38" s="131" t="s">
        <v>30</v>
      </c>
      <c r="B38" s="132"/>
      <c r="C38" s="135">
        <f>ROUND(C37/C23,2)</f>
        <v>-0.02</v>
      </c>
      <c r="D38" s="133"/>
      <c r="E38" s="134"/>
      <c r="F38" s="135">
        <f>ROUND(F37/F23,2)</f>
        <v>0.02</v>
      </c>
      <c r="G38" s="135">
        <f t="shared" ref="G38:K38" si="29">ROUND(G37/G23,2)</f>
        <v>0.04</v>
      </c>
      <c r="H38" s="135">
        <f t="shared" si="29"/>
        <v>0.06</v>
      </c>
      <c r="I38" s="135">
        <f t="shared" si="29"/>
        <v>0.04</v>
      </c>
      <c r="J38" s="135">
        <f t="shared" si="29"/>
        <v>0.04</v>
      </c>
      <c r="K38" s="135">
        <f t="shared" si="29"/>
        <v>0.04</v>
      </c>
      <c r="L38" s="135"/>
      <c r="M38" s="135">
        <f t="shared" ref="M38" si="30">ROUND(M37/M23,2)</f>
        <v>0.04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117F-AE5D-4930-92A1-DAFE6849DBB1}">
  <dimension ref="B2:C6"/>
  <sheetViews>
    <sheetView showGridLines="0" workbookViewId="0">
      <selection activeCell="D16" sqref="D16"/>
    </sheetView>
  </sheetViews>
  <sheetFormatPr defaultColWidth="10.81640625" defaultRowHeight="14.5"/>
  <cols>
    <col min="1" max="1" width="3.1796875" customWidth="1"/>
    <col min="3" max="3" width="26.453125" customWidth="1"/>
  </cols>
  <sheetData>
    <row r="2" spans="2:3">
      <c r="B2" s="4" t="s">
        <v>31</v>
      </c>
      <c r="C2" s="4" t="s">
        <v>32</v>
      </c>
    </row>
    <row r="3" spans="2:3" s="1" customFormat="1" ht="24.65" customHeight="1">
      <c r="B3" s="6" t="s">
        <v>33</v>
      </c>
      <c r="C3" s="6"/>
    </row>
    <row r="4" spans="2:3" s="1" customFormat="1" ht="24.65" customHeight="1">
      <c r="B4" s="6" t="s">
        <v>34</v>
      </c>
      <c r="C4" s="6"/>
    </row>
    <row r="5" spans="2:3" s="1" customFormat="1" ht="24.65" customHeight="1">
      <c r="B5" s="6" t="s">
        <v>35</v>
      </c>
      <c r="C5" s="6"/>
    </row>
    <row r="6" spans="2:3" s="1" customFormat="1" ht="24.65" customHeight="1">
      <c r="B6" s="6"/>
      <c r="C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FD5F-22A7-4B52-8CCF-E2022E063716}">
  <dimension ref="B2:D6"/>
  <sheetViews>
    <sheetView showGridLines="0" zoomScale="70" zoomScaleNormal="70" workbookViewId="0">
      <selection activeCell="B3" sqref="B3:C6"/>
    </sheetView>
  </sheetViews>
  <sheetFormatPr defaultColWidth="10.81640625" defaultRowHeight="14.5"/>
  <cols>
    <col min="1" max="1" width="3.1796875" customWidth="1"/>
    <col min="4" max="4" width="26.453125" customWidth="1"/>
  </cols>
  <sheetData>
    <row r="2" spans="2:4">
      <c r="B2" s="4" t="s">
        <v>36</v>
      </c>
      <c r="C2" s="4" t="s">
        <v>37</v>
      </c>
      <c r="D2" s="4" t="s">
        <v>32</v>
      </c>
    </row>
    <row r="3" spans="2:4" s="1" customFormat="1" ht="24.65" customHeight="1">
      <c r="B3" s="6" t="s">
        <v>38</v>
      </c>
      <c r="C3" s="6" t="s">
        <v>39</v>
      </c>
      <c r="D3" s="6"/>
    </row>
    <row r="4" spans="2:4" s="1" customFormat="1" ht="24.65" customHeight="1">
      <c r="B4" s="6" t="s">
        <v>40</v>
      </c>
      <c r="C4" s="6" t="s">
        <v>41</v>
      </c>
      <c r="D4" s="6"/>
    </row>
    <row r="5" spans="2:4" s="1" customFormat="1" ht="24.65" customHeight="1">
      <c r="B5" s="6" t="s">
        <v>42</v>
      </c>
      <c r="C5" s="6" t="s">
        <v>43</v>
      </c>
      <c r="D5" s="6"/>
    </row>
    <row r="6" spans="2:4" s="1" customFormat="1" ht="24.65" customHeight="1">
      <c r="B6" s="6" t="s">
        <v>44</v>
      </c>
      <c r="C6" s="6" t="s">
        <v>45</v>
      </c>
      <c r="D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4"/>
  <sheetViews>
    <sheetView showGridLines="0" zoomScale="70" zoomScaleNormal="70" workbookViewId="0">
      <selection activeCell="I31" sqref="A28:I31"/>
    </sheetView>
  </sheetViews>
  <sheetFormatPr defaultColWidth="8.81640625" defaultRowHeight="15" customHeight="1"/>
  <cols>
    <col min="1" max="1" width="3.81640625" style="2" customWidth="1"/>
    <col min="2" max="2" width="12.1796875" style="2" customWidth="1"/>
    <col min="3" max="3" width="25.54296875" style="3" customWidth="1"/>
    <col min="4" max="5" width="11.1796875" style="3" customWidth="1"/>
    <col min="6" max="6" width="13.54296875" style="3" customWidth="1"/>
  </cols>
  <sheetData>
    <row r="3" spans="2:7">
      <c r="B3" s="22"/>
      <c r="C3" s="23"/>
      <c r="D3" s="23" t="s">
        <v>46</v>
      </c>
      <c r="E3" s="23"/>
      <c r="F3" s="23"/>
    </row>
    <row r="4" spans="2:7">
      <c r="B4" s="15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t="s">
        <v>52</v>
      </c>
    </row>
    <row r="5" spans="2:7">
      <c r="B5" s="5" t="s">
        <v>53</v>
      </c>
      <c r="C5" s="5" t="s">
        <v>54</v>
      </c>
      <c r="D5" s="6"/>
      <c r="E5" s="7"/>
      <c r="F5" s="7"/>
    </row>
    <row r="6" spans="2:7">
      <c r="B6" s="9" t="s">
        <v>55</v>
      </c>
      <c r="C6" s="9" t="s">
        <v>56</v>
      </c>
      <c r="D6" s="6">
        <v>1</v>
      </c>
      <c r="E6" s="7">
        <v>80000</v>
      </c>
      <c r="F6" s="7">
        <f>D6*E6</f>
        <v>80000</v>
      </c>
      <c r="G6">
        <v>15</v>
      </c>
    </row>
    <row r="7" spans="2:7">
      <c r="B7" s="9" t="s">
        <v>57</v>
      </c>
      <c r="C7" s="9" t="s">
        <v>58</v>
      </c>
      <c r="D7" s="6">
        <v>1</v>
      </c>
      <c r="E7" s="7">
        <v>50000</v>
      </c>
      <c r="F7" s="7">
        <f>D7*E7</f>
        <v>50000</v>
      </c>
      <c r="G7">
        <v>10</v>
      </c>
    </row>
    <row r="8" spans="2:7">
      <c r="B8" s="9" t="s">
        <v>59</v>
      </c>
      <c r="C8" s="9" t="s">
        <v>60</v>
      </c>
      <c r="D8" s="6">
        <v>1</v>
      </c>
      <c r="E8" s="7">
        <v>50000</v>
      </c>
      <c r="F8" s="7">
        <f>D8*E8</f>
        <v>50000</v>
      </c>
      <c r="G8">
        <v>10</v>
      </c>
    </row>
    <row r="9" spans="2:7">
      <c r="B9" s="5" t="s">
        <v>61</v>
      </c>
      <c r="C9" s="5" t="s">
        <v>62</v>
      </c>
      <c r="D9" s="6"/>
      <c r="E9" s="7"/>
      <c r="F9" s="7"/>
      <c r="G9">
        <v>20</v>
      </c>
    </row>
    <row r="10" spans="2:7">
      <c r="B10" s="9" t="s">
        <v>63</v>
      </c>
      <c r="C10" s="9" t="s">
        <v>64</v>
      </c>
      <c r="D10" s="6">
        <v>2400</v>
      </c>
      <c r="E10" s="7">
        <v>14</v>
      </c>
      <c r="F10" s="7">
        <f>D10*E10</f>
        <v>33600</v>
      </c>
      <c r="G10">
        <v>10</v>
      </c>
    </row>
    <row r="11" spans="2:7">
      <c r="B11" s="9" t="s">
        <v>65</v>
      </c>
      <c r="C11" s="9" t="s">
        <v>66</v>
      </c>
      <c r="D11" s="6">
        <v>6000</v>
      </c>
      <c r="E11" s="7">
        <v>14</v>
      </c>
      <c r="F11" s="7">
        <f>D11*E11</f>
        <v>84000</v>
      </c>
      <c r="G11">
        <v>10</v>
      </c>
    </row>
    <row r="12" spans="2:7">
      <c r="B12" s="5" t="s">
        <v>67</v>
      </c>
      <c r="C12" s="5" t="s">
        <v>68</v>
      </c>
      <c r="D12" s="6"/>
      <c r="E12" s="7"/>
      <c r="F12" s="7"/>
      <c r="G12">
        <v>50</v>
      </c>
    </row>
    <row r="13" spans="2:7">
      <c r="B13" s="9" t="s">
        <v>69</v>
      </c>
      <c r="C13" s="9" t="s">
        <v>70</v>
      </c>
      <c r="D13" s="6">
        <v>14000</v>
      </c>
      <c r="E13" s="7">
        <v>12</v>
      </c>
      <c r="F13" s="7">
        <f>D13*E13</f>
        <v>168000</v>
      </c>
      <c r="G13">
        <v>15</v>
      </c>
    </row>
    <row r="14" spans="2:7">
      <c r="B14" s="9" t="s">
        <v>71</v>
      </c>
      <c r="C14" s="9" t="s">
        <v>72</v>
      </c>
      <c r="D14" s="6">
        <v>8000</v>
      </c>
      <c r="E14" s="7">
        <v>35</v>
      </c>
      <c r="F14" s="7">
        <f>D14*E14</f>
        <v>280000</v>
      </c>
      <c r="G14">
        <v>10</v>
      </c>
    </row>
    <row r="15" spans="2:7">
      <c r="B15" s="9" t="s">
        <v>73</v>
      </c>
      <c r="C15" s="9" t="s">
        <v>74</v>
      </c>
      <c r="D15" s="6">
        <v>750</v>
      </c>
      <c r="E15" s="7">
        <v>70</v>
      </c>
      <c r="F15" s="7">
        <f>D15*E15</f>
        <v>52500</v>
      </c>
      <c r="G15">
        <v>15</v>
      </c>
    </row>
    <row r="16" spans="2:7">
      <c r="B16" s="5" t="s">
        <v>75</v>
      </c>
      <c r="C16" s="5" t="s">
        <v>76</v>
      </c>
      <c r="D16" s="6"/>
      <c r="E16" s="7"/>
      <c r="F16" s="7"/>
      <c r="G16">
        <v>20</v>
      </c>
    </row>
    <row r="17" spans="2:7">
      <c r="B17" s="5" t="s">
        <v>77</v>
      </c>
      <c r="C17" s="5" t="s">
        <v>78</v>
      </c>
      <c r="D17" s="6"/>
      <c r="E17" s="7"/>
      <c r="F17" s="7"/>
      <c r="G17">
        <v>5</v>
      </c>
    </row>
    <row r="18" spans="2:7">
      <c r="B18" s="9" t="s">
        <v>79</v>
      </c>
      <c r="C18" s="9" t="s">
        <v>80</v>
      </c>
      <c r="D18" s="6">
        <v>200</v>
      </c>
      <c r="E18" s="7">
        <v>25</v>
      </c>
      <c r="F18" s="7">
        <f>D18*E18</f>
        <v>5000</v>
      </c>
      <c r="G18">
        <v>5</v>
      </c>
    </row>
    <row r="19" spans="2:7">
      <c r="B19" s="5" t="s">
        <v>77</v>
      </c>
      <c r="C19" s="5" t="s">
        <v>81</v>
      </c>
      <c r="D19" s="6"/>
      <c r="E19" s="7"/>
      <c r="F19" s="7"/>
      <c r="G19">
        <v>15</v>
      </c>
    </row>
    <row r="20" spans="2:7">
      <c r="B20" s="9" t="s">
        <v>82</v>
      </c>
      <c r="C20" s="9" t="s">
        <v>83</v>
      </c>
      <c r="D20" s="6">
        <v>5000</v>
      </c>
      <c r="E20" s="7">
        <v>45</v>
      </c>
      <c r="F20" s="7">
        <f>D20*E20</f>
        <v>225000</v>
      </c>
      <c r="G20">
        <v>10</v>
      </c>
    </row>
    <row r="21" spans="2:7">
      <c r="B21" s="9" t="s">
        <v>84</v>
      </c>
      <c r="C21" s="9" t="s">
        <v>85</v>
      </c>
      <c r="D21" s="6">
        <v>750</v>
      </c>
      <c r="E21" s="7">
        <v>50</v>
      </c>
      <c r="F21" s="7">
        <f>D21*E21</f>
        <v>37500</v>
      </c>
      <c r="G21">
        <v>15</v>
      </c>
    </row>
    <row r="22" spans="2:7">
      <c r="B22" s="10" t="s">
        <v>86</v>
      </c>
      <c r="C22" s="10" t="s">
        <v>87</v>
      </c>
      <c r="D22" s="11">
        <v>1100</v>
      </c>
      <c r="E22" s="12">
        <v>55</v>
      </c>
      <c r="F22" s="12">
        <f>D22*E22</f>
        <v>60500</v>
      </c>
      <c r="G22">
        <v>5</v>
      </c>
    </row>
    <row r="23" spans="2:7">
      <c r="E23" s="14"/>
      <c r="F23" s="14"/>
    </row>
    <row r="24" spans="2:7">
      <c r="E24" s="14"/>
      <c r="F24" s="75">
        <f>SUM(F6:F22)</f>
        <v>1126100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7627-DDFA-4C14-B129-3E05DA6AE5BB}">
  <dimension ref="A1:X22"/>
  <sheetViews>
    <sheetView showGridLines="0" tabSelected="1" topLeftCell="A7" zoomScale="85" zoomScaleNormal="85" workbookViewId="0">
      <selection sqref="A1:F22"/>
    </sheetView>
  </sheetViews>
  <sheetFormatPr defaultColWidth="8.81640625" defaultRowHeight="14.5" outlineLevelCol="1"/>
  <cols>
    <col min="1" max="1" width="12.1796875" style="2" customWidth="1"/>
    <col min="2" max="3" width="11.1796875" style="3" customWidth="1"/>
    <col min="4" max="4" width="13.54296875" style="3" customWidth="1"/>
    <col min="5" max="5" width="8.81640625" style="2"/>
    <col min="6" max="6" width="15.54296875" style="2" customWidth="1"/>
    <col min="7" max="12" width="12.26953125" customWidth="1" outlineLevel="1"/>
    <col min="13" max="15" width="12" customWidth="1" outlineLevel="1"/>
    <col min="16" max="16" width="52.81640625" style="2" bestFit="1" customWidth="1"/>
    <col min="17" max="17" width="12.1796875" style="2" customWidth="1"/>
    <col min="18" max="18" width="20" customWidth="1" outlineLevel="1"/>
    <col min="19" max="19" width="10.81640625" customWidth="1"/>
    <col min="20" max="21" width="8.81640625" customWidth="1"/>
    <col min="22" max="25" width="13.453125" customWidth="1"/>
  </cols>
  <sheetData>
    <row r="1" spans="1:24">
      <c r="A1" s="22"/>
      <c r="B1" s="23" t="s">
        <v>46</v>
      </c>
      <c r="C1" s="23"/>
      <c r="D1" s="23"/>
      <c r="E1" s="19"/>
      <c r="F1" s="19" t="s">
        <v>88</v>
      </c>
      <c r="G1" s="109"/>
      <c r="H1" s="78" t="s">
        <v>89</v>
      </c>
      <c r="I1" s="110"/>
      <c r="J1" s="20"/>
      <c r="K1" s="20" t="s">
        <v>89</v>
      </c>
      <c r="L1" s="20"/>
      <c r="M1" s="21"/>
      <c r="N1" s="21" t="s">
        <v>90</v>
      </c>
      <c r="O1" s="21"/>
      <c r="P1" s="22" t="s">
        <v>91</v>
      </c>
      <c r="Q1" t="s">
        <v>92</v>
      </c>
      <c r="R1" t="s">
        <v>93</v>
      </c>
      <c r="S1" s="24" t="s">
        <v>94</v>
      </c>
      <c r="T1" s="21"/>
      <c r="V1" s="21"/>
      <c r="W1" s="21" t="s">
        <v>95</v>
      </c>
      <c r="X1" s="21"/>
    </row>
    <row r="2" spans="1:24">
      <c r="A2" s="15" t="s">
        <v>47</v>
      </c>
      <c r="B2" s="4" t="s">
        <v>226</v>
      </c>
      <c r="C2" s="4" t="s">
        <v>50</v>
      </c>
      <c r="D2" s="4" t="s">
        <v>51</v>
      </c>
      <c r="E2" s="4" t="s">
        <v>36</v>
      </c>
      <c r="F2" s="4" t="s">
        <v>37</v>
      </c>
      <c r="G2" s="79" t="s">
        <v>96</v>
      </c>
      <c r="H2" s="17" t="s">
        <v>97</v>
      </c>
      <c r="I2" s="80" t="s">
        <v>98</v>
      </c>
      <c r="J2" s="17" t="s">
        <v>99</v>
      </c>
      <c r="K2" s="17" t="s">
        <v>100</v>
      </c>
      <c r="L2" s="17" t="s">
        <v>101</v>
      </c>
      <c r="M2" s="17" t="s">
        <v>102</v>
      </c>
      <c r="N2" s="17" t="s">
        <v>103</v>
      </c>
      <c r="O2" s="17" t="s">
        <v>104</v>
      </c>
      <c r="P2" s="22" t="s">
        <v>91</v>
      </c>
      <c r="Q2" t="s">
        <v>92</v>
      </c>
      <c r="R2" t="s">
        <v>93</v>
      </c>
      <c r="S2" s="17" t="s">
        <v>105</v>
      </c>
      <c r="T2" s="17" t="s">
        <v>106</v>
      </c>
      <c r="U2" s="4" t="s">
        <v>36</v>
      </c>
      <c r="V2" s="17" t="s">
        <v>33</v>
      </c>
      <c r="W2" s="17" t="s">
        <v>107</v>
      </c>
      <c r="X2" s="17" t="s">
        <v>108</v>
      </c>
    </row>
    <row r="3" spans="1:24">
      <c r="A3" s="5" t="s">
        <v>53</v>
      </c>
      <c r="B3" s="6"/>
      <c r="C3" s="7"/>
      <c r="D3" s="7"/>
      <c r="E3" s="8"/>
      <c r="F3" s="8"/>
      <c r="G3" s="81"/>
      <c r="I3" s="82"/>
      <c r="P3" s="5" t="s">
        <v>54</v>
      </c>
      <c r="U3" s="8"/>
    </row>
    <row r="4" spans="1:24">
      <c r="A4" s="9" t="s">
        <v>55</v>
      </c>
      <c r="B4" s="6">
        <v>1</v>
      </c>
      <c r="C4" s="7">
        <v>80000</v>
      </c>
      <c r="D4" s="7">
        <f>B4*C4</f>
        <v>80000</v>
      </c>
      <c r="E4" s="8" t="s">
        <v>38</v>
      </c>
      <c r="F4" s="8" t="s">
        <v>39</v>
      </c>
      <c r="G4" s="83">
        <v>0</v>
      </c>
      <c r="H4" s="25">
        <v>1</v>
      </c>
      <c r="I4" s="84">
        <f t="shared" ref="I4:I6" si="0">1-H4-G4</f>
        <v>0</v>
      </c>
      <c r="J4" s="7">
        <f t="shared" ref="J4:L9" si="1">+G4*$C4</f>
        <v>0</v>
      </c>
      <c r="K4" s="7">
        <f t="shared" si="1"/>
        <v>80000</v>
      </c>
      <c r="L4" s="7">
        <f t="shared" si="1"/>
        <v>0</v>
      </c>
      <c r="M4" s="7">
        <f>J4*$B4</f>
        <v>0</v>
      </c>
      <c r="N4" s="7">
        <f>K4*$B4</f>
        <v>80000</v>
      </c>
      <c r="O4" s="7">
        <f>L4*$B4</f>
        <v>0</v>
      </c>
      <c r="P4" s="9" t="s">
        <v>56</v>
      </c>
      <c r="Q4" s="74">
        <v>46148</v>
      </c>
      <c r="R4" s="74">
        <v>46168</v>
      </c>
      <c r="S4" s="25">
        <v>1</v>
      </c>
      <c r="T4" s="7">
        <f>S4*D4</f>
        <v>80000</v>
      </c>
      <c r="U4" s="8" t="s">
        <v>38</v>
      </c>
      <c r="V4" s="7">
        <f t="shared" ref="V4:X6" si="2">M4*$S4</f>
        <v>0</v>
      </c>
      <c r="W4" s="7">
        <f t="shared" si="2"/>
        <v>80000</v>
      </c>
      <c r="X4" s="7">
        <f t="shared" si="2"/>
        <v>0</v>
      </c>
    </row>
    <row r="5" spans="1:24">
      <c r="A5" s="9" t="s">
        <v>57</v>
      </c>
      <c r="B5" s="6">
        <v>1</v>
      </c>
      <c r="C5" s="7">
        <v>50000</v>
      </c>
      <c r="D5" s="7">
        <f>B5*C5</f>
        <v>50000</v>
      </c>
      <c r="E5" s="8" t="s">
        <v>38</v>
      </c>
      <c r="F5" s="8" t="s">
        <v>39</v>
      </c>
      <c r="G5" s="83">
        <v>0</v>
      </c>
      <c r="H5" s="25">
        <v>1</v>
      </c>
      <c r="I5" s="84">
        <f t="shared" si="0"/>
        <v>0</v>
      </c>
      <c r="J5" s="7">
        <f t="shared" si="1"/>
        <v>0</v>
      </c>
      <c r="K5" s="7">
        <f t="shared" si="1"/>
        <v>50000</v>
      </c>
      <c r="L5" s="7">
        <f t="shared" si="1"/>
        <v>0</v>
      </c>
      <c r="M5" s="7">
        <f t="shared" ref="M5:O6" si="3">J5*$B5</f>
        <v>0</v>
      </c>
      <c r="N5" s="7">
        <f t="shared" si="3"/>
        <v>50000</v>
      </c>
      <c r="O5" s="7">
        <f t="shared" si="3"/>
        <v>0</v>
      </c>
      <c r="P5" s="9" t="s">
        <v>58</v>
      </c>
      <c r="Q5" s="74">
        <v>46169</v>
      </c>
      <c r="R5" s="74">
        <v>46182</v>
      </c>
      <c r="S5" s="25">
        <v>0.38</v>
      </c>
      <c r="T5" s="7">
        <f t="shared" ref="T5:T6" si="4">S5*D5</f>
        <v>19000</v>
      </c>
      <c r="U5" s="8" t="s">
        <v>38</v>
      </c>
      <c r="V5" s="7">
        <f t="shared" si="2"/>
        <v>0</v>
      </c>
      <c r="W5" s="7">
        <f t="shared" si="2"/>
        <v>19000</v>
      </c>
      <c r="X5" s="7">
        <f t="shared" si="2"/>
        <v>0</v>
      </c>
    </row>
    <row r="6" spans="1:24">
      <c r="A6" s="9" t="s">
        <v>59</v>
      </c>
      <c r="B6" s="6">
        <v>1</v>
      </c>
      <c r="C6" s="7">
        <v>50000</v>
      </c>
      <c r="D6" s="7">
        <f>B6*C6</f>
        <v>50000</v>
      </c>
      <c r="E6" s="8" t="s">
        <v>38</v>
      </c>
      <c r="F6" s="8" t="s">
        <v>39</v>
      </c>
      <c r="G6" s="83">
        <v>0</v>
      </c>
      <c r="H6" s="25">
        <v>0</v>
      </c>
      <c r="I6" s="84">
        <f t="shared" si="0"/>
        <v>1</v>
      </c>
      <c r="J6" s="7">
        <f t="shared" si="1"/>
        <v>0</v>
      </c>
      <c r="K6" s="7">
        <f t="shared" si="1"/>
        <v>0</v>
      </c>
      <c r="L6" s="7">
        <f t="shared" si="1"/>
        <v>50000</v>
      </c>
      <c r="M6" s="7">
        <f t="shared" si="3"/>
        <v>0</v>
      </c>
      <c r="N6" s="7">
        <f t="shared" si="3"/>
        <v>0</v>
      </c>
      <c r="O6" s="7">
        <f t="shared" si="3"/>
        <v>50000</v>
      </c>
      <c r="P6" s="9" t="s">
        <v>60</v>
      </c>
      <c r="Q6" s="74">
        <v>46169</v>
      </c>
      <c r="R6" s="74">
        <v>46182</v>
      </c>
      <c r="S6" s="25">
        <v>0.38</v>
      </c>
      <c r="T6" s="7">
        <f t="shared" si="4"/>
        <v>19000</v>
      </c>
      <c r="U6" s="8" t="s">
        <v>38</v>
      </c>
      <c r="V6" s="7">
        <f t="shared" si="2"/>
        <v>0</v>
      </c>
      <c r="W6" s="7">
        <f t="shared" si="2"/>
        <v>0</v>
      </c>
      <c r="X6" s="7">
        <f t="shared" si="2"/>
        <v>19000</v>
      </c>
    </row>
    <row r="7" spans="1:24">
      <c r="A7" s="5" t="s">
        <v>61</v>
      </c>
      <c r="B7" s="6"/>
      <c r="C7" s="7"/>
      <c r="D7" s="7"/>
      <c r="E7" s="8"/>
      <c r="F7" s="8"/>
      <c r="G7" s="83"/>
      <c r="H7" s="25"/>
      <c r="I7" s="84"/>
      <c r="J7" s="7">
        <f t="shared" si="1"/>
        <v>0</v>
      </c>
      <c r="K7" s="7">
        <f t="shared" si="1"/>
        <v>0</v>
      </c>
      <c r="L7" s="7">
        <f t="shared" si="1"/>
        <v>0</v>
      </c>
      <c r="M7" s="7"/>
      <c r="N7" s="7"/>
      <c r="O7" s="7"/>
      <c r="P7" s="5" t="s">
        <v>62</v>
      </c>
      <c r="Q7" s="74"/>
      <c r="R7" s="74"/>
      <c r="S7" s="25"/>
      <c r="T7" s="7"/>
      <c r="U7" s="8"/>
      <c r="V7" s="7"/>
      <c r="W7" s="7"/>
      <c r="X7" s="7"/>
    </row>
    <row r="8" spans="1:24">
      <c r="A8" s="9" t="s">
        <v>63</v>
      </c>
      <c r="B8" s="6">
        <v>2400</v>
      </c>
      <c r="C8" s="7">
        <v>14</v>
      </c>
      <c r="D8" s="7">
        <f>B8*C8</f>
        <v>33600</v>
      </c>
      <c r="E8" s="8" t="s">
        <v>38</v>
      </c>
      <c r="F8" s="8" t="s">
        <v>39</v>
      </c>
      <c r="G8" s="83">
        <v>0.97035868128118741</v>
      </c>
      <c r="H8" s="25">
        <v>0</v>
      </c>
      <c r="I8" s="84">
        <f>1-H8-G8</f>
        <v>2.9641318718812593E-2</v>
      </c>
      <c r="J8" s="18">
        <f t="shared" si="1"/>
        <v>13.585021537936624</v>
      </c>
      <c r="K8" s="18">
        <f t="shared" si="1"/>
        <v>0</v>
      </c>
      <c r="L8" s="18">
        <f t="shared" si="1"/>
        <v>0.4149784620633763</v>
      </c>
      <c r="M8" s="7">
        <f t="shared" ref="M8:O9" si="5">J8*$B8</f>
        <v>32604.051691047898</v>
      </c>
      <c r="N8" s="7">
        <f t="shared" si="5"/>
        <v>0</v>
      </c>
      <c r="O8" s="7">
        <f t="shared" si="5"/>
        <v>995.94830895210316</v>
      </c>
      <c r="P8" s="9" t="s">
        <v>64</v>
      </c>
      <c r="Q8" s="74">
        <v>46183</v>
      </c>
      <c r="R8" s="74">
        <v>46196</v>
      </c>
      <c r="S8" s="25"/>
      <c r="T8" s="7">
        <f t="shared" ref="T8:T9" si="6">S8*D8</f>
        <v>0</v>
      </c>
      <c r="U8" s="8" t="s">
        <v>38</v>
      </c>
      <c r="V8" s="7">
        <f t="shared" ref="V8:X9" si="7">M8*$S8</f>
        <v>0</v>
      </c>
      <c r="W8" s="7">
        <f t="shared" si="7"/>
        <v>0</v>
      </c>
      <c r="X8" s="7">
        <f t="shared" si="7"/>
        <v>0</v>
      </c>
    </row>
    <row r="9" spans="1:24">
      <c r="A9" s="9" t="s">
        <v>65</v>
      </c>
      <c r="B9" s="6">
        <v>6000</v>
      </c>
      <c r="C9" s="7">
        <v>14</v>
      </c>
      <c r="D9" s="7">
        <f>B9*C9</f>
        <v>84000</v>
      </c>
      <c r="E9" s="8" t="s">
        <v>38</v>
      </c>
      <c r="F9" s="8" t="s">
        <v>39</v>
      </c>
      <c r="G9" s="83">
        <v>0.36507999787381068</v>
      </c>
      <c r="H9" s="25">
        <v>0.57142667304523465</v>
      </c>
      <c r="I9" s="84">
        <f t="shared" ref="I9:I20" si="8">1-H9-G9</f>
        <v>6.3493329080954675E-2</v>
      </c>
      <c r="J9" s="18">
        <f t="shared" si="1"/>
        <v>5.1111199702333492</v>
      </c>
      <c r="K9" s="18">
        <f t="shared" si="1"/>
        <v>7.9999734226332855</v>
      </c>
      <c r="L9" s="18">
        <f t="shared" si="1"/>
        <v>0.88890660713336545</v>
      </c>
      <c r="M9" s="7">
        <f t="shared" si="5"/>
        <v>30666.719821400096</v>
      </c>
      <c r="N9" s="7">
        <f t="shared" si="5"/>
        <v>47999.840535799711</v>
      </c>
      <c r="O9" s="7">
        <f t="shared" si="5"/>
        <v>5333.4396428001928</v>
      </c>
      <c r="P9" s="9" t="s">
        <v>66</v>
      </c>
      <c r="Q9" s="74">
        <v>46197</v>
      </c>
      <c r="R9" s="74">
        <v>46210</v>
      </c>
      <c r="S9" s="25"/>
      <c r="T9" s="7">
        <f t="shared" si="6"/>
        <v>0</v>
      </c>
      <c r="U9" s="8" t="s">
        <v>38</v>
      </c>
      <c r="V9" s="7">
        <f t="shared" si="7"/>
        <v>0</v>
      </c>
      <c r="W9" s="7">
        <f t="shared" si="7"/>
        <v>0</v>
      </c>
      <c r="X9" s="7">
        <f t="shared" si="7"/>
        <v>0</v>
      </c>
    </row>
    <row r="10" spans="1:24">
      <c r="A10" s="5" t="s">
        <v>67</v>
      </c>
      <c r="B10" s="6"/>
      <c r="C10" s="7"/>
      <c r="D10" s="7"/>
      <c r="E10" s="8"/>
      <c r="F10" s="8"/>
      <c r="G10" s="83"/>
      <c r="H10" s="25"/>
      <c r="I10" s="84"/>
      <c r="J10" s="18"/>
      <c r="K10" s="18"/>
      <c r="L10" s="18"/>
      <c r="M10" s="18"/>
      <c r="N10" s="18"/>
      <c r="O10" s="18"/>
      <c r="P10" s="5" t="s">
        <v>68</v>
      </c>
      <c r="Q10" s="74">
        <v>46211</v>
      </c>
      <c r="R10" s="74">
        <v>46280</v>
      </c>
      <c r="S10" s="25"/>
      <c r="T10" s="18"/>
      <c r="U10" s="8"/>
      <c r="V10" s="7"/>
      <c r="W10" s="7"/>
      <c r="X10" s="7"/>
    </row>
    <row r="11" spans="1:24">
      <c r="A11" s="9" t="s">
        <v>69</v>
      </c>
      <c r="B11" s="6">
        <v>14000</v>
      </c>
      <c r="C11" s="7">
        <v>12</v>
      </c>
      <c r="D11" s="7">
        <f>B11*C11</f>
        <v>168000</v>
      </c>
      <c r="E11" s="8" t="s">
        <v>40</v>
      </c>
      <c r="F11" s="8" t="s">
        <v>41</v>
      </c>
      <c r="G11" s="83">
        <v>0.39676090920679968</v>
      </c>
      <c r="H11" s="25">
        <v>0</v>
      </c>
      <c r="I11" s="84">
        <f t="shared" si="8"/>
        <v>0.60323909079320037</v>
      </c>
      <c r="J11" s="18">
        <f t="shared" ref="J11:L14" si="9">+G11*$C11</f>
        <v>4.7611309104815964</v>
      </c>
      <c r="K11" s="18">
        <f t="shared" si="9"/>
        <v>0</v>
      </c>
      <c r="L11" s="18">
        <f t="shared" si="9"/>
        <v>7.2388690895184045</v>
      </c>
      <c r="M11" s="7">
        <f t="shared" ref="M11:O13" si="10">J11*$B11</f>
        <v>66655.832746742351</v>
      </c>
      <c r="N11" s="7">
        <f t="shared" si="10"/>
        <v>0</v>
      </c>
      <c r="O11" s="7">
        <f t="shared" si="10"/>
        <v>101344.16725325766</v>
      </c>
      <c r="P11" s="9" t="s">
        <v>70</v>
      </c>
      <c r="Q11" s="74">
        <v>46211</v>
      </c>
      <c r="R11" s="74">
        <v>46231</v>
      </c>
      <c r="S11" s="25"/>
      <c r="T11" s="7">
        <f t="shared" ref="T11:T13" si="11">S11*D11</f>
        <v>0</v>
      </c>
      <c r="U11" s="8" t="s">
        <v>40</v>
      </c>
      <c r="V11" s="7">
        <f t="shared" ref="V11:X13" si="12">M11*$S11</f>
        <v>0</v>
      </c>
      <c r="W11" s="7">
        <f t="shared" si="12"/>
        <v>0</v>
      </c>
      <c r="X11" s="7">
        <f t="shared" si="12"/>
        <v>0</v>
      </c>
    </row>
    <row r="12" spans="1:24">
      <c r="A12" s="9" t="s">
        <v>71</v>
      </c>
      <c r="B12" s="6">
        <v>8000</v>
      </c>
      <c r="C12" s="7">
        <v>35</v>
      </c>
      <c r="D12" s="7">
        <f>B12*C12</f>
        <v>280000</v>
      </c>
      <c r="E12" s="8" t="s">
        <v>40</v>
      </c>
      <c r="F12" s="8" t="s">
        <v>41</v>
      </c>
      <c r="G12" s="83">
        <v>0.75426613365282835</v>
      </c>
      <c r="H12" s="25">
        <v>1.1289021663801913E-2</v>
      </c>
      <c r="I12" s="84">
        <f t="shared" si="8"/>
        <v>0.23444484468336968</v>
      </c>
      <c r="J12" s="18">
        <f t="shared" si="9"/>
        <v>26.399314677848992</v>
      </c>
      <c r="K12" s="18">
        <f t="shared" si="9"/>
        <v>0.39511575823306694</v>
      </c>
      <c r="L12" s="18">
        <f t="shared" si="9"/>
        <v>8.2055695639179387</v>
      </c>
      <c r="M12" s="7">
        <f t="shared" si="10"/>
        <v>211194.51742279192</v>
      </c>
      <c r="N12" s="7">
        <f t="shared" si="10"/>
        <v>3160.9260658645353</v>
      </c>
      <c r="O12" s="7">
        <f t="shared" si="10"/>
        <v>65644.556511343515</v>
      </c>
      <c r="P12" s="9" t="s">
        <v>72</v>
      </c>
      <c r="Q12" s="74">
        <v>46260</v>
      </c>
      <c r="R12" s="74">
        <v>46273</v>
      </c>
      <c r="S12" s="25"/>
      <c r="T12" s="7">
        <f t="shared" si="11"/>
        <v>0</v>
      </c>
      <c r="U12" s="8" t="s">
        <v>40</v>
      </c>
      <c r="V12" s="7">
        <f t="shared" si="12"/>
        <v>0</v>
      </c>
      <c r="W12" s="7">
        <f t="shared" si="12"/>
        <v>0</v>
      </c>
      <c r="X12" s="7">
        <f t="shared" si="12"/>
        <v>0</v>
      </c>
    </row>
    <row r="13" spans="1:24">
      <c r="A13" s="9" t="s">
        <v>73</v>
      </c>
      <c r="B13" s="6">
        <v>750</v>
      </c>
      <c r="C13" s="7">
        <v>70</v>
      </c>
      <c r="D13" s="7">
        <f>B13*C13</f>
        <v>52500</v>
      </c>
      <c r="E13" s="8" t="s">
        <v>40</v>
      </c>
      <c r="F13" s="8" t="s">
        <v>41</v>
      </c>
      <c r="G13" s="83">
        <v>0.41855970206421889</v>
      </c>
      <c r="H13" s="25">
        <v>0.45134088779677201</v>
      </c>
      <c r="I13" s="84">
        <f t="shared" si="8"/>
        <v>0.13009941013900916</v>
      </c>
      <c r="J13" s="18">
        <f t="shared" si="9"/>
        <v>29.299179144495323</v>
      </c>
      <c r="K13" s="18">
        <f t="shared" si="9"/>
        <v>31.59386214577404</v>
      </c>
      <c r="L13" s="18">
        <f t="shared" si="9"/>
        <v>9.106958709730641</v>
      </c>
      <c r="M13" s="7">
        <f t="shared" si="10"/>
        <v>21974.384358371492</v>
      </c>
      <c r="N13" s="7">
        <f t="shared" si="10"/>
        <v>23695.396609330528</v>
      </c>
      <c r="O13" s="7">
        <f t="shared" si="10"/>
        <v>6830.2190322979804</v>
      </c>
      <c r="P13" s="9" t="s">
        <v>74</v>
      </c>
      <c r="Q13" s="74">
        <v>46260</v>
      </c>
      <c r="R13" s="74">
        <v>46280</v>
      </c>
      <c r="S13" s="25"/>
      <c r="T13" s="7">
        <f t="shared" si="11"/>
        <v>0</v>
      </c>
      <c r="U13" s="8" t="s">
        <v>40</v>
      </c>
      <c r="V13" s="7">
        <f t="shared" si="12"/>
        <v>0</v>
      </c>
      <c r="W13" s="7">
        <f t="shared" si="12"/>
        <v>0</v>
      </c>
      <c r="X13" s="7">
        <f t="shared" si="12"/>
        <v>0</v>
      </c>
    </row>
    <row r="14" spans="1:24">
      <c r="A14" s="5" t="s">
        <v>75</v>
      </c>
      <c r="B14" s="6"/>
      <c r="C14" s="7"/>
      <c r="D14" s="7"/>
      <c r="E14" s="8"/>
      <c r="F14" s="8"/>
      <c r="G14" s="83"/>
      <c r="H14" s="25"/>
      <c r="I14" s="84"/>
      <c r="J14" s="18">
        <f t="shared" si="9"/>
        <v>0</v>
      </c>
      <c r="K14" s="18">
        <f t="shared" si="9"/>
        <v>0</v>
      </c>
      <c r="L14" s="18">
        <f t="shared" si="9"/>
        <v>0</v>
      </c>
      <c r="M14" s="18"/>
      <c r="N14" s="18"/>
      <c r="O14" s="18"/>
      <c r="P14" s="5" t="s">
        <v>76</v>
      </c>
      <c r="Q14" s="74"/>
      <c r="R14" s="74"/>
      <c r="S14" s="25"/>
      <c r="T14" s="18"/>
      <c r="U14" s="8"/>
      <c r="V14" s="7"/>
      <c r="W14" s="7"/>
      <c r="X14" s="7"/>
    </row>
    <row r="15" spans="1:24">
      <c r="A15" s="5" t="s">
        <v>77</v>
      </c>
      <c r="B15" s="6"/>
      <c r="C15" s="7"/>
      <c r="D15" s="7"/>
      <c r="E15" s="8"/>
      <c r="F15" s="8"/>
      <c r="G15" s="83"/>
      <c r="H15" s="25"/>
      <c r="I15" s="84"/>
      <c r="J15" s="18"/>
      <c r="K15" s="18"/>
      <c r="L15" s="18"/>
      <c r="M15" s="18"/>
      <c r="N15" s="18"/>
      <c r="O15" s="18"/>
      <c r="P15" s="5" t="s">
        <v>78</v>
      </c>
      <c r="Q15" s="74"/>
      <c r="R15" s="74"/>
      <c r="S15" s="25"/>
      <c r="T15" s="18"/>
      <c r="U15" s="8"/>
      <c r="V15" s="7"/>
      <c r="W15" s="7"/>
      <c r="X15" s="7"/>
    </row>
    <row r="16" spans="1:24">
      <c r="A16" s="9" t="s">
        <v>79</v>
      </c>
      <c r="B16" s="6">
        <v>200</v>
      </c>
      <c r="C16" s="7">
        <v>25</v>
      </c>
      <c r="D16" s="7">
        <f>B16*C16</f>
        <v>5000</v>
      </c>
      <c r="E16" s="8" t="s">
        <v>42</v>
      </c>
      <c r="F16" s="8" t="s">
        <v>43</v>
      </c>
      <c r="G16" s="83">
        <v>0.61149691358024694</v>
      </c>
      <c r="H16" s="25">
        <v>0.31211419753086422</v>
      </c>
      <c r="I16" s="84">
        <f t="shared" si="8"/>
        <v>7.638888888888884E-2</v>
      </c>
      <c r="J16" s="18">
        <f t="shared" ref="J16:L20" si="13">+G16*$C16</f>
        <v>15.287422839506174</v>
      </c>
      <c r="K16" s="18">
        <f t="shared" si="13"/>
        <v>7.8028549382716053</v>
      </c>
      <c r="L16" s="18">
        <f t="shared" si="13"/>
        <v>1.909722222222221</v>
      </c>
      <c r="M16" s="7">
        <f>J16*$B16</f>
        <v>3057.4845679012346</v>
      </c>
      <c r="N16" s="7">
        <f>K16*$B16</f>
        <v>1560.570987654321</v>
      </c>
      <c r="O16" s="7">
        <f>L16*$B16</f>
        <v>381.94444444444417</v>
      </c>
      <c r="P16" s="9" t="s">
        <v>80</v>
      </c>
      <c r="Q16" s="74">
        <v>46232</v>
      </c>
      <c r="R16" s="74">
        <v>46238</v>
      </c>
      <c r="S16" s="25"/>
      <c r="T16" s="7">
        <f>S16*D16</f>
        <v>0</v>
      </c>
      <c r="U16" s="8" t="s">
        <v>42</v>
      </c>
      <c r="V16" s="7">
        <f>M16*$S16</f>
        <v>0</v>
      </c>
      <c r="W16" s="7">
        <f>N16*$S16</f>
        <v>0</v>
      </c>
      <c r="X16" s="7">
        <f>O16*$S16</f>
        <v>0</v>
      </c>
    </row>
    <row r="17" spans="1:24">
      <c r="A17" s="5" t="s">
        <v>109</v>
      </c>
      <c r="B17" s="6"/>
      <c r="C17" s="7"/>
      <c r="D17" s="7"/>
      <c r="E17" s="8"/>
      <c r="F17" s="8"/>
      <c r="G17" s="83"/>
      <c r="H17" s="25"/>
      <c r="I17" s="84"/>
      <c r="J17" s="18">
        <f t="shared" si="13"/>
        <v>0</v>
      </c>
      <c r="K17" s="18">
        <f t="shared" si="13"/>
        <v>0</v>
      </c>
      <c r="L17" s="18">
        <f t="shared" si="13"/>
        <v>0</v>
      </c>
      <c r="M17" s="18"/>
      <c r="N17" s="18"/>
      <c r="O17" s="18"/>
      <c r="P17" s="5" t="s">
        <v>81</v>
      </c>
      <c r="Q17" s="74"/>
      <c r="R17" s="74"/>
      <c r="S17" s="25"/>
      <c r="T17" s="18"/>
      <c r="U17" s="8"/>
      <c r="V17" s="7"/>
      <c r="W17" s="7"/>
      <c r="X17" s="7"/>
    </row>
    <row r="18" spans="1:24">
      <c r="A18" s="9" t="s">
        <v>82</v>
      </c>
      <c r="B18" s="6">
        <v>5000</v>
      </c>
      <c r="C18" s="7">
        <v>45</v>
      </c>
      <c r="D18" s="7">
        <f>B18*C18</f>
        <v>225000</v>
      </c>
      <c r="E18" s="8" t="s">
        <v>44</v>
      </c>
      <c r="F18" s="8" t="s">
        <v>45</v>
      </c>
      <c r="G18" s="83">
        <v>0.50890576810626154</v>
      </c>
      <c r="H18" s="25">
        <v>0.47582687811833663</v>
      </c>
      <c r="I18" s="84">
        <f t="shared" si="8"/>
        <v>1.5267353775401893E-2</v>
      </c>
      <c r="J18" s="18">
        <f t="shared" si="13"/>
        <v>22.900759564781769</v>
      </c>
      <c r="K18" s="18">
        <f t="shared" si="13"/>
        <v>21.412209515325149</v>
      </c>
      <c r="L18" s="18">
        <f t="shared" si="13"/>
        <v>0.68703091989308518</v>
      </c>
      <c r="M18" s="7">
        <f t="shared" ref="M18:O20" si="14">J18*$B18</f>
        <v>114503.79782390884</v>
      </c>
      <c r="N18" s="7">
        <f t="shared" si="14"/>
        <v>107061.04757662574</v>
      </c>
      <c r="O18" s="7">
        <f t="shared" si="14"/>
        <v>3435.1545994654257</v>
      </c>
      <c r="P18" s="9" t="s">
        <v>83</v>
      </c>
      <c r="Q18" s="74">
        <v>46239</v>
      </c>
      <c r="R18" s="74">
        <v>46252</v>
      </c>
      <c r="S18" s="25"/>
      <c r="T18" s="7">
        <f t="shared" ref="T18:T20" si="15">S18*D18</f>
        <v>0</v>
      </c>
      <c r="U18" s="8" t="s">
        <v>44</v>
      </c>
      <c r="V18" s="7">
        <f t="shared" ref="V18:X20" si="16">M18*$S18</f>
        <v>0</v>
      </c>
      <c r="W18" s="7">
        <f t="shared" si="16"/>
        <v>0</v>
      </c>
      <c r="X18" s="7">
        <f t="shared" si="16"/>
        <v>0</v>
      </c>
    </row>
    <row r="19" spans="1:24">
      <c r="A19" s="9" t="s">
        <v>84</v>
      </c>
      <c r="B19" s="6">
        <v>750</v>
      </c>
      <c r="C19" s="7">
        <v>50</v>
      </c>
      <c r="D19" s="7">
        <f>B19*C19</f>
        <v>37500</v>
      </c>
      <c r="E19" s="8" t="s">
        <v>44</v>
      </c>
      <c r="F19" s="8" t="s">
        <v>45</v>
      </c>
      <c r="G19" s="83">
        <v>0.55436701522004839</v>
      </c>
      <c r="H19" s="25">
        <v>0.4289948709377514</v>
      </c>
      <c r="I19" s="84">
        <f t="shared" si="8"/>
        <v>1.6638113842200264E-2</v>
      </c>
      <c r="J19" s="18">
        <f t="shared" si="13"/>
        <v>27.718350761002419</v>
      </c>
      <c r="K19" s="18">
        <f t="shared" si="13"/>
        <v>21.449743546887571</v>
      </c>
      <c r="L19" s="18">
        <f t="shared" si="13"/>
        <v>0.8319056921100132</v>
      </c>
      <c r="M19" s="7">
        <f t="shared" si="14"/>
        <v>20788.763070751815</v>
      </c>
      <c r="N19" s="7">
        <f t="shared" si="14"/>
        <v>16087.307660165679</v>
      </c>
      <c r="O19" s="7">
        <f t="shared" si="14"/>
        <v>623.9292690825099</v>
      </c>
      <c r="P19" s="9" t="s">
        <v>85</v>
      </c>
      <c r="Q19" s="74">
        <v>46239</v>
      </c>
      <c r="R19" s="74">
        <v>46245</v>
      </c>
      <c r="S19" s="25"/>
      <c r="T19" s="7">
        <f t="shared" si="15"/>
        <v>0</v>
      </c>
      <c r="U19" s="8" t="s">
        <v>44</v>
      </c>
      <c r="V19" s="7">
        <f t="shared" si="16"/>
        <v>0</v>
      </c>
      <c r="W19" s="7">
        <f t="shared" si="16"/>
        <v>0</v>
      </c>
      <c r="X19" s="7">
        <f t="shared" si="16"/>
        <v>0</v>
      </c>
    </row>
    <row r="20" spans="1:24">
      <c r="A20" s="10" t="s">
        <v>86</v>
      </c>
      <c r="B20" s="11">
        <v>1100</v>
      </c>
      <c r="C20" s="12">
        <v>55</v>
      </c>
      <c r="D20" s="12">
        <f>B20*C20</f>
        <v>60500</v>
      </c>
      <c r="E20" s="13" t="s">
        <v>42</v>
      </c>
      <c r="F20" s="13" t="s">
        <v>43</v>
      </c>
      <c r="G20" s="85">
        <v>0.52107692761993274</v>
      </c>
      <c r="H20" s="86">
        <v>0.42884379327440891</v>
      </c>
      <c r="I20" s="87">
        <f t="shared" si="8"/>
        <v>5.0079279105658348E-2</v>
      </c>
      <c r="J20" s="18">
        <f t="shared" si="13"/>
        <v>28.6592310190963</v>
      </c>
      <c r="K20" s="18">
        <f t="shared" si="13"/>
        <v>23.586408630092489</v>
      </c>
      <c r="L20" s="18">
        <f t="shared" si="13"/>
        <v>2.7543603508112091</v>
      </c>
      <c r="M20" s="7">
        <f t="shared" si="14"/>
        <v>31525.154121005929</v>
      </c>
      <c r="N20" s="7">
        <f t="shared" si="14"/>
        <v>25945.049493101738</v>
      </c>
      <c r="O20" s="7">
        <f t="shared" si="14"/>
        <v>3029.7963858923299</v>
      </c>
      <c r="P20" s="10" t="s">
        <v>87</v>
      </c>
      <c r="Q20" s="74">
        <v>46253</v>
      </c>
      <c r="R20" s="74">
        <v>46259</v>
      </c>
      <c r="S20" s="25"/>
      <c r="T20" s="7">
        <f t="shared" si="15"/>
        <v>0</v>
      </c>
      <c r="U20" s="13" t="s">
        <v>42</v>
      </c>
      <c r="V20" s="7">
        <f t="shared" si="16"/>
        <v>0</v>
      </c>
      <c r="W20" s="7">
        <f t="shared" si="16"/>
        <v>0</v>
      </c>
      <c r="X20" s="7">
        <f t="shared" si="16"/>
        <v>0</v>
      </c>
    </row>
    <row r="21" spans="1:24">
      <c r="C21" s="14"/>
      <c r="D21" s="14"/>
    </row>
    <row r="22" spans="1:24">
      <c r="C22" s="14"/>
      <c r="D22" s="75">
        <f>SUM(D4:D20)</f>
        <v>1126100</v>
      </c>
      <c r="M22" s="76">
        <f t="shared" ref="M22:O22" si="17">SUM(M4:M20)</f>
        <v>532970.70562392159</v>
      </c>
      <c r="N22" s="76">
        <f t="shared" si="17"/>
        <v>355510.1389285422</v>
      </c>
      <c r="O22" s="76">
        <f t="shared" si="17"/>
        <v>237619.15544753618</v>
      </c>
      <c r="P22" s="88">
        <f>SUM(M22:O22)</f>
        <v>1126100</v>
      </c>
      <c r="Q22" s="88"/>
      <c r="S22" s="76"/>
      <c r="T22" s="76">
        <f t="shared" ref="T22" si="18">SUM(T4:T20)</f>
        <v>118000</v>
      </c>
      <c r="V22" s="76">
        <f t="shared" ref="V22:X22" si="19">SUM(V4:V20)</f>
        <v>0</v>
      </c>
      <c r="W22" s="76">
        <f t="shared" si="19"/>
        <v>99000</v>
      </c>
      <c r="X22" s="76">
        <f t="shared" si="19"/>
        <v>19000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D8E9-EDF7-4EA1-AF8B-79CAB0A39428}">
  <dimension ref="A3:Z56"/>
  <sheetViews>
    <sheetView showGridLines="0" topLeftCell="A18" zoomScale="78" zoomScaleNormal="130" workbookViewId="0">
      <selection activeCell="U53" sqref="U53"/>
    </sheetView>
  </sheetViews>
  <sheetFormatPr defaultColWidth="10.81640625" defaultRowHeight="14.5"/>
  <cols>
    <col min="1" max="2" width="3.81640625" style="27" customWidth="1"/>
    <col min="3" max="3" width="9" style="27" customWidth="1"/>
    <col min="4" max="4" width="13.453125" style="27" customWidth="1"/>
    <col min="5" max="5" width="13.54296875" style="27" bestFit="1" customWidth="1"/>
    <col min="6" max="6" width="21.453125" style="27" bestFit="1" customWidth="1"/>
    <col min="7" max="7" width="9" style="27" customWidth="1"/>
    <col min="8" max="8" width="3.453125" style="27" customWidth="1"/>
    <col min="9" max="12" width="9" style="27" customWidth="1"/>
    <col min="13" max="13" width="9" customWidth="1"/>
    <col min="14" max="14" width="2.453125" customWidth="1"/>
    <col min="15" max="18" width="9" customWidth="1"/>
    <col min="19" max="19" width="13.1796875" bestFit="1" customWidth="1"/>
    <col min="20" max="20" width="8" customWidth="1"/>
    <col min="21" max="21" width="18.81640625" bestFit="1" customWidth="1"/>
    <col min="22" max="26" width="12.453125" customWidth="1"/>
  </cols>
  <sheetData>
    <row r="3" spans="3:7">
      <c r="C3" s="28" t="s">
        <v>110</v>
      </c>
      <c r="D3" s="28" t="s">
        <v>111</v>
      </c>
      <c r="E3" s="28" t="s">
        <v>112</v>
      </c>
      <c r="F3" s="28" t="s">
        <v>113</v>
      </c>
    </row>
    <row r="4" spans="3:7">
      <c r="C4" s="27" t="s">
        <v>38</v>
      </c>
      <c r="D4" s="29">
        <v>492</v>
      </c>
      <c r="E4" s="29">
        <v>2490</v>
      </c>
      <c r="F4" s="29">
        <v>497.99999999999994</v>
      </c>
    </row>
    <row r="5" spans="3:7">
      <c r="C5" s="27" t="s">
        <v>40</v>
      </c>
      <c r="D5" s="29">
        <v>12465</v>
      </c>
      <c r="E5" s="29">
        <v>14825</v>
      </c>
      <c r="F5" s="29">
        <v>9460</v>
      </c>
      <c r="G5" s="29"/>
    </row>
    <row r="6" spans="3:7">
      <c r="C6" s="27" t="s">
        <v>42</v>
      </c>
      <c r="D6" s="29">
        <v>1674</v>
      </c>
      <c r="E6" s="29">
        <v>1570</v>
      </c>
      <c r="F6" s="29">
        <v>3306</v>
      </c>
      <c r="G6" s="29"/>
    </row>
    <row r="7" spans="3:7">
      <c r="C7" s="27" t="s">
        <v>44</v>
      </c>
      <c r="D7" s="29">
        <v>7500</v>
      </c>
      <c r="E7" s="29">
        <v>11125</v>
      </c>
      <c r="F7" s="29">
        <v>7625</v>
      </c>
      <c r="G7" s="29"/>
    </row>
    <row r="8" spans="3:7">
      <c r="C8" s="27" t="s">
        <v>114</v>
      </c>
      <c r="D8" s="29">
        <v>22131</v>
      </c>
      <c r="E8" s="29">
        <v>30010</v>
      </c>
      <c r="F8" s="29">
        <v>20889</v>
      </c>
      <c r="G8" s="43">
        <f>SUM(D8:F8)</f>
        <v>73030</v>
      </c>
    </row>
    <row r="23" spans="3:26">
      <c r="C23" s="28" t="s">
        <v>110</v>
      </c>
      <c r="D23" s="28" t="s">
        <v>115</v>
      </c>
      <c r="E23" s="28" t="s">
        <v>116</v>
      </c>
      <c r="F23" s="28" t="s">
        <v>117</v>
      </c>
    </row>
    <row r="24" spans="3:26">
      <c r="C24" s="27" t="s">
        <v>38</v>
      </c>
      <c r="D24" s="29">
        <v>246</v>
      </c>
      <c r="E24" s="29">
        <v>2145</v>
      </c>
      <c r="F24" s="29">
        <v>248.99999999999997</v>
      </c>
      <c r="U24" s="111" t="s">
        <v>110</v>
      </c>
      <c r="V24" s="111" t="s">
        <v>118</v>
      </c>
      <c r="W24" s="111" t="s">
        <v>106</v>
      </c>
      <c r="X24" s="111" t="s">
        <v>119</v>
      </c>
      <c r="Y24" s="111" t="s">
        <v>120</v>
      </c>
      <c r="Z24" s="111" t="s">
        <v>121</v>
      </c>
    </row>
    <row r="25" spans="3:26">
      <c r="C25" s="27" t="s">
        <v>40</v>
      </c>
      <c r="D25" s="29">
        <v>3116.25</v>
      </c>
      <c r="E25" s="29">
        <v>3706.25</v>
      </c>
      <c r="F25" s="29">
        <v>2365</v>
      </c>
      <c r="U25" s="44" t="s">
        <v>38</v>
      </c>
      <c r="V25" s="44" t="s">
        <v>33</v>
      </c>
      <c r="W25" s="44">
        <v>246</v>
      </c>
      <c r="X25" s="44">
        <v>150</v>
      </c>
      <c r="Y25" s="47">
        <f>+W25-X25</f>
        <v>96</v>
      </c>
      <c r="Z25" s="44"/>
    </row>
    <row r="26" spans="3:26">
      <c r="C26" s="27" t="s">
        <v>42</v>
      </c>
      <c r="D26" s="29">
        <v>424.5</v>
      </c>
      <c r="E26" s="29">
        <v>400</v>
      </c>
      <c r="F26" s="29">
        <v>938</v>
      </c>
      <c r="G26" s="29"/>
      <c r="U26" s="44" t="s">
        <v>40</v>
      </c>
      <c r="V26" s="44" t="s">
        <v>33</v>
      </c>
      <c r="W26" s="44">
        <v>3116.25</v>
      </c>
      <c r="X26" s="44">
        <v>2500</v>
      </c>
      <c r="Y26" s="53">
        <f t="shared" ref="Y26:Y36" si="0">+W26-X26</f>
        <v>616.25</v>
      </c>
      <c r="Z26" s="44"/>
    </row>
    <row r="27" spans="3:26">
      <c r="C27" s="27" t="s">
        <v>44</v>
      </c>
      <c r="D27" s="29">
        <v>1875</v>
      </c>
      <c r="E27" s="29">
        <v>2781.25</v>
      </c>
      <c r="F27" s="29">
        <v>1906.25</v>
      </c>
      <c r="G27" s="29"/>
      <c r="U27" s="44" t="s">
        <v>42</v>
      </c>
      <c r="V27" s="44" t="s">
        <v>33</v>
      </c>
      <c r="W27" s="44">
        <v>424.5</v>
      </c>
      <c r="X27" s="44">
        <v>400</v>
      </c>
      <c r="Y27" s="53">
        <f t="shared" si="0"/>
        <v>24.5</v>
      </c>
      <c r="Z27" s="44"/>
    </row>
    <row r="28" spans="3:26">
      <c r="C28" s="27" t="s">
        <v>114</v>
      </c>
      <c r="D28" s="29">
        <v>5661.75</v>
      </c>
      <c r="E28" s="29">
        <v>9032.5</v>
      </c>
      <c r="F28" s="29">
        <v>5458.25</v>
      </c>
      <c r="G28" s="29"/>
      <c r="U28" s="44" t="s">
        <v>44</v>
      </c>
      <c r="V28" s="44" t="s">
        <v>33</v>
      </c>
      <c r="W28" s="44">
        <v>1875</v>
      </c>
      <c r="X28" s="44">
        <v>2500</v>
      </c>
      <c r="Y28" s="53">
        <f t="shared" si="0"/>
        <v>-625</v>
      </c>
      <c r="Z28" s="44"/>
    </row>
    <row r="29" spans="3:26">
      <c r="U29" s="44" t="s">
        <v>38</v>
      </c>
      <c r="V29" s="44" t="s">
        <v>34</v>
      </c>
      <c r="W29" s="44">
        <v>2145</v>
      </c>
      <c r="X29" s="44">
        <v>1500</v>
      </c>
      <c r="Y29" s="53">
        <f t="shared" si="0"/>
        <v>645</v>
      </c>
      <c r="Z29" s="44"/>
    </row>
    <row r="30" spans="3:26">
      <c r="U30" s="44" t="s">
        <v>40</v>
      </c>
      <c r="V30" s="44" t="s">
        <v>34</v>
      </c>
      <c r="W30" s="44">
        <v>3706.25</v>
      </c>
      <c r="X30" s="44">
        <v>4500</v>
      </c>
      <c r="Y30" s="53">
        <f t="shared" si="0"/>
        <v>-793.75</v>
      </c>
      <c r="Z30" s="44"/>
    </row>
    <row r="31" spans="3:26">
      <c r="U31" s="44" t="s">
        <v>42</v>
      </c>
      <c r="V31" s="44" t="s">
        <v>34</v>
      </c>
      <c r="W31" s="44">
        <v>400</v>
      </c>
      <c r="X31" s="44">
        <v>1000</v>
      </c>
      <c r="Y31" s="53">
        <f t="shared" si="0"/>
        <v>-600</v>
      </c>
      <c r="Z31" s="44"/>
    </row>
    <row r="32" spans="3:26">
      <c r="U32" s="44" t="s">
        <v>44</v>
      </c>
      <c r="V32" s="44" t="s">
        <v>34</v>
      </c>
      <c r="W32" s="44">
        <v>2781.25</v>
      </c>
      <c r="X32" s="44">
        <v>3500</v>
      </c>
      <c r="Y32" s="53">
        <f t="shared" si="0"/>
        <v>-718.75</v>
      </c>
      <c r="Z32" s="44"/>
    </row>
    <row r="33" spans="3:26">
      <c r="U33" s="44" t="s">
        <v>38</v>
      </c>
      <c r="V33" s="44" t="s">
        <v>35</v>
      </c>
      <c r="W33" s="44">
        <v>248.99999999999997</v>
      </c>
      <c r="X33" s="44">
        <v>200</v>
      </c>
      <c r="Y33" s="53">
        <f t="shared" si="0"/>
        <v>48.999999999999972</v>
      </c>
      <c r="Z33" s="44"/>
    </row>
    <row r="34" spans="3:26">
      <c r="U34" s="44" t="s">
        <v>40</v>
      </c>
      <c r="V34" s="44" t="s">
        <v>35</v>
      </c>
      <c r="W34" s="44">
        <v>2365</v>
      </c>
      <c r="X34" s="44">
        <v>2400</v>
      </c>
      <c r="Y34" s="53">
        <f t="shared" si="0"/>
        <v>-35</v>
      </c>
      <c r="Z34" s="44"/>
    </row>
    <row r="35" spans="3:26">
      <c r="U35" s="44" t="s">
        <v>42</v>
      </c>
      <c r="V35" s="44" t="s">
        <v>35</v>
      </c>
      <c r="W35" s="44">
        <v>938</v>
      </c>
      <c r="X35" s="44">
        <v>900</v>
      </c>
      <c r="Y35" s="53">
        <f t="shared" si="0"/>
        <v>38</v>
      </c>
      <c r="Z35" s="44"/>
    </row>
    <row r="36" spans="3:26">
      <c r="U36" s="44" t="s">
        <v>44</v>
      </c>
      <c r="V36" s="44" t="s">
        <v>35</v>
      </c>
      <c r="W36" s="44">
        <v>1906.25</v>
      </c>
      <c r="X36" s="44">
        <v>2300</v>
      </c>
      <c r="Y36" s="50">
        <f t="shared" si="0"/>
        <v>-393.75</v>
      </c>
      <c r="Z36" s="44"/>
    </row>
    <row r="37" spans="3:26">
      <c r="U37" s="45" t="s">
        <v>122</v>
      </c>
      <c r="V37" s="45"/>
      <c r="W37" s="46">
        <f>+SUM(W25:W36)</f>
        <v>20152.5</v>
      </c>
      <c r="X37" s="46">
        <f>+SUM(X25:X36)</f>
        <v>21850</v>
      </c>
      <c r="Y37" s="47">
        <f>+W37-X37</f>
        <v>-1697.5</v>
      </c>
      <c r="Z37" s="45"/>
    </row>
    <row r="38" spans="3:26">
      <c r="U38" s="56" t="s">
        <v>123</v>
      </c>
      <c r="V38" s="55"/>
      <c r="W38" s="47">
        <f>+W37*0.1</f>
        <v>2015.25</v>
      </c>
      <c r="X38" s="47">
        <v>2185</v>
      </c>
      <c r="Y38" s="47"/>
      <c r="Z38" s="45"/>
    </row>
    <row r="39" spans="3:26">
      <c r="U39" s="57" t="s">
        <v>124</v>
      </c>
      <c r="V39" s="52"/>
      <c r="W39" s="53">
        <f>+W38+W37</f>
        <v>22167.75</v>
      </c>
      <c r="X39" s="53">
        <f>+X38+X37</f>
        <v>24035</v>
      </c>
      <c r="Y39" s="53"/>
      <c r="Z39" s="44"/>
    </row>
    <row r="40" spans="3:26">
      <c r="U40" s="58" t="s">
        <v>125</v>
      </c>
      <c r="V40" s="48"/>
      <c r="W40" s="50">
        <v>3500</v>
      </c>
      <c r="X40" s="50"/>
      <c r="Y40" s="50"/>
      <c r="Z40" s="54"/>
    </row>
    <row r="41" spans="3:26">
      <c r="D41" s="146" t="s">
        <v>106</v>
      </c>
      <c r="E41" s="147"/>
      <c r="F41" s="147"/>
      <c r="G41" s="147"/>
      <c r="J41" s="144" t="s">
        <v>119</v>
      </c>
      <c r="K41" s="145"/>
      <c r="L41" s="145"/>
      <c r="M41" s="145"/>
      <c r="O41" s="141" t="s">
        <v>126</v>
      </c>
      <c r="P41" s="142"/>
      <c r="Q41" s="142"/>
      <c r="R41" s="143"/>
      <c r="U41" s="48" t="s">
        <v>127</v>
      </c>
      <c r="V41" s="49"/>
      <c r="W41" s="50">
        <f>+W40+W39</f>
        <v>25667.75</v>
      </c>
      <c r="X41" s="50">
        <f>+X40+X39</f>
        <v>24035</v>
      </c>
      <c r="Y41" s="50">
        <f>+W41-X41</f>
        <v>1632.75</v>
      </c>
      <c r="Z41" s="51">
        <f>+Y41/W41</f>
        <v>6.3610951485813916E-2</v>
      </c>
    </row>
    <row r="42" spans="3:26">
      <c r="C42" s="30" t="s">
        <v>110</v>
      </c>
      <c r="D42" s="30" t="s">
        <v>33</v>
      </c>
      <c r="E42" s="30" t="s">
        <v>34</v>
      </c>
      <c r="F42" s="30" t="s">
        <v>35</v>
      </c>
      <c r="G42" s="30" t="s">
        <v>128</v>
      </c>
      <c r="I42" s="30" t="s">
        <v>110</v>
      </c>
      <c r="J42" s="33" t="s">
        <v>33</v>
      </c>
      <c r="K42" s="33" t="s">
        <v>34</v>
      </c>
      <c r="L42" s="33" t="s">
        <v>35</v>
      </c>
      <c r="M42" s="33" t="s">
        <v>124</v>
      </c>
      <c r="O42" s="42" t="s">
        <v>33</v>
      </c>
      <c r="P42" s="42" t="s">
        <v>34</v>
      </c>
      <c r="Q42" s="42" t="s">
        <v>35</v>
      </c>
      <c r="R42" s="42" t="s">
        <v>124</v>
      </c>
    </row>
    <row r="43" spans="3:26" ht="16" customHeight="1">
      <c r="C43" s="30" t="s">
        <v>38</v>
      </c>
      <c r="D43" s="26">
        <v>246</v>
      </c>
      <c r="E43" s="26">
        <v>2145</v>
      </c>
      <c r="F43" s="26">
        <v>248.99999999999997</v>
      </c>
      <c r="G43" s="34">
        <f>SUM(Tabla1[[#This Row],[Labour]:[Equipment]])</f>
        <v>2640</v>
      </c>
      <c r="H43" s="26"/>
      <c r="I43" s="31" t="s">
        <v>38</v>
      </c>
      <c r="J43" s="31">
        <v>150</v>
      </c>
      <c r="K43" s="31">
        <v>1500</v>
      </c>
      <c r="L43" s="31">
        <v>200</v>
      </c>
      <c r="M43" s="31">
        <f>SUM(Tabla2[[#This Row],[Labour]:[Equipment]])</f>
        <v>1850</v>
      </c>
      <c r="O43" s="36">
        <f>Tabla1[[#This Row],[Labour]]-Tabla2[[#This Row],[Labour]]</f>
        <v>96</v>
      </c>
      <c r="P43" s="36">
        <f>Tabla1[[#This Row],[Material]]-Tabla2[[#This Row],[Material]]</f>
        <v>645</v>
      </c>
      <c r="Q43" s="36">
        <f>Tabla1[[#This Row],[Equipment]]-Tabla2[[#This Row],[Equipment]]</f>
        <v>48.999999999999972</v>
      </c>
      <c r="R43" s="36">
        <f>Tabla1[[#This Row],[Subtotal 1]]-Tabla2[[#This Row],[Subtotal 2]]</f>
        <v>790</v>
      </c>
    </row>
    <row r="44" spans="3:26" ht="16" customHeight="1">
      <c r="C44" s="30" t="s">
        <v>40</v>
      </c>
      <c r="D44" s="26">
        <v>3116.25</v>
      </c>
      <c r="E44" s="26">
        <v>3706.25</v>
      </c>
      <c r="F44" s="26">
        <v>2365</v>
      </c>
      <c r="G44" s="34">
        <f>SUM(Tabla1[[#This Row],[Labour]:[Equipment]])</f>
        <v>9187.5</v>
      </c>
      <c r="H44" s="26"/>
      <c r="I44" s="31" t="s">
        <v>40</v>
      </c>
      <c r="J44" s="31">
        <v>2500</v>
      </c>
      <c r="K44" s="31">
        <v>4500</v>
      </c>
      <c r="L44" s="31">
        <v>2400</v>
      </c>
      <c r="M44" s="31">
        <f>SUM(Tabla2[[#This Row],[Labour]:[Equipment]])</f>
        <v>9400</v>
      </c>
      <c r="O44" s="112">
        <f>Tabla1[[#This Row],[Labour]]-Tabla2[[#This Row],[Labour]]</f>
        <v>616.25</v>
      </c>
      <c r="P44" s="112">
        <f>Tabla1[[#This Row],[Material]]-Tabla2[[#This Row],[Material]]</f>
        <v>-793.75</v>
      </c>
      <c r="Q44" s="112">
        <f>Tabla1[[#This Row],[Equipment]]-Tabla2[[#This Row],[Equipment]]</f>
        <v>-35</v>
      </c>
      <c r="R44" s="112">
        <f>Tabla1[[#This Row],[Subtotal 1]]-Tabla2[[#This Row],[Subtotal 2]]</f>
        <v>-212.5</v>
      </c>
    </row>
    <row r="45" spans="3:26" ht="16" customHeight="1">
      <c r="C45" s="30" t="s">
        <v>42</v>
      </c>
      <c r="D45" s="26">
        <v>424.5</v>
      </c>
      <c r="E45" s="26">
        <v>400</v>
      </c>
      <c r="F45" s="26">
        <v>938</v>
      </c>
      <c r="G45" s="34">
        <f>SUM(Tabla1[[#This Row],[Labour]:[Equipment]])</f>
        <v>1762.5</v>
      </c>
      <c r="H45" s="26"/>
      <c r="I45" s="31" t="s">
        <v>42</v>
      </c>
      <c r="J45" s="31">
        <v>400</v>
      </c>
      <c r="K45" s="31">
        <v>1000</v>
      </c>
      <c r="L45" s="31">
        <v>900</v>
      </c>
      <c r="M45" s="31">
        <f>SUM(Tabla2[[#This Row],[Labour]:[Equipment]])</f>
        <v>2300</v>
      </c>
      <c r="O45" s="112">
        <f>Tabla1[[#This Row],[Labour]]-Tabla2[[#This Row],[Labour]]</f>
        <v>24.5</v>
      </c>
      <c r="P45" s="112">
        <f>Tabla1[[#This Row],[Material]]-Tabla2[[#This Row],[Material]]</f>
        <v>-600</v>
      </c>
      <c r="Q45" s="112">
        <f>Tabla1[[#This Row],[Equipment]]-Tabla2[[#This Row],[Equipment]]</f>
        <v>38</v>
      </c>
      <c r="R45" s="112">
        <f>Tabla1[[#This Row],[Subtotal 1]]-Tabla2[[#This Row],[Subtotal 2]]</f>
        <v>-537.5</v>
      </c>
    </row>
    <row r="46" spans="3:26" ht="16" customHeight="1">
      <c r="C46" s="30" t="s">
        <v>44</v>
      </c>
      <c r="D46" s="26">
        <v>1875</v>
      </c>
      <c r="E46" s="26">
        <v>2781.25</v>
      </c>
      <c r="F46" s="26">
        <v>1906.25</v>
      </c>
      <c r="G46" s="34">
        <f>SUM(Tabla1[[#This Row],[Labour]:[Equipment]])</f>
        <v>6562.5</v>
      </c>
      <c r="H46" s="26"/>
      <c r="I46" s="31" t="s">
        <v>44</v>
      </c>
      <c r="J46" s="31">
        <v>2500</v>
      </c>
      <c r="K46" s="31">
        <v>3500</v>
      </c>
      <c r="L46" s="31">
        <v>2300</v>
      </c>
      <c r="M46" s="31">
        <f>SUM(Tabla2[[#This Row],[Labour]:[Equipment]])</f>
        <v>8300</v>
      </c>
      <c r="O46" s="77">
        <f>Tabla1[[#This Row],[Labour]]-Tabla2[[#This Row],[Labour]]</f>
        <v>-625</v>
      </c>
      <c r="P46" s="77">
        <f>Tabla1[[#This Row],[Material]]-Tabla2[[#This Row],[Material]]</f>
        <v>-718.75</v>
      </c>
      <c r="Q46" s="77">
        <f>Tabla1[[#This Row],[Equipment]]-Tabla2[[#This Row],[Equipment]]</f>
        <v>-393.75</v>
      </c>
      <c r="R46" s="77">
        <f>Tabla1[[#This Row],[Subtotal 1]]-Tabla2[[#This Row],[Subtotal 2]]</f>
        <v>-1737.5</v>
      </c>
    </row>
    <row r="47" spans="3:26">
      <c r="D47" s="35">
        <f>SUM(Tabla1[Labour])</f>
        <v>5661.75</v>
      </c>
      <c r="E47" s="35">
        <f>SUM(Tabla1[Material])</f>
        <v>9032.5</v>
      </c>
      <c r="F47" s="35">
        <f>SUM(Tabla1[Equipment])</f>
        <v>5458.25</v>
      </c>
      <c r="G47" s="35">
        <f>SUM(G43:G46)</f>
        <v>20152.5</v>
      </c>
      <c r="H47" s="26"/>
      <c r="I47" s="32"/>
      <c r="J47" s="35">
        <f>SUM(Tabla2[Labour])</f>
        <v>5550</v>
      </c>
      <c r="K47" s="35">
        <f>SUM(Tabla2[Material])</f>
        <v>10500</v>
      </c>
      <c r="L47" s="35">
        <f>SUM(Tabla2[Equipment])</f>
        <v>5800</v>
      </c>
      <c r="M47" s="35">
        <f>SUM(Tabla2[Subtotal 2])</f>
        <v>21850</v>
      </c>
      <c r="O47" s="35">
        <f>SUM(O43:O46)</f>
        <v>111.75</v>
      </c>
      <c r="P47" s="35">
        <f>SUM(P43:P46)</f>
        <v>-1467.5</v>
      </c>
      <c r="Q47" s="35">
        <f>SUM(Q43:Q46)</f>
        <v>-341.75</v>
      </c>
      <c r="R47" s="35">
        <f>SUM(R43:R46)</f>
        <v>-1697.5</v>
      </c>
    </row>
    <row r="50" spans="3:12">
      <c r="G50"/>
      <c r="H50"/>
      <c r="I50"/>
      <c r="J50"/>
      <c r="K50"/>
      <c r="L50"/>
    </row>
    <row r="51" spans="3:12" ht="29.5" customHeight="1">
      <c r="C51" s="113" t="s">
        <v>110</v>
      </c>
      <c r="D51" s="114" t="s">
        <v>129</v>
      </c>
      <c r="E51" s="115" t="s">
        <v>130</v>
      </c>
      <c r="F51" s="115" t="s">
        <v>131</v>
      </c>
      <c r="G51"/>
      <c r="H51"/>
      <c r="I51"/>
      <c r="J51"/>
      <c r="K51"/>
      <c r="L51"/>
    </row>
    <row r="52" spans="3:12" ht="30" customHeight="1">
      <c r="C52" s="59" t="s">
        <v>38</v>
      </c>
      <c r="D52" s="60" t="s">
        <v>39</v>
      </c>
      <c r="E52" s="61" t="s">
        <v>132</v>
      </c>
      <c r="F52" s="61" t="s">
        <v>133</v>
      </c>
      <c r="G52"/>
      <c r="H52"/>
      <c r="I52"/>
      <c r="J52"/>
      <c r="K52"/>
      <c r="L52"/>
    </row>
    <row r="53" spans="3:12" ht="30" customHeight="1">
      <c r="C53" s="59" t="s">
        <v>40</v>
      </c>
      <c r="D53" s="60" t="s">
        <v>41</v>
      </c>
      <c r="E53" s="61" t="s">
        <v>134</v>
      </c>
      <c r="F53" s="61" t="s">
        <v>135</v>
      </c>
      <c r="G53"/>
      <c r="H53"/>
      <c r="I53"/>
      <c r="J53"/>
      <c r="K53"/>
      <c r="L53"/>
    </row>
    <row r="54" spans="3:12" ht="30" customHeight="1">
      <c r="C54" s="59" t="s">
        <v>42</v>
      </c>
      <c r="D54" s="60" t="s">
        <v>43</v>
      </c>
      <c r="E54" s="61" t="s">
        <v>136</v>
      </c>
      <c r="F54" s="61" t="s">
        <v>137</v>
      </c>
      <c r="G54"/>
      <c r="H54"/>
      <c r="I54"/>
      <c r="J54"/>
      <c r="K54"/>
      <c r="L54"/>
    </row>
    <row r="55" spans="3:12" ht="30" customHeight="1">
      <c r="C55" s="59" t="s">
        <v>44</v>
      </c>
      <c r="D55" s="60" t="s">
        <v>45</v>
      </c>
      <c r="E55" s="61" t="s">
        <v>138</v>
      </c>
      <c r="F55" s="61" t="s">
        <v>139</v>
      </c>
      <c r="G55"/>
      <c r="H55"/>
      <c r="I55"/>
      <c r="J55"/>
      <c r="K55"/>
      <c r="L55"/>
    </row>
    <row r="56" spans="3:12">
      <c r="G56"/>
      <c r="H56"/>
      <c r="I56"/>
      <c r="J56"/>
      <c r="K56"/>
      <c r="L56"/>
    </row>
  </sheetData>
  <mergeCells count="3">
    <mergeCell ref="O41:R41"/>
    <mergeCell ref="J41:M41"/>
    <mergeCell ref="D41:G41"/>
  </mergeCells>
  <phoneticPr fontId="2" type="noConversion"/>
  <conditionalFormatting sqref="R43:R46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Y25:Y37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1200" verticalDpi="1200" r:id="rId3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3117-B66C-471F-AFEC-B86DA0EAE810}">
  <dimension ref="B3:E21"/>
  <sheetViews>
    <sheetView showGridLines="0" zoomScale="115" zoomScaleNormal="115" workbookViewId="0">
      <selection activeCell="C4" sqref="C4:E4"/>
    </sheetView>
  </sheetViews>
  <sheetFormatPr defaultColWidth="10.81640625" defaultRowHeight="14.5"/>
  <cols>
    <col min="1" max="1" width="3.453125" customWidth="1"/>
    <col min="2" max="5" width="11.54296875" style="2"/>
  </cols>
  <sheetData>
    <row r="3" spans="2:5">
      <c r="B3" s="37" t="s">
        <v>140</v>
      </c>
      <c r="C3" s="148">
        <f>+(C4+C5)*1.1</f>
        <v>25850.000000000004</v>
      </c>
      <c r="D3" s="148"/>
      <c r="E3" s="148"/>
    </row>
    <row r="4" spans="2:5">
      <c r="B4" s="38" t="s">
        <v>141</v>
      </c>
      <c r="C4" s="149">
        <v>20000</v>
      </c>
      <c r="D4" s="150">
        <v>111730.65</v>
      </c>
      <c r="E4" s="151"/>
    </row>
    <row r="5" spans="2:5">
      <c r="B5" s="38" t="s">
        <v>142</v>
      </c>
      <c r="C5" s="152">
        <v>3500</v>
      </c>
      <c r="D5" s="153">
        <v>5000</v>
      </c>
      <c r="E5" s="154"/>
    </row>
    <row r="7" spans="2:5">
      <c r="B7" s="37" t="s">
        <v>51</v>
      </c>
      <c r="C7" s="116" t="s">
        <v>143</v>
      </c>
      <c r="D7" s="117" t="s">
        <v>144</v>
      </c>
      <c r="E7" s="117" t="s">
        <v>145</v>
      </c>
    </row>
    <row r="8" spans="2:5">
      <c r="B8" s="39" t="s">
        <v>33</v>
      </c>
      <c r="C8" s="40">
        <f>'Estructura de Control'!D47</f>
        <v>5661.75</v>
      </c>
      <c r="D8" s="40">
        <f>'Estructura de Control'!J47</f>
        <v>5550</v>
      </c>
      <c r="E8" s="40">
        <f>+C8-D8</f>
        <v>111.75</v>
      </c>
    </row>
    <row r="9" spans="2:5">
      <c r="B9" s="39" t="s">
        <v>34</v>
      </c>
      <c r="C9" s="40">
        <f>'Estructura de Control'!E47</f>
        <v>9032.5</v>
      </c>
      <c r="D9" s="40">
        <f>'Estructura de Control'!K47</f>
        <v>10500</v>
      </c>
      <c r="E9" s="40">
        <f t="shared" ref="E9:E10" si="0">+C9-D9</f>
        <v>-1467.5</v>
      </c>
    </row>
    <row r="10" spans="2:5">
      <c r="B10" s="39" t="s">
        <v>35</v>
      </c>
      <c r="C10" s="40">
        <f>'Estructura de Control'!F47</f>
        <v>5458.25</v>
      </c>
      <c r="D10" s="40">
        <f>'Estructura de Control'!L47</f>
        <v>5800</v>
      </c>
      <c r="E10" s="40">
        <f t="shared" si="0"/>
        <v>-341.75</v>
      </c>
    </row>
    <row r="11" spans="2:5">
      <c r="B11" s="41"/>
      <c r="C11" s="40"/>
      <c r="D11" s="40"/>
      <c r="E11" s="40"/>
    </row>
    <row r="12" spans="2:5">
      <c r="B12" s="41" t="s">
        <v>146</v>
      </c>
      <c r="C12" s="40">
        <f>0.1*SUM(C8:C11)</f>
        <v>2015.25</v>
      </c>
      <c r="D12" s="40">
        <f>0.1*SUM(D8:D11)</f>
        <v>2185</v>
      </c>
      <c r="E12" s="40">
        <f t="shared" ref="E12" si="1">0.1*SUM(E8:E11)</f>
        <v>-169.75</v>
      </c>
    </row>
    <row r="13" spans="2:5">
      <c r="B13" s="118" t="s">
        <v>147</v>
      </c>
      <c r="C13" s="119">
        <f>SUM(C8:C12)</f>
        <v>22167.75</v>
      </c>
      <c r="D13" s="119">
        <f t="shared" ref="D13:E13" si="2">SUM(D8:D12)</f>
        <v>24035</v>
      </c>
      <c r="E13" s="120">
        <f t="shared" si="2"/>
        <v>-1867.25</v>
      </c>
    </row>
    <row r="15" spans="2:5">
      <c r="C15" s="121" t="s">
        <v>121</v>
      </c>
      <c r="D15" s="122">
        <f>+$C3-D13</f>
        <v>1815.0000000000036</v>
      </c>
    </row>
    <row r="17" spans="3:4">
      <c r="C17" s="121" t="s">
        <v>121</v>
      </c>
      <c r="D17" s="123">
        <f>+D15/C3</f>
        <v>7.0212765957446938E-2</v>
      </c>
    </row>
    <row r="19" spans="3:4">
      <c r="C19" s="121" t="s">
        <v>148</v>
      </c>
      <c r="D19" s="124">
        <f>C3</f>
        <v>25850.000000000004</v>
      </c>
    </row>
    <row r="20" spans="3:4">
      <c r="C20" s="121" t="s">
        <v>119</v>
      </c>
      <c r="D20" s="124">
        <f>D13</f>
        <v>24035</v>
      </c>
    </row>
    <row r="21" spans="3:4">
      <c r="C21" s="121" t="s">
        <v>149</v>
      </c>
      <c r="D21" s="125">
        <f>D19/D20</f>
        <v>1.0755148741418765</v>
      </c>
    </row>
  </sheetData>
  <mergeCells count="3">
    <mergeCell ref="C3:E3"/>
    <mergeCell ref="C4:E4"/>
    <mergeCell ref="C5:E5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702B-9AC1-4273-B341-F5543F7EB009}">
  <dimension ref="A3:B9"/>
  <sheetViews>
    <sheetView workbookViewId="0">
      <selection activeCell="E16" sqref="E16"/>
    </sheetView>
  </sheetViews>
  <sheetFormatPr defaultColWidth="10.81640625" defaultRowHeight="14.5"/>
  <cols>
    <col min="1" max="1" width="11.81640625" bestFit="1" customWidth="1"/>
    <col min="2" max="3" width="12.453125" bestFit="1" customWidth="1"/>
    <col min="4" max="5" width="13.453125" bestFit="1" customWidth="1"/>
    <col min="6" max="6" width="10.54296875" bestFit="1" customWidth="1"/>
    <col min="7" max="7" width="11.81640625" bestFit="1" customWidth="1"/>
  </cols>
  <sheetData>
    <row r="3" spans="1:2">
      <c r="A3" s="16" t="s">
        <v>36</v>
      </c>
      <c r="B3" t="s">
        <v>150</v>
      </c>
    </row>
    <row r="4" spans="1:2">
      <c r="A4" t="s">
        <v>38</v>
      </c>
      <c r="B4">
        <v>3480</v>
      </c>
    </row>
    <row r="5" spans="1:2">
      <c r="A5" t="s">
        <v>40</v>
      </c>
      <c r="B5">
        <v>36750</v>
      </c>
    </row>
    <row r="6" spans="1:2">
      <c r="A6" t="s">
        <v>42</v>
      </c>
      <c r="B6">
        <v>6550</v>
      </c>
    </row>
    <row r="7" spans="1:2">
      <c r="A7" t="s">
        <v>44</v>
      </c>
      <c r="B7">
        <v>26250</v>
      </c>
    </row>
    <row r="8" spans="1:2">
      <c r="A8" t="s">
        <v>151</v>
      </c>
    </row>
    <row r="9" spans="1:2">
      <c r="A9" t="s">
        <v>114</v>
      </c>
      <c r="B9">
        <v>73030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BD16-AFF7-4105-83BB-1DC6B1AD48AA}">
  <dimension ref="A1:H20"/>
  <sheetViews>
    <sheetView workbookViewId="0"/>
  </sheetViews>
  <sheetFormatPr defaultRowHeight="14.5"/>
  <cols>
    <col min="1" max="1" width="12.453125" style="2" customWidth="1"/>
    <col min="2" max="2" width="7.54296875" style="2" customWidth="1"/>
    <col min="3" max="3" width="8.81640625" style="2" customWidth="1"/>
    <col min="4" max="5" width="9.54296875" style="140" customWidth="1"/>
    <col min="6" max="6" width="12.1796875" style="2" customWidth="1"/>
    <col min="7" max="7" width="17.453125" style="2" customWidth="1"/>
    <col min="8" max="8" width="13" style="2" customWidth="1"/>
  </cols>
  <sheetData>
    <row r="1" spans="1:8" s="137" customFormat="1" ht="23.5" customHeight="1">
      <c r="A1" s="138" t="s">
        <v>152</v>
      </c>
      <c r="B1" s="138" t="s">
        <v>153</v>
      </c>
      <c r="C1" s="138" t="s">
        <v>91</v>
      </c>
      <c r="D1" s="138" t="s">
        <v>92</v>
      </c>
      <c r="E1" s="138" t="s">
        <v>93</v>
      </c>
      <c r="F1" s="138" t="s">
        <v>154</v>
      </c>
      <c r="G1" s="138" t="s">
        <v>155</v>
      </c>
      <c r="H1" s="138" t="s">
        <v>156</v>
      </c>
    </row>
    <row r="2" spans="1:8">
      <c r="A2" s="2" t="s">
        <v>157</v>
      </c>
      <c r="D2" s="139">
        <v>46148</v>
      </c>
      <c r="E2" s="139">
        <v>46280</v>
      </c>
      <c r="G2" s="2">
        <v>95</v>
      </c>
    </row>
    <row r="3" spans="1:8">
      <c r="A3" s="2" t="s">
        <v>158</v>
      </c>
      <c r="D3" s="139">
        <v>46148</v>
      </c>
      <c r="E3" s="139">
        <v>46182</v>
      </c>
      <c r="G3" s="2">
        <v>25</v>
      </c>
    </row>
    <row r="4" spans="1:8">
      <c r="A4" s="2" t="s">
        <v>159</v>
      </c>
      <c r="B4" s="2" t="s">
        <v>160</v>
      </c>
      <c r="C4" s="2" t="s">
        <v>55</v>
      </c>
      <c r="D4" s="139">
        <v>46148</v>
      </c>
      <c r="E4" s="139">
        <v>46168</v>
      </c>
      <c r="F4" s="2" t="s">
        <v>39</v>
      </c>
      <c r="G4" s="2">
        <v>15</v>
      </c>
      <c r="H4" s="7">
        <v>80000</v>
      </c>
    </row>
    <row r="5" spans="1:8">
      <c r="A5" s="2" t="s">
        <v>159</v>
      </c>
      <c r="B5" s="2" t="s">
        <v>161</v>
      </c>
      <c r="C5" s="2" t="s">
        <v>57</v>
      </c>
      <c r="D5" s="139">
        <v>46169</v>
      </c>
      <c r="E5" s="139">
        <v>46182</v>
      </c>
      <c r="F5" s="2" t="s">
        <v>39</v>
      </c>
      <c r="G5" s="2">
        <v>10</v>
      </c>
      <c r="H5" s="7">
        <v>50000</v>
      </c>
    </row>
    <row r="6" spans="1:8">
      <c r="A6" s="2" t="s">
        <v>159</v>
      </c>
      <c r="B6" s="2" t="s">
        <v>162</v>
      </c>
      <c r="C6" s="2" t="s">
        <v>59</v>
      </c>
      <c r="D6" s="139">
        <v>46169</v>
      </c>
      <c r="E6" s="139">
        <v>46182</v>
      </c>
      <c r="F6" s="2" t="s">
        <v>39</v>
      </c>
      <c r="G6" s="2">
        <v>10</v>
      </c>
      <c r="H6" s="7">
        <v>50000</v>
      </c>
    </row>
    <row r="7" spans="1:8">
      <c r="A7" s="2" t="s">
        <v>163</v>
      </c>
      <c r="D7" s="139">
        <v>46183</v>
      </c>
      <c r="E7" s="139">
        <v>46210</v>
      </c>
      <c r="G7" s="2">
        <v>20</v>
      </c>
      <c r="H7" s="7"/>
    </row>
    <row r="8" spans="1:8">
      <c r="A8" s="2" t="s">
        <v>164</v>
      </c>
      <c r="B8" s="2" t="s">
        <v>165</v>
      </c>
      <c r="C8" s="2" t="s">
        <v>63</v>
      </c>
      <c r="D8" s="139">
        <v>46183</v>
      </c>
      <c r="E8" s="139">
        <v>46196</v>
      </c>
      <c r="F8" s="2" t="s">
        <v>39</v>
      </c>
      <c r="G8" s="2">
        <v>10</v>
      </c>
      <c r="H8" s="7">
        <v>33600</v>
      </c>
    </row>
    <row r="9" spans="1:8">
      <c r="A9" s="2" t="s">
        <v>164</v>
      </c>
      <c r="B9" s="2" t="s">
        <v>166</v>
      </c>
      <c r="C9" s="2" t="s">
        <v>65</v>
      </c>
      <c r="D9" s="139">
        <v>46197</v>
      </c>
      <c r="E9" s="139">
        <v>46210</v>
      </c>
      <c r="F9" s="2" t="s">
        <v>39</v>
      </c>
      <c r="G9" s="2">
        <v>10</v>
      </c>
      <c r="H9" s="7">
        <v>84000</v>
      </c>
    </row>
    <row r="10" spans="1:8">
      <c r="A10" s="2" t="s">
        <v>167</v>
      </c>
      <c r="D10" s="139">
        <v>46211</v>
      </c>
      <c r="E10" s="139">
        <v>46280</v>
      </c>
      <c r="G10" s="2">
        <v>50</v>
      </c>
      <c r="H10" s="7"/>
    </row>
    <row r="11" spans="1:8">
      <c r="A11" s="2" t="s">
        <v>168</v>
      </c>
      <c r="B11" s="2" t="s">
        <v>169</v>
      </c>
      <c r="C11" s="2" t="s">
        <v>69</v>
      </c>
      <c r="D11" s="139">
        <v>46211</v>
      </c>
      <c r="E11" s="139">
        <v>46231</v>
      </c>
      <c r="F11" s="2" t="s">
        <v>41</v>
      </c>
      <c r="G11" s="2">
        <v>15</v>
      </c>
      <c r="H11" s="7">
        <v>168000</v>
      </c>
    </row>
    <row r="12" spans="1:8">
      <c r="A12" s="2" t="s">
        <v>168</v>
      </c>
      <c r="B12" s="2" t="s">
        <v>170</v>
      </c>
      <c r="C12" s="2" t="s">
        <v>71</v>
      </c>
      <c r="D12" s="139">
        <v>46260</v>
      </c>
      <c r="E12" s="139">
        <v>46273</v>
      </c>
      <c r="F12" s="2" t="s">
        <v>41</v>
      </c>
      <c r="G12" s="2">
        <v>10</v>
      </c>
      <c r="H12" s="7">
        <v>280000</v>
      </c>
    </row>
    <row r="13" spans="1:8">
      <c r="A13" s="2" t="s">
        <v>168</v>
      </c>
      <c r="B13" s="2" t="s">
        <v>171</v>
      </c>
      <c r="C13" s="2" t="s">
        <v>73</v>
      </c>
      <c r="D13" s="139">
        <v>46260</v>
      </c>
      <c r="E13" s="139">
        <v>46280</v>
      </c>
      <c r="F13" s="2" t="s">
        <v>41</v>
      </c>
      <c r="G13" s="2">
        <v>15</v>
      </c>
      <c r="H13" s="7">
        <v>52500</v>
      </c>
    </row>
    <row r="14" spans="1:8">
      <c r="A14" s="2" t="s">
        <v>172</v>
      </c>
      <c r="D14" s="139">
        <v>46232</v>
      </c>
      <c r="E14" s="139">
        <v>46259</v>
      </c>
      <c r="G14" s="2">
        <v>20</v>
      </c>
      <c r="H14" s="7"/>
    </row>
    <row r="15" spans="1:8">
      <c r="A15" s="2" t="s">
        <v>173</v>
      </c>
      <c r="D15" s="139">
        <v>46232</v>
      </c>
      <c r="E15" s="139">
        <v>46238</v>
      </c>
      <c r="G15" s="2">
        <v>5</v>
      </c>
      <c r="H15" s="7"/>
    </row>
    <row r="16" spans="1:8">
      <c r="A16" s="2" t="s">
        <v>174</v>
      </c>
      <c r="B16" s="2" t="s">
        <v>175</v>
      </c>
      <c r="C16" s="2" t="s">
        <v>79</v>
      </c>
      <c r="D16" s="139">
        <v>46232</v>
      </c>
      <c r="E16" s="139">
        <v>46238</v>
      </c>
      <c r="F16" s="2" t="s">
        <v>43</v>
      </c>
      <c r="G16" s="2">
        <v>5</v>
      </c>
      <c r="H16" s="7">
        <v>5000</v>
      </c>
    </row>
    <row r="17" spans="1:8">
      <c r="A17" s="2" t="s">
        <v>176</v>
      </c>
      <c r="D17" s="139">
        <v>46239</v>
      </c>
      <c r="E17" s="139">
        <v>46259</v>
      </c>
      <c r="G17" s="2">
        <v>15</v>
      </c>
      <c r="H17" s="7"/>
    </row>
    <row r="18" spans="1:8">
      <c r="A18" s="2" t="s">
        <v>177</v>
      </c>
      <c r="B18" s="2" t="s">
        <v>178</v>
      </c>
      <c r="C18" s="2" t="s">
        <v>82</v>
      </c>
      <c r="D18" s="139">
        <v>46239</v>
      </c>
      <c r="E18" s="139">
        <v>46252</v>
      </c>
      <c r="F18" s="2" t="s">
        <v>45</v>
      </c>
      <c r="G18" s="2">
        <v>10</v>
      </c>
      <c r="H18" s="7">
        <v>225000</v>
      </c>
    </row>
    <row r="19" spans="1:8">
      <c r="A19" s="2" t="s">
        <v>177</v>
      </c>
      <c r="B19" s="2" t="s">
        <v>179</v>
      </c>
      <c r="C19" s="2" t="s">
        <v>84</v>
      </c>
      <c r="D19" s="139">
        <v>46239</v>
      </c>
      <c r="E19" s="139">
        <v>46245</v>
      </c>
      <c r="F19" s="2" t="s">
        <v>45</v>
      </c>
      <c r="G19" s="2">
        <v>5</v>
      </c>
      <c r="H19" s="7">
        <v>37500</v>
      </c>
    </row>
    <row r="20" spans="1:8">
      <c r="A20" s="2" t="s">
        <v>177</v>
      </c>
      <c r="B20" s="2" t="s">
        <v>180</v>
      </c>
      <c r="C20" s="2" t="s">
        <v>86</v>
      </c>
      <c r="D20" s="139">
        <v>46253</v>
      </c>
      <c r="E20" s="139">
        <v>46259</v>
      </c>
      <c r="F20" s="2" t="s">
        <v>43</v>
      </c>
      <c r="G20" s="2">
        <v>5</v>
      </c>
      <c r="H20" s="12">
        <v>60500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3B41-ACC2-443B-A0F7-FBB52FF51B59}">
  <dimension ref="A1:M17"/>
  <sheetViews>
    <sheetView zoomScale="70" zoomScaleNormal="70" workbookViewId="0">
      <selection activeCell="L20" sqref="L20"/>
    </sheetView>
  </sheetViews>
  <sheetFormatPr defaultRowHeight="14.5" outlineLevelRow="1" outlineLevelCol="1"/>
  <cols>
    <col min="1" max="1" width="14.26953125" bestFit="1" customWidth="1"/>
    <col min="2" max="2" width="12.453125" customWidth="1" outlineLevel="1"/>
    <col min="3" max="4" width="9.26953125" customWidth="1" outlineLevel="1"/>
    <col min="5" max="5" width="11.26953125" customWidth="1" outlineLevel="1"/>
    <col min="6" max="7" width="12.453125" customWidth="1" outlineLevel="1"/>
    <col min="8" max="8" width="8.7265625" customWidth="1" outlineLevel="1"/>
    <col min="9" max="9" width="9.1796875" style="96" customWidth="1" outlineLevel="1"/>
    <col min="10" max="10" width="17.7265625" style="96" bestFit="1" customWidth="1"/>
    <col min="11" max="12" width="10.453125" style="96" customWidth="1"/>
    <col min="13" max="13" width="11.81640625" style="96" bestFit="1" customWidth="1"/>
  </cols>
  <sheetData>
    <row r="1" spans="1:13" s="104" customFormat="1">
      <c r="A1" s="101" t="s">
        <v>37</v>
      </c>
      <c r="B1" s="101" t="s">
        <v>47</v>
      </c>
      <c r="C1" s="101" t="s">
        <v>181</v>
      </c>
      <c r="D1" s="101" t="s">
        <v>182</v>
      </c>
      <c r="E1" s="101" t="s">
        <v>156</v>
      </c>
      <c r="F1" s="101" t="s">
        <v>183</v>
      </c>
      <c r="G1" s="101" t="s">
        <v>184</v>
      </c>
      <c r="H1" s="102" t="s">
        <v>185</v>
      </c>
      <c r="I1" s="103" t="s">
        <v>106</v>
      </c>
      <c r="J1" s="103" t="s">
        <v>186</v>
      </c>
      <c r="K1" s="103" t="s">
        <v>119</v>
      </c>
      <c r="L1" s="103" t="s">
        <v>187</v>
      </c>
      <c r="M1" s="103" t="s">
        <v>188</v>
      </c>
    </row>
    <row r="2" spans="1:13" s="92" customFormat="1">
      <c r="A2" s="97" t="s">
        <v>39</v>
      </c>
      <c r="B2" s="97"/>
      <c r="C2" s="97"/>
      <c r="D2" s="97"/>
      <c r="E2" s="97"/>
      <c r="F2" s="97"/>
      <c r="G2" s="97"/>
      <c r="H2" s="97"/>
      <c r="I2" s="98"/>
      <c r="J2" s="98">
        <f>+SUM(I3:I7)</f>
        <v>118000</v>
      </c>
      <c r="K2" s="98">
        <f>+J2*1.08</f>
        <v>127440.00000000001</v>
      </c>
      <c r="L2" s="98">
        <f>+M2-K2</f>
        <v>179088</v>
      </c>
      <c r="M2" s="98">
        <f>SUM(E3:E7)*1.03</f>
        <v>306528</v>
      </c>
    </row>
    <row r="3" spans="1:13" outlineLevel="1">
      <c r="A3" s="90" t="s">
        <v>39</v>
      </c>
      <c r="B3" t="s">
        <v>55</v>
      </c>
      <c r="C3" t="s">
        <v>105</v>
      </c>
      <c r="D3" s="91">
        <v>1</v>
      </c>
      <c r="E3" s="99">
        <v>80000</v>
      </c>
      <c r="F3" s="89">
        <v>46148</v>
      </c>
      <c r="G3" s="89">
        <v>46168</v>
      </c>
      <c r="H3" s="91">
        <v>1</v>
      </c>
      <c r="I3" s="96">
        <f>+H3*E3</f>
        <v>80000</v>
      </c>
    </row>
    <row r="4" spans="1:13" outlineLevel="1">
      <c r="A4" s="90" t="s">
        <v>39</v>
      </c>
      <c r="B4" t="s">
        <v>57</v>
      </c>
      <c r="C4" t="s">
        <v>105</v>
      </c>
      <c r="D4" s="91">
        <v>1</v>
      </c>
      <c r="E4" s="99">
        <v>50000</v>
      </c>
      <c r="F4" s="89">
        <v>46169</v>
      </c>
      <c r="G4" s="89">
        <v>46182</v>
      </c>
      <c r="H4" s="91">
        <v>0.38</v>
      </c>
      <c r="I4" s="96">
        <f t="shared" ref="I4:I5" si="0">+H4*E4</f>
        <v>19000</v>
      </c>
    </row>
    <row r="5" spans="1:13" outlineLevel="1">
      <c r="A5" s="90" t="s">
        <v>39</v>
      </c>
      <c r="B5" t="s">
        <v>59</v>
      </c>
      <c r="C5" t="s">
        <v>105</v>
      </c>
      <c r="D5" s="91">
        <v>1</v>
      </c>
      <c r="E5" s="99">
        <v>50000</v>
      </c>
      <c r="F5" s="89">
        <v>46169</v>
      </c>
      <c r="G5" s="89">
        <v>46182</v>
      </c>
      <c r="H5" s="91">
        <v>0.38</v>
      </c>
      <c r="I5" s="96">
        <f t="shared" si="0"/>
        <v>19000</v>
      </c>
    </row>
    <row r="6" spans="1:13" outlineLevel="1">
      <c r="A6" s="90" t="s">
        <v>39</v>
      </c>
      <c r="B6" t="s">
        <v>63</v>
      </c>
      <c r="C6" t="s">
        <v>189</v>
      </c>
      <c r="D6">
        <v>2400</v>
      </c>
      <c r="E6" s="99">
        <v>33600</v>
      </c>
      <c r="F6" s="89">
        <v>46183</v>
      </c>
      <c r="G6" s="89">
        <v>46196</v>
      </c>
      <c r="H6" s="91"/>
    </row>
    <row r="7" spans="1:13" outlineLevel="1">
      <c r="A7" s="90" t="s">
        <v>39</v>
      </c>
      <c r="B7" t="s">
        <v>65</v>
      </c>
      <c r="C7" t="s">
        <v>189</v>
      </c>
      <c r="D7">
        <v>6000</v>
      </c>
      <c r="E7" s="99">
        <v>84000</v>
      </c>
      <c r="F7" s="89">
        <v>46197</v>
      </c>
      <c r="G7" s="89">
        <v>46210</v>
      </c>
    </row>
    <row r="8" spans="1:13">
      <c r="A8" s="97" t="s">
        <v>41</v>
      </c>
      <c r="B8" s="97"/>
      <c r="C8" s="97"/>
      <c r="D8" s="97"/>
      <c r="E8" s="100"/>
      <c r="F8" s="97"/>
      <c r="G8" s="97"/>
      <c r="H8" s="97"/>
      <c r="I8" s="98"/>
      <c r="J8" s="98">
        <v>0</v>
      </c>
      <c r="K8" s="98">
        <v>0</v>
      </c>
      <c r="L8" s="98">
        <f>+M8-K8</f>
        <v>520520</v>
      </c>
      <c r="M8" s="98">
        <f>+SUM(E9:E11)*1.04</f>
        <v>520520</v>
      </c>
    </row>
    <row r="9" spans="1:13" outlineLevel="1">
      <c r="A9" s="90" t="s">
        <v>41</v>
      </c>
      <c r="B9" t="s">
        <v>69</v>
      </c>
      <c r="C9" t="s">
        <v>190</v>
      </c>
      <c r="D9">
        <v>14000</v>
      </c>
      <c r="E9" s="99">
        <v>168000</v>
      </c>
      <c r="F9" s="89">
        <v>46211</v>
      </c>
      <c r="G9" s="89">
        <v>46231</v>
      </c>
    </row>
    <row r="10" spans="1:13" outlineLevel="1">
      <c r="A10" s="90" t="s">
        <v>41</v>
      </c>
      <c r="B10" t="s">
        <v>71</v>
      </c>
      <c r="C10" t="s">
        <v>190</v>
      </c>
      <c r="D10">
        <v>8000</v>
      </c>
      <c r="E10" s="99">
        <v>280000</v>
      </c>
      <c r="F10" s="89">
        <v>46260</v>
      </c>
      <c r="G10" s="89">
        <v>46273</v>
      </c>
    </row>
    <row r="11" spans="1:13" outlineLevel="1">
      <c r="A11" s="90" t="s">
        <v>41</v>
      </c>
      <c r="B11" t="s">
        <v>73</v>
      </c>
      <c r="C11" t="s">
        <v>190</v>
      </c>
      <c r="D11">
        <v>750</v>
      </c>
      <c r="E11" s="99">
        <v>52500</v>
      </c>
      <c r="F11" s="89">
        <v>46260</v>
      </c>
      <c r="G11" s="89">
        <v>46280</v>
      </c>
    </row>
    <row r="12" spans="1:13">
      <c r="A12" s="97" t="s">
        <v>43</v>
      </c>
      <c r="B12" s="97"/>
      <c r="C12" s="97"/>
      <c r="D12" s="97"/>
      <c r="E12" s="100"/>
      <c r="F12" s="97"/>
      <c r="G12" s="97"/>
      <c r="H12" s="97"/>
      <c r="I12" s="98"/>
      <c r="J12" s="98">
        <v>0</v>
      </c>
      <c r="K12" s="98">
        <v>0</v>
      </c>
      <c r="L12" s="98">
        <f>+M12-K12</f>
        <v>70100</v>
      </c>
      <c r="M12" s="98">
        <v>70100</v>
      </c>
    </row>
    <row r="13" spans="1:13" outlineLevel="1">
      <c r="A13" s="90" t="s">
        <v>43</v>
      </c>
      <c r="B13" t="s">
        <v>86</v>
      </c>
      <c r="C13" t="s">
        <v>190</v>
      </c>
      <c r="D13">
        <v>1100</v>
      </c>
      <c r="E13" s="99">
        <v>60500</v>
      </c>
      <c r="F13" s="89">
        <v>46253</v>
      </c>
      <c r="G13" s="89">
        <v>46259</v>
      </c>
    </row>
    <row r="14" spans="1:13" outlineLevel="1">
      <c r="A14" s="90" t="s">
        <v>43</v>
      </c>
      <c r="B14" t="s">
        <v>79</v>
      </c>
      <c r="C14" t="s">
        <v>189</v>
      </c>
      <c r="D14">
        <v>200</v>
      </c>
      <c r="E14" s="99">
        <v>5000</v>
      </c>
      <c r="F14" s="89">
        <v>46232</v>
      </c>
      <c r="G14" s="89">
        <v>46238</v>
      </c>
    </row>
    <row r="15" spans="1:13">
      <c r="A15" s="97" t="s">
        <v>45</v>
      </c>
      <c r="B15" s="97"/>
      <c r="C15" s="97"/>
      <c r="D15" s="97"/>
      <c r="E15" s="100"/>
      <c r="F15" s="97"/>
      <c r="G15" s="97"/>
      <c r="H15" s="97"/>
      <c r="I15" s="98"/>
      <c r="J15" s="98">
        <v>0</v>
      </c>
      <c r="K15" s="98">
        <v>0</v>
      </c>
      <c r="L15" s="98">
        <f>+M15-K15</f>
        <v>273000</v>
      </c>
      <c r="M15" s="98">
        <f>+SUM(E16:E18)*1.04</f>
        <v>273000</v>
      </c>
    </row>
    <row r="16" spans="1:13" outlineLevel="1">
      <c r="A16" s="90" t="s">
        <v>45</v>
      </c>
      <c r="B16" t="s">
        <v>82</v>
      </c>
      <c r="C16" t="s">
        <v>189</v>
      </c>
      <c r="D16">
        <v>5000</v>
      </c>
      <c r="E16" s="99">
        <v>225000</v>
      </c>
      <c r="F16" s="89">
        <v>46239</v>
      </c>
      <c r="G16" s="89">
        <v>46252</v>
      </c>
    </row>
    <row r="17" spans="1:7" outlineLevel="1">
      <c r="A17" s="90" t="s">
        <v>45</v>
      </c>
      <c r="B17" t="s">
        <v>84</v>
      </c>
      <c r="C17" t="s">
        <v>190</v>
      </c>
      <c r="D17">
        <v>750</v>
      </c>
      <c r="E17" s="99">
        <v>37500</v>
      </c>
      <c r="F17" s="89">
        <v>46239</v>
      </c>
      <c r="G17" s="89">
        <v>46245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11E9-2EE6-4D90-8DC3-51C4F3EE1CBB}">
  <dimension ref="A1:M17"/>
  <sheetViews>
    <sheetView zoomScale="70" zoomScaleNormal="70" workbookViewId="0">
      <selection activeCell="K10" sqref="K10"/>
    </sheetView>
  </sheetViews>
  <sheetFormatPr defaultRowHeight="14.5" outlineLevelRow="1" outlineLevelCol="1"/>
  <cols>
    <col min="1" max="1" width="14.26953125" bestFit="1" customWidth="1"/>
    <col min="2" max="2" width="12.453125" customWidth="1" outlineLevel="1"/>
    <col min="3" max="4" width="9.26953125" customWidth="1" outlineLevel="1"/>
    <col min="5" max="5" width="11.26953125" customWidth="1" outlineLevel="1"/>
    <col min="6" max="7" width="12.453125" customWidth="1" outlineLevel="1"/>
    <col min="8" max="8" width="8.7265625" customWidth="1" outlineLevel="1"/>
    <col min="9" max="9" width="9.1796875" style="96" customWidth="1" outlineLevel="1"/>
    <col min="10" max="10" width="17.7265625" style="96" bestFit="1" customWidth="1"/>
    <col min="11" max="12" width="10.453125" style="96" customWidth="1"/>
    <col min="13" max="13" width="11.81640625" style="96" bestFit="1" customWidth="1"/>
  </cols>
  <sheetData>
    <row r="1" spans="1:13" s="104" customFormat="1">
      <c r="A1" s="101" t="s">
        <v>37</v>
      </c>
      <c r="B1" s="101" t="s">
        <v>47</v>
      </c>
      <c r="C1" s="101" t="s">
        <v>181</v>
      </c>
      <c r="D1" s="101" t="s">
        <v>182</v>
      </c>
      <c r="E1" s="101" t="s">
        <v>156</v>
      </c>
      <c r="F1" s="101" t="s">
        <v>183</v>
      </c>
      <c r="G1" s="101" t="s">
        <v>184</v>
      </c>
      <c r="H1" s="102" t="s">
        <v>185</v>
      </c>
      <c r="I1" s="103" t="s">
        <v>106</v>
      </c>
      <c r="J1" s="103" t="s">
        <v>186</v>
      </c>
      <c r="K1" s="103" t="s">
        <v>119</v>
      </c>
      <c r="L1" s="103" t="s">
        <v>187</v>
      </c>
      <c r="M1" s="103" t="s">
        <v>188</v>
      </c>
    </row>
    <row r="2" spans="1:13" s="92" customFormat="1">
      <c r="A2" s="97" t="s">
        <v>39</v>
      </c>
      <c r="B2" s="97"/>
      <c r="C2" s="97"/>
      <c r="D2" s="97"/>
      <c r="E2" s="97"/>
      <c r="F2" s="97"/>
      <c r="G2" s="97"/>
      <c r="H2" s="97"/>
      <c r="I2" s="98"/>
      <c r="J2" s="98">
        <f>+SUM(I3:I7)</f>
        <v>222000</v>
      </c>
      <c r="K2" s="98">
        <f>+J2*1.08</f>
        <v>239760.00000000003</v>
      </c>
      <c r="L2" s="98">
        <f>+M2-K2</f>
        <v>66767.999999999971</v>
      </c>
      <c r="M2" s="98">
        <f>SUM(E3:E7)*1.03</f>
        <v>306528</v>
      </c>
    </row>
    <row r="3" spans="1:13" outlineLevel="1">
      <c r="A3" s="90" t="s">
        <v>39</v>
      </c>
      <c r="B3" t="s">
        <v>55</v>
      </c>
      <c r="C3" t="s">
        <v>105</v>
      </c>
      <c r="D3" s="91">
        <v>1</v>
      </c>
      <c r="E3" s="99">
        <v>80000</v>
      </c>
      <c r="F3" s="89">
        <v>46148</v>
      </c>
      <c r="G3" s="89">
        <v>46168</v>
      </c>
      <c r="H3" s="91">
        <v>1</v>
      </c>
      <c r="I3" s="96">
        <f>+H3*E3</f>
        <v>80000</v>
      </c>
    </row>
    <row r="4" spans="1:13" outlineLevel="1">
      <c r="A4" s="90" t="s">
        <v>39</v>
      </c>
      <c r="B4" t="s">
        <v>57</v>
      </c>
      <c r="C4" t="s">
        <v>105</v>
      </c>
      <c r="D4" s="91">
        <v>1</v>
      </c>
      <c r="E4" s="99">
        <v>50000</v>
      </c>
      <c r="F4" s="89">
        <v>46169</v>
      </c>
      <c r="G4" s="89">
        <v>46182</v>
      </c>
      <c r="H4" s="91">
        <v>1</v>
      </c>
      <c r="I4" s="96">
        <f t="shared" ref="I4:I7" si="0">+H4*E4</f>
        <v>50000</v>
      </c>
    </row>
    <row r="5" spans="1:13" outlineLevel="1">
      <c r="A5" s="90" t="s">
        <v>39</v>
      </c>
      <c r="B5" t="s">
        <v>59</v>
      </c>
      <c r="C5" t="s">
        <v>105</v>
      </c>
      <c r="D5" s="91">
        <v>1</v>
      </c>
      <c r="E5" s="99">
        <v>50000</v>
      </c>
      <c r="F5" s="89">
        <v>46169</v>
      </c>
      <c r="G5" s="89">
        <v>46182</v>
      </c>
      <c r="H5" s="91">
        <v>1</v>
      </c>
      <c r="I5" s="96">
        <f t="shared" si="0"/>
        <v>50000</v>
      </c>
    </row>
    <row r="6" spans="1:13" outlineLevel="1">
      <c r="A6" s="90" t="s">
        <v>39</v>
      </c>
      <c r="B6" t="s">
        <v>63</v>
      </c>
      <c r="C6" t="s">
        <v>189</v>
      </c>
      <c r="D6">
        <v>2400</v>
      </c>
      <c r="E6" s="99">
        <v>33600</v>
      </c>
      <c r="F6" s="89">
        <v>46183</v>
      </c>
      <c r="G6" s="89">
        <v>46196</v>
      </c>
      <c r="H6" s="91">
        <v>1</v>
      </c>
      <c r="I6" s="96">
        <f t="shared" si="0"/>
        <v>33600</v>
      </c>
    </row>
    <row r="7" spans="1:13" outlineLevel="1">
      <c r="A7" s="90" t="s">
        <v>39</v>
      </c>
      <c r="B7" t="s">
        <v>65</v>
      </c>
      <c r="C7" t="s">
        <v>189</v>
      </c>
      <c r="D7">
        <v>6000</v>
      </c>
      <c r="E7" s="99">
        <v>84000</v>
      </c>
      <c r="F7" s="89">
        <v>46197</v>
      </c>
      <c r="G7" s="89">
        <v>46210</v>
      </c>
      <c r="H7" s="91">
        <v>0.1</v>
      </c>
      <c r="I7" s="96">
        <f t="shared" si="0"/>
        <v>8400</v>
      </c>
    </row>
    <row r="8" spans="1:13">
      <c r="A8" s="97" t="s">
        <v>41</v>
      </c>
      <c r="B8" s="97"/>
      <c r="C8" s="97"/>
      <c r="D8" s="97"/>
      <c r="E8" s="100"/>
      <c r="F8" s="97"/>
      <c r="G8" s="97"/>
      <c r="H8" s="97"/>
      <c r="I8" s="98"/>
      <c r="J8" s="98">
        <v>0</v>
      </c>
      <c r="K8" s="98">
        <v>0</v>
      </c>
      <c r="L8" s="98">
        <f>+M8-K8</f>
        <v>520520</v>
      </c>
      <c r="M8" s="98">
        <f>+SUM(E9:E11)*1.04</f>
        <v>520520</v>
      </c>
    </row>
    <row r="9" spans="1:13" outlineLevel="1">
      <c r="A9" s="90" t="s">
        <v>41</v>
      </c>
      <c r="B9" t="s">
        <v>69</v>
      </c>
      <c r="C9" t="s">
        <v>190</v>
      </c>
      <c r="D9">
        <v>14000</v>
      </c>
      <c r="E9" s="99">
        <v>168000</v>
      </c>
      <c r="F9" s="89">
        <v>46211</v>
      </c>
      <c r="G9" s="89">
        <v>46231</v>
      </c>
    </row>
    <row r="10" spans="1:13" outlineLevel="1">
      <c r="A10" s="90" t="s">
        <v>41</v>
      </c>
      <c r="B10" t="s">
        <v>71</v>
      </c>
      <c r="C10" t="s">
        <v>190</v>
      </c>
      <c r="D10">
        <v>8000</v>
      </c>
      <c r="E10" s="99">
        <v>280000</v>
      </c>
      <c r="F10" s="89">
        <v>46260</v>
      </c>
      <c r="G10" s="89">
        <v>46273</v>
      </c>
    </row>
    <row r="11" spans="1:13" outlineLevel="1">
      <c r="A11" s="90" t="s">
        <v>41</v>
      </c>
      <c r="B11" t="s">
        <v>73</v>
      </c>
      <c r="C11" t="s">
        <v>190</v>
      </c>
      <c r="D11">
        <v>750</v>
      </c>
      <c r="E11" s="99">
        <v>52500</v>
      </c>
      <c r="F11" s="89">
        <v>46260</v>
      </c>
      <c r="G11" s="89">
        <v>46280</v>
      </c>
    </row>
    <row r="12" spans="1:13">
      <c r="A12" s="97" t="s">
        <v>43</v>
      </c>
      <c r="B12" s="97"/>
      <c r="C12" s="97"/>
      <c r="D12" s="97"/>
      <c r="E12" s="100"/>
      <c r="F12" s="97"/>
      <c r="G12" s="97"/>
      <c r="H12" s="97"/>
      <c r="I12" s="98"/>
      <c r="J12" s="98">
        <v>0</v>
      </c>
      <c r="K12" s="98">
        <v>0</v>
      </c>
      <c r="L12" s="98">
        <f>+M12-K12</f>
        <v>70100</v>
      </c>
      <c r="M12" s="98">
        <v>70100</v>
      </c>
    </row>
    <row r="13" spans="1:13" outlineLevel="1">
      <c r="A13" s="90" t="s">
        <v>43</v>
      </c>
      <c r="B13" t="s">
        <v>86</v>
      </c>
      <c r="C13" t="s">
        <v>190</v>
      </c>
      <c r="D13">
        <v>1100</v>
      </c>
      <c r="E13" s="99">
        <v>60500</v>
      </c>
      <c r="F13" s="89">
        <v>46253</v>
      </c>
      <c r="G13" s="89">
        <v>46259</v>
      </c>
    </row>
    <row r="14" spans="1:13" outlineLevel="1">
      <c r="A14" s="90" t="s">
        <v>43</v>
      </c>
      <c r="B14" t="s">
        <v>79</v>
      </c>
      <c r="C14" t="s">
        <v>189</v>
      </c>
      <c r="D14">
        <v>200</v>
      </c>
      <c r="E14" s="99">
        <v>5000</v>
      </c>
      <c r="F14" s="89">
        <v>46232</v>
      </c>
      <c r="G14" s="89">
        <v>46238</v>
      </c>
    </row>
    <row r="15" spans="1:13">
      <c r="A15" s="97" t="s">
        <v>45</v>
      </c>
      <c r="B15" s="97"/>
      <c r="C15" s="97"/>
      <c r="D15" s="97"/>
      <c r="E15" s="100"/>
      <c r="F15" s="97"/>
      <c r="G15" s="97"/>
      <c r="H15" s="97"/>
      <c r="I15" s="98"/>
      <c r="J15" s="98">
        <v>0</v>
      </c>
      <c r="K15" s="98">
        <v>0</v>
      </c>
      <c r="L15" s="98">
        <f>+M15-K15</f>
        <v>273000</v>
      </c>
      <c r="M15" s="98">
        <f>+SUM(E16:E18)*1.04</f>
        <v>273000</v>
      </c>
    </row>
    <row r="16" spans="1:13" outlineLevel="1">
      <c r="A16" s="90" t="s">
        <v>45</v>
      </c>
      <c r="B16" t="s">
        <v>82</v>
      </c>
      <c r="C16" t="s">
        <v>189</v>
      </c>
      <c r="D16">
        <v>5000</v>
      </c>
      <c r="E16" s="99">
        <v>225000</v>
      </c>
      <c r="F16" s="89">
        <v>46239</v>
      </c>
      <c r="G16" s="89">
        <v>46252</v>
      </c>
    </row>
    <row r="17" spans="1:7" outlineLevel="1">
      <c r="A17" s="90" t="s">
        <v>45</v>
      </c>
      <c r="B17" t="s">
        <v>84</v>
      </c>
      <c r="C17" t="s">
        <v>190</v>
      </c>
      <c r="D17">
        <v>750</v>
      </c>
      <c r="E17" s="99">
        <v>37500</v>
      </c>
      <c r="F17" s="89">
        <v>46239</v>
      </c>
      <c r="G17" s="89">
        <v>46245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0F09-88AC-46E1-A2B3-6C2BDAB378EC}">
  <dimension ref="A1:L20"/>
  <sheetViews>
    <sheetView showGridLines="0" workbookViewId="0">
      <selection activeCell="P10" sqref="P10"/>
    </sheetView>
  </sheetViews>
  <sheetFormatPr defaultRowHeight="14.5"/>
  <cols>
    <col min="1" max="2" width="15.1796875" customWidth="1"/>
    <col min="4" max="4" width="5.81640625" bestFit="1" customWidth="1"/>
    <col min="5" max="5" width="11.54296875" bestFit="1" customWidth="1"/>
    <col min="6" max="8" width="9.1796875" bestFit="1" customWidth="1"/>
    <col min="9" max="9" width="7.81640625" bestFit="1" customWidth="1"/>
    <col min="10" max="10" width="6.1796875" bestFit="1" customWidth="1"/>
    <col min="11" max="11" width="6.26953125" bestFit="1" customWidth="1"/>
    <col min="12" max="12" width="6.1796875" bestFit="1" customWidth="1"/>
    <col min="13" max="13" width="3.26953125" customWidth="1"/>
  </cols>
  <sheetData>
    <row r="1" spans="1:12">
      <c r="A1" t="s">
        <v>191</v>
      </c>
      <c r="B1" t="s">
        <v>192</v>
      </c>
      <c r="C1" t="s">
        <v>193</v>
      </c>
      <c r="E1" t="s">
        <v>191</v>
      </c>
      <c r="F1" t="s">
        <v>106</v>
      </c>
      <c r="G1" t="s">
        <v>119</v>
      </c>
      <c r="H1" t="s">
        <v>194</v>
      </c>
      <c r="I1" t="s">
        <v>195</v>
      </c>
    </row>
    <row r="2" spans="1:12">
      <c r="A2" s="89">
        <v>46027</v>
      </c>
      <c r="B2" t="s">
        <v>106</v>
      </c>
      <c r="C2">
        <v>118000</v>
      </c>
      <c r="E2" s="136" t="s">
        <v>196</v>
      </c>
      <c r="F2">
        <v>118000</v>
      </c>
      <c r="G2">
        <v>127440.00000000001</v>
      </c>
      <c r="H2">
        <v>118462</v>
      </c>
      <c r="I2">
        <v>118462</v>
      </c>
    </row>
    <row r="3" spans="1:12">
      <c r="A3" s="89">
        <v>46027</v>
      </c>
      <c r="B3" t="s">
        <v>119</v>
      </c>
      <c r="C3">
        <v>127440.00000000001</v>
      </c>
      <c r="E3" s="136" t="s">
        <v>197</v>
      </c>
      <c r="H3">
        <v>133907</v>
      </c>
      <c r="I3">
        <f>+H3+I2</f>
        <v>252369</v>
      </c>
    </row>
    <row r="4" spans="1:12">
      <c r="A4" s="89">
        <v>46027</v>
      </c>
      <c r="B4" t="s">
        <v>194</v>
      </c>
      <c r="C4">
        <v>118462</v>
      </c>
      <c r="E4" s="136" t="s">
        <v>198</v>
      </c>
      <c r="H4">
        <v>214898</v>
      </c>
      <c r="I4">
        <f t="shared" ref="I4:I6" si="0">+H4+I3</f>
        <v>467267</v>
      </c>
    </row>
    <row r="5" spans="1:12">
      <c r="A5" s="89">
        <v>46028</v>
      </c>
      <c r="B5" t="s">
        <v>194</v>
      </c>
      <c r="C5">
        <v>133907</v>
      </c>
      <c r="E5" s="136" t="s">
        <v>199</v>
      </c>
      <c r="H5">
        <v>447150</v>
      </c>
      <c r="I5">
        <f t="shared" si="0"/>
        <v>914417</v>
      </c>
    </row>
    <row r="6" spans="1:12">
      <c r="A6" s="89">
        <v>46029</v>
      </c>
      <c r="B6" t="s">
        <v>194</v>
      </c>
      <c r="C6">
        <v>214898</v>
      </c>
      <c r="E6" s="136" t="s">
        <v>200</v>
      </c>
      <c r="H6">
        <v>211683</v>
      </c>
      <c r="I6">
        <f t="shared" si="0"/>
        <v>1126100</v>
      </c>
    </row>
    <row r="7" spans="1:12">
      <c r="A7" s="89">
        <v>46030</v>
      </c>
      <c r="B7" t="s">
        <v>194</v>
      </c>
      <c r="C7">
        <v>447150</v>
      </c>
    </row>
    <row r="8" spans="1:12">
      <c r="A8" s="89">
        <v>46031</v>
      </c>
      <c r="B8" t="s">
        <v>194</v>
      </c>
      <c r="C8">
        <v>211683</v>
      </c>
    </row>
    <row r="9" spans="1:12">
      <c r="A9" s="89"/>
    </row>
    <row r="16" spans="1:12">
      <c r="D16" t="s">
        <v>201</v>
      </c>
      <c r="E16" t="s">
        <v>202</v>
      </c>
      <c r="F16" t="s">
        <v>106</v>
      </c>
      <c r="G16" t="s">
        <v>119</v>
      </c>
      <c r="H16" t="s">
        <v>194</v>
      </c>
      <c r="I16" t="s">
        <v>120</v>
      </c>
      <c r="J16" t="s">
        <v>203</v>
      </c>
      <c r="K16" t="s">
        <v>149</v>
      </c>
      <c r="L16" t="s">
        <v>204</v>
      </c>
    </row>
    <row r="17" spans="4:12">
      <c r="D17" s="3" t="s">
        <v>38</v>
      </c>
      <c r="E17" s="3" t="s">
        <v>39</v>
      </c>
      <c r="F17" s="128">
        <v>118000</v>
      </c>
      <c r="G17" s="128">
        <v>127440.00000000001</v>
      </c>
      <c r="H17" s="128">
        <v>118462</v>
      </c>
      <c r="I17" s="130">
        <f>+F17-G17</f>
        <v>-9440.0000000000146</v>
      </c>
      <c r="J17" s="130">
        <f>+F17-H17</f>
        <v>-462</v>
      </c>
      <c r="K17" s="129">
        <f>+F17/G17</f>
        <v>0.92592592592592582</v>
      </c>
      <c r="L17" s="129">
        <f>+F17/H17</f>
        <v>0.996100015194746</v>
      </c>
    </row>
    <row r="18" spans="4:12">
      <c r="D18" s="3" t="s">
        <v>40</v>
      </c>
      <c r="E18" s="3" t="s">
        <v>41</v>
      </c>
    </row>
    <row r="19" spans="4:12">
      <c r="D19" s="3" t="s">
        <v>42</v>
      </c>
      <c r="E19" s="3" t="s">
        <v>43</v>
      </c>
    </row>
    <row r="20" spans="4:12">
      <c r="D20" s="3" t="s">
        <v>44</v>
      </c>
      <c r="E20" s="3" t="s">
        <v>45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8C4C-90CD-48FD-828B-B9BD7C89504F}">
  <dimension ref="A1:I13"/>
  <sheetViews>
    <sheetView workbookViewId="0">
      <selection activeCell="F3" sqref="F3"/>
    </sheetView>
  </sheetViews>
  <sheetFormatPr defaultRowHeight="14.5"/>
  <cols>
    <col min="1" max="1" width="14.7265625" style="93" bestFit="1" customWidth="1"/>
    <col min="2" max="2" width="8.54296875" bestFit="1" customWidth="1"/>
    <col min="3" max="3" width="4.81640625" bestFit="1" customWidth="1"/>
    <col min="4" max="4" width="11" bestFit="1" customWidth="1"/>
    <col min="5" max="6" width="11.7265625" bestFit="1" customWidth="1"/>
    <col min="7" max="7" width="15.7265625" bestFit="1" customWidth="1"/>
    <col min="8" max="8" width="11.54296875" bestFit="1" customWidth="1"/>
    <col min="9" max="9" width="16.1796875" bestFit="1" customWidth="1"/>
  </cols>
  <sheetData>
    <row r="1" spans="1:9">
      <c r="A1" s="92" t="s">
        <v>43</v>
      </c>
    </row>
    <row r="2" spans="1:9">
      <c r="A2" s="105" t="s">
        <v>205</v>
      </c>
      <c r="B2" s="106" t="s">
        <v>206</v>
      </c>
      <c r="C2" s="106" t="s">
        <v>181</v>
      </c>
      <c r="D2" s="107" t="s">
        <v>207</v>
      </c>
      <c r="E2" s="107" t="s">
        <v>208</v>
      </c>
      <c r="F2" s="107" t="s">
        <v>209</v>
      </c>
      <c r="G2" s="108" t="s">
        <v>210</v>
      </c>
      <c r="H2" s="108" t="s">
        <v>211</v>
      </c>
      <c r="I2" s="108" t="s">
        <v>212</v>
      </c>
    </row>
    <row r="3" spans="1:9">
      <c r="A3" s="93" t="s">
        <v>213</v>
      </c>
      <c r="B3" t="s">
        <v>22</v>
      </c>
      <c r="C3" t="s">
        <v>214</v>
      </c>
      <c r="D3">
        <v>0</v>
      </c>
      <c r="F3" s="94">
        <v>0</v>
      </c>
      <c r="G3">
        <v>50</v>
      </c>
      <c r="H3">
        <v>180</v>
      </c>
      <c r="I3" s="94">
        <f>+G3*H3</f>
        <v>9000</v>
      </c>
    </row>
    <row r="4" spans="1:9">
      <c r="A4" s="93" t="s">
        <v>215</v>
      </c>
      <c r="B4" t="s">
        <v>22</v>
      </c>
      <c r="C4" t="s">
        <v>214</v>
      </c>
      <c r="D4">
        <v>0</v>
      </c>
      <c r="F4" s="94">
        <v>0</v>
      </c>
      <c r="G4">
        <v>50</v>
      </c>
      <c r="H4">
        <v>185</v>
      </c>
      <c r="I4" s="94">
        <f t="shared" ref="I4:I6" si="0">+G4*H4</f>
        <v>9250</v>
      </c>
    </row>
    <row r="5" spans="1:9">
      <c r="A5" s="93" t="s">
        <v>216</v>
      </c>
      <c r="B5" t="s">
        <v>22</v>
      </c>
      <c r="C5" t="s">
        <v>214</v>
      </c>
      <c r="D5">
        <v>0</v>
      </c>
      <c r="F5" s="94">
        <v>0</v>
      </c>
      <c r="G5">
        <v>50</v>
      </c>
      <c r="H5">
        <v>185</v>
      </c>
      <c r="I5" s="94">
        <f t="shared" si="0"/>
        <v>9250</v>
      </c>
    </row>
    <row r="6" spans="1:9">
      <c r="A6" s="93" t="s">
        <v>217</v>
      </c>
      <c r="B6" t="s">
        <v>34</v>
      </c>
      <c r="C6" t="s">
        <v>190</v>
      </c>
      <c r="D6">
        <v>0</v>
      </c>
      <c r="F6" s="94">
        <v>0</v>
      </c>
      <c r="G6">
        <v>370</v>
      </c>
      <c r="H6">
        <v>65</v>
      </c>
      <c r="I6" s="94">
        <f t="shared" si="0"/>
        <v>24050</v>
      </c>
    </row>
    <row r="7" spans="1:9">
      <c r="A7" s="93" t="s">
        <v>218</v>
      </c>
      <c r="B7" t="s">
        <v>34</v>
      </c>
      <c r="C7" t="s">
        <v>189</v>
      </c>
      <c r="D7">
        <v>0</v>
      </c>
      <c r="F7" s="94">
        <v>0</v>
      </c>
      <c r="G7">
        <v>380</v>
      </c>
      <c r="H7">
        <v>20</v>
      </c>
      <c r="I7" s="94">
        <f t="shared" ref="I7:I8" si="1">+G7*H7</f>
        <v>7600</v>
      </c>
    </row>
    <row r="8" spans="1:9">
      <c r="A8" s="93" t="s">
        <v>219</v>
      </c>
      <c r="B8" t="s">
        <v>34</v>
      </c>
      <c r="C8" t="s">
        <v>220</v>
      </c>
      <c r="D8">
        <v>0</v>
      </c>
      <c r="F8" s="94">
        <v>0</v>
      </c>
      <c r="G8">
        <v>60</v>
      </c>
      <c r="H8">
        <v>2.5</v>
      </c>
      <c r="I8" s="94">
        <f t="shared" si="1"/>
        <v>150</v>
      </c>
    </row>
    <row r="9" spans="1:9">
      <c r="A9" s="93" t="s">
        <v>221</v>
      </c>
      <c r="B9" t="s">
        <v>34</v>
      </c>
      <c r="C9" t="s">
        <v>220</v>
      </c>
      <c r="D9">
        <v>0</v>
      </c>
      <c r="F9" s="94">
        <v>0</v>
      </c>
      <c r="G9">
        <v>50</v>
      </c>
      <c r="H9">
        <v>2.5</v>
      </c>
      <c r="I9" s="94">
        <f t="shared" ref="I9:I12" si="2">+G9*H9</f>
        <v>125</v>
      </c>
    </row>
    <row r="10" spans="1:9">
      <c r="A10" s="93" t="s">
        <v>222</v>
      </c>
      <c r="B10" t="s">
        <v>34</v>
      </c>
      <c r="C10" t="s">
        <v>220</v>
      </c>
      <c r="D10">
        <v>0</v>
      </c>
      <c r="F10" s="94">
        <v>0</v>
      </c>
      <c r="G10">
        <v>50</v>
      </c>
      <c r="H10">
        <v>3.5</v>
      </c>
      <c r="I10" s="94">
        <f t="shared" si="2"/>
        <v>175</v>
      </c>
    </row>
    <row r="11" spans="1:9">
      <c r="A11" s="93" t="s">
        <v>223</v>
      </c>
      <c r="B11" t="s">
        <v>24</v>
      </c>
      <c r="C11" t="s">
        <v>224</v>
      </c>
      <c r="D11">
        <v>0</v>
      </c>
      <c r="F11" s="94">
        <v>0</v>
      </c>
      <c r="G11">
        <v>5</v>
      </c>
      <c r="H11">
        <v>1500</v>
      </c>
      <c r="I11" s="94">
        <f t="shared" si="2"/>
        <v>7500</v>
      </c>
    </row>
    <row r="12" spans="1:9">
      <c r="A12" s="93" t="s">
        <v>225</v>
      </c>
      <c r="B12" t="s">
        <v>24</v>
      </c>
      <c r="C12" t="s">
        <v>224</v>
      </c>
      <c r="D12">
        <v>0</v>
      </c>
      <c r="F12" s="94">
        <v>0</v>
      </c>
      <c r="G12">
        <v>2</v>
      </c>
      <c r="H12">
        <v>1500</v>
      </c>
      <c r="I12" s="94">
        <f t="shared" si="2"/>
        <v>3000</v>
      </c>
    </row>
    <row r="13" spans="1:9">
      <c r="F13" s="95">
        <f>SUM(F3:F12)</f>
        <v>0</v>
      </c>
      <c r="I13" s="95">
        <f>SUM(I3:I12)</f>
        <v>70100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RO_0</vt:lpstr>
      <vt:lpstr>Cost category</vt:lpstr>
      <vt:lpstr>CBSS</vt:lpstr>
      <vt:lpstr>Budget</vt:lpstr>
      <vt:lpstr>Budget Cost</vt:lpstr>
      <vt:lpstr>Estructura de Control</vt:lpstr>
      <vt:lpstr>CV reconciliation</vt:lpstr>
      <vt:lpstr>Budgett</vt:lpstr>
      <vt:lpstr>P6</vt:lpstr>
      <vt:lpstr>Activtiy Progress</vt:lpstr>
      <vt:lpstr>Activtiy Progress_2</vt:lpstr>
      <vt:lpstr>EVM</vt:lpstr>
      <vt:lpstr>EAC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Erick Flores Mendoza-JHG</cp:lastModifiedBy>
  <cp:revision/>
  <dcterms:created xsi:type="dcterms:W3CDTF">2015-06-05T18:17:20Z</dcterms:created>
  <dcterms:modified xsi:type="dcterms:W3CDTF">2026-05-25T09:02:28Z</dcterms:modified>
  <cp:category/>
  <cp:contentStatus/>
</cp:coreProperties>
</file>